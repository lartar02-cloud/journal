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ВИДЕОНАБЛЮДЕНИЕ11\"/>
    </mc:Choice>
  </mc:AlternateContent>
  <xr:revisionPtr revIDLastSave="0" documentId="13_ncr:1_{2DD10369-1911-438B-9A61-5819B1D9AD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 Ангар Склад 2 въезд" sheetId="19" r:id="rId1"/>
    <sheet name="2 Пилорама поката" sheetId="23" r:id="rId2"/>
    <sheet name="3 Въезд на базу" sheetId="24" r:id="rId3"/>
    <sheet name="4 Крыльцо офиса" sheetId="26" r:id="rId4"/>
    <sheet name="5 Крыльцо общага" sheetId="27" r:id="rId5"/>
    <sheet name="6 Площадка 1 общага" sheetId="28" r:id="rId6"/>
    <sheet name="7 Площадка 2 бетонщики" sheetId="29" r:id="rId7"/>
    <sheet name="8 Рейсмус" sheetId="30" r:id="rId8"/>
    <sheet name="9 Ангар пилорама" sheetId="31" r:id="rId9"/>
    <sheet name="10 Сушилка навес" sheetId="32" r:id="rId10"/>
    <sheet name="11 С ангара на базу" sheetId="33" r:id="rId11"/>
    <sheet name="12 Площадка 3 кран" sheetId="34" r:id="rId12"/>
    <sheet name="13 Склад хол" sheetId="35" r:id="rId13"/>
    <sheet name="Загрузка" sheetId="37" r:id="rId14"/>
    <sheet name="Стороний транспорт" sheetId="38" r:id="rId15"/>
    <sheet name="СпрСобытий" sheetId="20" state="hidden" r:id="rId16"/>
  </sheets>
  <definedNames>
    <definedName name="ExternalData_1" localSheetId="0" hidden="1">'1 Ангар Склад 2 въезд'!$A$1:$L$121</definedName>
    <definedName name="ExternalData_1" localSheetId="9" hidden="1">'10 Сушилка навес'!$A$1:$L$346</definedName>
    <definedName name="ExternalData_1" localSheetId="10" hidden="1">'11 С ангара на базу'!$A$1:$L$151</definedName>
    <definedName name="ExternalData_1" localSheetId="11" hidden="1">'12 Площадка 3 кран'!$A$1:$L$97</definedName>
    <definedName name="ExternalData_1" localSheetId="12" hidden="1">'13 Склад хол'!$A$1:$L$60</definedName>
    <definedName name="ExternalData_1" localSheetId="1" hidden="1">'2 Пилорама поката'!$A$1:$L$153</definedName>
    <definedName name="ExternalData_1" localSheetId="2" hidden="1">'3 Въезд на базу'!$A$1:$L$84</definedName>
    <definedName name="ExternalData_1" localSheetId="3" hidden="1">'4 Крыльцо офиса'!$A$1:$L$98</definedName>
    <definedName name="ExternalData_1" localSheetId="4" hidden="1">'5 Крыльцо общага'!$A$1:$L$106</definedName>
    <definedName name="ExternalData_1" localSheetId="5" hidden="1">'6 Площадка 1 общага'!$A$1:$L$71</definedName>
    <definedName name="ExternalData_1" localSheetId="6" hidden="1">'7 Площадка 2 бетонщики'!$A$1:$L$197</definedName>
    <definedName name="ExternalData_1" localSheetId="7" hidden="1">'8 Рейсмус'!$A$1:$L$128</definedName>
    <definedName name="ExternalData_1" localSheetId="8" hidden="1">'9 Ангар пилорама'!$A$1:$L$357</definedName>
    <definedName name="ExternalData_1" localSheetId="13" hidden="1">Загрузка!$A$1:$L$170</definedName>
    <definedName name="ExternalData_1" localSheetId="14" hidden="1">'Стороний транспорт'!$A$1:$L$339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38" l="1"/>
  <c r="M3" i="38"/>
  <c r="M4" i="38"/>
  <c r="M5" i="38"/>
  <c r="M6" i="38"/>
  <c r="M7" i="38"/>
  <c r="M8" i="38"/>
  <c r="M9" i="38"/>
  <c r="M10" i="38"/>
  <c r="M11" i="38"/>
  <c r="M12" i="38"/>
  <c r="M13" i="38"/>
  <c r="M14" i="38"/>
  <c r="M15" i="38"/>
  <c r="M16" i="38"/>
  <c r="M17" i="38"/>
  <c r="M18" i="38"/>
  <c r="M19" i="38"/>
  <c r="M20" i="38"/>
  <c r="M21" i="38"/>
  <c r="M22" i="38"/>
  <c r="M23" i="38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M38" i="38"/>
  <c r="M39" i="38"/>
  <c r="M40" i="38"/>
  <c r="M41" i="38"/>
  <c r="M42" i="38"/>
  <c r="M43" i="38"/>
  <c r="M44" i="38"/>
  <c r="M45" i="38"/>
  <c r="M46" i="38"/>
  <c r="M47" i="38"/>
  <c r="M48" i="38"/>
  <c r="M49" i="38"/>
  <c r="M50" i="38"/>
  <c r="M51" i="38"/>
  <c r="M52" i="38"/>
  <c r="M53" i="38"/>
  <c r="M54" i="38"/>
  <c r="M55" i="38"/>
  <c r="M56" i="38"/>
  <c r="M57" i="38"/>
  <c r="M58" i="38"/>
  <c r="M59" i="38"/>
  <c r="M60" i="38"/>
  <c r="M61" i="38"/>
  <c r="M62" i="38"/>
  <c r="M63" i="38"/>
  <c r="M64" i="38"/>
  <c r="M65" i="38"/>
  <c r="M66" i="38"/>
  <c r="M67" i="38"/>
  <c r="M68" i="38"/>
  <c r="M69" i="38"/>
  <c r="M70" i="38"/>
  <c r="M71" i="38"/>
  <c r="M72" i="38"/>
  <c r="M73" i="38"/>
  <c r="M74" i="38"/>
  <c r="M75" i="38"/>
  <c r="M76" i="38"/>
  <c r="M77" i="38"/>
  <c r="M78" i="38"/>
  <c r="M79" i="38"/>
  <c r="M80" i="38"/>
  <c r="M81" i="38"/>
  <c r="M82" i="38"/>
  <c r="M83" i="38"/>
  <c r="M84" i="38"/>
  <c r="M85" i="38"/>
  <c r="M86" i="38"/>
  <c r="M87" i="38"/>
  <c r="M88" i="38"/>
  <c r="M89" i="38"/>
  <c r="M90" i="38"/>
  <c r="M91" i="38"/>
  <c r="M92" i="38"/>
  <c r="M93" i="38"/>
  <c r="M94" i="38"/>
  <c r="M95" i="38"/>
  <c r="M96" i="38"/>
  <c r="M97" i="38"/>
  <c r="M98" i="38"/>
  <c r="M99" i="38"/>
  <c r="M100" i="38"/>
  <c r="M101" i="38"/>
  <c r="M102" i="38"/>
  <c r="M103" i="38"/>
  <c r="M104" i="38"/>
  <c r="M105" i="38"/>
  <c r="M106" i="38"/>
  <c r="M107" i="38"/>
  <c r="M108" i="38"/>
  <c r="M109" i="38"/>
  <c r="M110" i="38"/>
  <c r="M111" i="38"/>
  <c r="M112" i="38"/>
  <c r="M113" i="38"/>
  <c r="M114" i="38"/>
  <c r="M115" i="38"/>
  <c r="M116" i="38"/>
  <c r="M117" i="38"/>
  <c r="M118" i="38"/>
  <c r="M119" i="38"/>
  <c r="M120" i="38"/>
  <c r="M121" i="38"/>
  <c r="M122" i="38"/>
  <c r="M123" i="38"/>
  <c r="M124" i="38"/>
  <c r="M125" i="38"/>
  <c r="M126" i="38"/>
  <c r="M127" i="38"/>
  <c r="M128" i="38"/>
  <c r="M129" i="38"/>
  <c r="M130" i="38"/>
  <c r="M131" i="38"/>
  <c r="M132" i="38"/>
  <c r="M133" i="38"/>
  <c r="M134" i="38"/>
  <c r="M135" i="38"/>
  <c r="M136" i="38"/>
  <c r="M137" i="38"/>
  <c r="M138" i="38"/>
  <c r="M139" i="38"/>
  <c r="M140" i="38"/>
  <c r="M141" i="38"/>
  <c r="M142" i="38"/>
  <c r="M143" i="38"/>
  <c r="M144" i="38"/>
  <c r="M145" i="38"/>
  <c r="M146" i="38"/>
  <c r="M147" i="38"/>
  <c r="M148" i="38"/>
  <c r="M149" i="38"/>
  <c r="M150" i="38"/>
  <c r="M151" i="38"/>
  <c r="M152" i="38"/>
  <c r="M153" i="38"/>
  <c r="M154" i="38"/>
  <c r="M155" i="38"/>
  <c r="M156" i="38"/>
  <c r="M157" i="38"/>
  <c r="M158" i="38"/>
  <c r="M159" i="38"/>
  <c r="M160" i="38"/>
  <c r="M161" i="38"/>
  <c r="M162" i="38"/>
  <c r="M163" i="38"/>
  <c r="M164" i="38"/>
  <c r="M165" i="38"/>
  <c r="M166" i="38"/>
  <c r="M167" i="38"/>
  <c r="M168" i="38"/>
  <c r="M169" i="38"/>
  <c r="M170" i="38"/>
  <c r="M171" i="38"/>
  <c r="M172" i="38"/>
  <c r="M173" i="38"/>
  <c r="M174" i="38"/>
  <c r="M175" i="38"/>
  <c r="M176" i="38"/>
  <c r="M177" i="38"/>
  <c r="M178" i="38"/>
  <c r="M179" i="38"/>
  <c r="M180" i="38"/>
  <c r="M181" i="38"/>
  <c r="M182" i="38"/>
  <c r="M183" i="38"/>
  <c r="M184" i="38"/>
  <c r="M185" i="38"/>
  <c r="M186" i="38"/>
  <c r="M187" i="38"/>
  <c r="M188" i="38"/>
  <c r="M189" i="38"/>
  <c r="M190" i="38"/>
  <c r="M191" i="38"/>
  <c r="M192" i="38"/>
  <c r="M193" i="38"/>
  <c r="M194" i="38"/>
  <c r="M195" i="38"/>
  <c r="M196" i="38"/>
  <c r="M197" i="38"/>
  <c r="M198" i="38"/>
  <c r="M199" i="38"/>
  <c r="M200" i="38"/>
  <c r="M201" i="38"/>
  <c r="M202" i="38"/>
  <c r="M203" i="38"/>
  <c r="M204" i="38"/>
  <c r="M205" i="38"/>
  <c r="M206" i="38"/>
  <c r="M207" i="38"/>
  <c r="M208" i="38"/>
  <c r="M209" i="38"/>
  <c r="M210" i="38"/>
  <c r="M211" i="38"/>
  <c r="M212" i="38"/>
  <c r="M213" i="38"/>
  <c r="M214" i="38"/>
  <c r="M215" i="38"/>
  <c r="M216" i="38"/>
  <c r="M217" i="38"/>
  <c r="M218" i="38"/>
  <c r="M219" i="38"/>
  <c r="M220" i="38"/>
  <c r="M221" i="38"/>
  <c r="M222" i="38"/>
  <c r="M223" i="38"/>
  <c r="M224" i="38"/>
  <c r="M225" i="38"/>
  <c r="M226" i="38"/>
  <c r="M227" i="38"/>
  <c r="M228" i="38"/>
  <c r="M229" i="38"/>
  <c r="M230" i="38"/>
  <c r="M231" i="38"/>
  <c r="M232" i="38"/>
  <c r="M233" i="38"/>
  <c r="M234" i="38"/>
  <c r="M235" i="38"/>
  <c r="M236" i="38"/>
  <c r="M237" i="38"/>
  <c r="M238" i="38"/>
  <c r="M239" i="38"/>
  <c r="M240" i="38"/>
  <c r="M241" i="38"/>
  <c r="M242" i="38"/>
  <c r="M243" i="38"/>
  <c r="M244" i="38"/>
  <c r="M245" i="38"/>
  <c r="M246" i="38"/>
  <c r="M247" i="38"/>
  <c r="M248" i="38"/>
  <c r="M249" i="38"/>
  <c r="M250" i="38"/>
  <c r="M251" i="38"/>
  <c r="M252" i="38"/>
  <c r="M253" i="38"/>
  <c r="M254" i="38"/>
  <c r="M255" i="38"/>
  <c r="M256" i="38"/>
  <c r="M257" i="38"/>
  <c r="M258" i="38"/>
  <c r="M259" i="38"/>
  <c r="M260" i="38"/>
  <c r="M261" i="38"/>
  <c r="M262" i="38"/>
  <c r="M263" i="38"/>
  <c r="M264" i="38"/>
  <c r="M265" i="38"/>
  <c r="M266" i="38"/>
  <c r="M267" i="38"/>
  <c r="M268" i="38"/>
  <c r="M269" i="38"/>
  <c r="M270" i="38"/>
  <c r="M271" i="38"/>
  <c r="M272" i="38"/>
  <c r="M273" i="38"/>
  <c r="M274" i="38"/>
  <c r="M275" i="38"/>
  <c r="M276" i="38"/>
  <c r="M277" i="38"/>
  <c r="M278" i="38"/>
  <c r="M279" i="38"/>
  <c r="M280" i="38"/>
  <c r="M281" i="38"/>
  <c r="M282" i="38"/>
  <c r="M283" i="38"/>
  <c r="M284" i="38"/>
  <c r="M285" i="38"/>
  <c r="M286" i="38"/>
  <c r="M287" i="38"/>
  <c r="M288" i="38"/>
  <c r="M289" i="38"/>
  <c r="M290" i="38"/>
  <c r="M291" i="38"/>
  <c r="M292" i="38"/>
  <c r="M293" i="38"/>
  <c r="M294" i="38"/>
  <c r="M295" i="38"/>
  <c r="M296" i="38"/>
  <c r="M297" i="38"/>
  <c r="M298" i="38"/>
  <c r="M299" i="38"/>
  <c r="M300" i="38"/>
  <c r="M301" i="38"/>
  <c r="M302" i="38"/>
  <c r="M303" i="38"/>
  <c r="M304" i="38"/>
  <c r="M305" i="38"/>
  <c r="M306" i="38"/>
  <c r="M307" i="38"/>
  <c r="M308" i="38"/>
  <c r="M309" i="38"/>
  <c r="M310" i="38"/>
  <c r="M311" i="38"/>
  <c r="M312" i="38"/>
  <c r="M313" i="38"/>
  <c r="M314" i="38"/>
  <c r="M315" i="38"/>
  <c r="M316" i="38"/>
  <c r="M317" i="38"/>
  <c r="M318" i="38"/>
  <c r="M319" i="38"/>
  <c r="M320" i="38"/>
  <c r="M321" i="38"/>
  <c r="M322" i="38"/>
  <c r="M323" i="38"/>
  <c r="M324" i="38"/>
  <c r="M325" i="38"/>
  <c r="M326" i="38"/>
  <c r="M327" i="38"/>
  <c r="M328" i="38"/>
  <c r="M329" i="38"/>
  <c r="M330" i="38"/>
  <c r="M331" i="38"/>
  <c r="M332" i="38"/>
  <c r="M333" i="38"/>
  <c r="M334" i="38"/>
  <c r="M335" i="38"/>
  <c r="M336" i="38"/>
  <c r="M337" i="38"/>
  <c r="M338" i="38"/>
  <c r="M339" i="38"/>
  <c r="M2" i="37"/>
  <c r="M3" i="37"/>
  <c r="M4" i="37"/>
  <c r="M5" i="37"/>
  <c r="M6" i="37"/>
  <c r="M7" i="37"/>
  <c r="M8" i="37"/>
  <c r="M9" i="37"/>
  <c r="M10" i="37"/>
  <c r="M11" i="37"/>
  <c r="M12" i="37"/>
  <c r="M13" i="37"/>
  <c r="M14" i="37"/>
  <c r="M15" i="37"/>
  <c r="M16" i="37"/>
  <c r="M17" i="37"/>
  <c r="M18" i="37"/>
  <c r="M19" i="37"/>
  <c r="M20" i="37"/>
  <c r="M21" i="37"/>
  <c r="M22" i="37"/>
  <c r="M23" i="37"/>
  <c r="M24" i="37"/>
  <c r="M25" i="37"/>
  <c r="M26" i="37"/>
  <c r="M27" i="37"/>
  <c r="M28" i="37"/>
  <c r="M29" i="37"/>
  <c r="M30" i="37"/>
  <c r="M31" i="37"/>
  <c r="M32" i="37"/>
  <c r="M33" i="37"/>
  <c r="M34" i="37"/>
  <c r="M35" i="37"/>
  <c r="M36" i="37"/>
  <c r="M37" i="37"/>
  <c r="M38" i="37"/>
  <c r="M39" i="37"/>
  <c r="M40" i="37"/>
  <c r="M41" i="37"/>
  <c r="M42" i="37"/>
  <c r="M43" i="37"/>
  <c r="M44" i="37"/>
  <c r="M45" i="37"/>
  <c r="M46" i="37"/>
  <c r="M47" i="37"/>
  <c r="M48" i="37"/>
  <c r="M49" i="37"/>
  <c r="M50" i="37"/>
  <c r="M51" i="37"/>
  <c r="M52" i="37"/>
  <c r="M53" i="37"/>
  <c r="M54" i="37"/>
  <c r="M55" i="37"/>
  <c r="M56" i="37"/>
  <c r="M57" i="37"/>
  <c r="M58" i="37"/>
  <c r="M59" i="37"/>
  <c r="M60" i="37"/>
  <c r="M61" i="37"/>
  <c r="M62" i="37"/>
  <c r="M63" i="37"/>
  <c r="M64" i="37"/>
  <c r="M65" i="37"/>
  <c r="M66" i="37"/>
  <c r="M67" i="37"/>
  <c r="M68" i="37"/>
  <c r="M69" i="37"/>
  <c r="M70" i="37"/>
  <c r="M71" i="37"/>
  <c r="M72" i="37"/>
  <c r="M73" i="37"/>
  <c r="M74" i="37"/>
  <c r="M75" i="37"/>
  <c r="M76" i="37"/>
  <c r="M77" i="37"/>
  <c r="M78" i="37"/>
  <c r="M79" i="37"/>
  <c r="M80" i="37"/>
  <c r="M81" i="37"/>
  <c r="M82" i="37"/>
  <c r="M83" i="37"/>
  <c r="M84" i="37"/>
  <c r="M85" i="37"/>
  <c r="M86" i="37"/>
  <c r="M87" i="37"/>
  <c r="M88" i="37"/>
  <c r="M89" i="37"/>
  <c r="M90" i="37"/>
  <c r="M91" i="37"/>
  <c r="M92" i="37"/>
  <c r="M93" i="37"/>
  <c r="M94" i="37"/>
  <c r="M95" i="37"/>
  <c r="M96" i="37"/>
  <c r="M97" i="37"/>
  <c r="M98" i="37"/>
  <c r="M99" i="37"/>
  <c r="M100" i="37"/>
  <c r="M101" i="37"/>
  <c r="M102" i="37"/>
  <c r="M103" i="37"/>
  <c r="M104" i="37"/>
  <c r="M105" i="37"/>
  <c r="M106" i="37"/>
  <c r="M107" i="37"/>
  <c r="M108" i="37"/>
  <c r="M109" i="37"/>
  <c r="M110" i="37"/>
  <c r="M111" i="37"/>
  <c r="M112" i="37"/>
  <c r="M113" i="37"/>
  <c r="M114" i="37"/>
  <c r="M115" i="37"/>
  <c r="M116" i="37"/>
  <c r="M117" i="37"/>
  <c r="M118" i="37"/>
  <c r="M119" i="37"/>
  <c r="M120" i="37"/>
  <c r="M121" i="37"/>
  <c r="M122" i="37"/>
  <c r="M123" i="37"/>
  <c r="M124" i="37"/>
  <c r="M125" i="37"/>
  <c r="M126" i="37"/>
  <c r="M127" i="37"/>
  <c r="M128" i="37"/>
  <c r="M129" i="37"/>
  <c r="M130" i="37"/>
  <c r="M131" i="37"/>
  <c r="M132" i="37"/>
  <c r="M133" i="37"/>
  <c r="M134" i="37"/>
  <c r="M135" i="37"/>
  <c r="M136" i="37"/>
  <c r="M137" i="37"/>
  <c r="M138" i="37"/>
  <c r="M139" i="37"/>
  <c r="M140" i="37"/>
  <c r="M141" i="37"/>
  <c r="M142" i="37"/>
  <c r="M143" i="37"/>
  <c r="M144" i="37"/>
  <c r="M145" i="37"/>
  <c r="M146" i="37"/>
  <c r="M147" i="37"/>
  <c r="M148" i="37"/>
  <c r="M149" i="37"/>
  <c r="M150" i="37"/>
  <c r="M151" i="37"/>
  <c r="M152" i="37"/>
  <c r="M153" i="37"/>
  <c r="M154" i="37"/>
  <c r="M155" i="37"/>
  <c r="M156" i="37"/>
  <c r="M157" i="37"/>
  <c r="M158" i="37"/>
  <c r="M159" i="37"/>
  <c r="M160" i="37"/>
  <c r="M161" i="37"/>
  <c r="M162" i="37"/>
  <c r="M163" i="37"/>
  <c r="M164" i="37"/>
  <c r="M165" i="37"/>
  <c r="M166" i="37"/>
  <c r="M167" i="37"/>
  <c r="M168" i="37"/>
  <c r="M169" i="37"/>
  <c r="M170" i="37"/>
  <c r="M2" i="28"/>
  <c r="M3" i="28"/>
  <c r="M4" i="28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22" i="28"/>
  <c r="M23" i="28"/>
  <c r="M24" i="28"/>
  <c r="M25" i="28"/>
  <c r="M26" i="28"/>
  <c r="M27" i="28"/>
  <c r="M28" i="28"/>
  <c r="M29" i="28"/>
  <c r="M30" i="28"/>
  <c r="M31" i="28"/>
  <c r="M32" i="28"/>
  <c r="M33" i="28"/>
  <c r="M34" i="28"/>
  <c r="M35" i="28"/>
  <c r="M36" i="28"/>
  <c r="M37" i="28"/>
  <c r="M38" i="28"/>
  <c r="M39" i="28"/>
  <c r="M40" i="28"/>
  <c r="M41" i="28"/>
  <c r="M42" i="28"/>
  <c r="M43" i="28"/>
  <c r="M44" i="28"/>
  <c r="M45" i="28"/>
  <c r="M46" i="28"/>
  <c r="M47" i="28"/>
  <c r="M48" i="28"/>
  <c r="M49" i="28"/>
  <c r="M50" i="28"/>
  <c r="M51" i="28"/>
  <c r="M52" i="28"/>
  <c r="M53" i="28"/>
  <c r="M54" i="28"/>
  <c r="M55" i="28"/>
  <c r="M56" i="28"/>
  <c r="M57" i="28"/>
  <c r="M58" i="28"/>
  <c r="M59" i="28"/>
  <c r="M60" i="28"/>
  <c r="M61" i="28"/>
  <c r="M62" i="28"/>
  <c r="M63" i="28"/>
  <c r="M64" i="28"/>
  <c r="M65" i="28"/>
  <c r="M66" i="28"/>
  <c r="M67" i="28"/>
  <c r="M68" i="28"/>
  <c r="M69" i="28"/>
  <c r="M70" i="28"/>
  <c r="M71" i="28"/>
  <c r="M2" i="27"/>
  <c r="M3" i="27"/>
  <c r="M4" i="27"/>
  <c r="M5" i="27"/>
  <c r="M6" i="27"/>
  <c r="M7" i="27"/>
  <c r="M8" i="27"/>
  <c r="M9" i="27"/>
  <c r="M10" i="27"/>
  <c r="M11" i="27"/>
  <c r="M12" i="27"/>
  <c r="M13" i="27"/>
  <c r="M14" i="27"/>
  <c r="M15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0" i="27"/>
  <c r="M31" i="27"/>
  <c r="M32" i="27"/>
  <c r="M33" i="27"/>
  <c r="M34" i="27"/>
  <c r="M35" i="27"/>
  <c r="M36" i="27"/>
  <c r="M37" i="27"/>
  <c r="M38" i="27"/>
  <c r="M39" i="27"/>
  <c r="M40" i="27"/>
  <c r="M41" i="27"/>
  <c r="M42" i="27"/>
  <c r="M43" i="27"/>
  <c r="M44" i="27"/>
  <c r="M45" i="27"/>
  <c r="M46" i="27"/>
  <c r="M47" i="27"/>
  <c r="M48" i="27"/>
  <c r="M49" i="27"/>
  <c r="M50" i="27"/>
  <c r="M51" i="27"/>
  <c r="M52" i="27"/>
  <c r="M53" i="27"/>
  <c r="M54" i="27"/>
  <c r="M55" i="27"/>
  <c r="M56" i="27"/>
  <c r="M57" i="27"/>
  <c r="M58" i="27"/>
  <c r="M59" i="27"/>
  <c r="M60" i="27"/>
  <c r="M61" i="27"/>
  <c r="M62" i="27"/>
  <c r="M63" i="27"/>
  <c r="M64" i="27"/>
  <c r="M65" i="27"/>
  <c r="M66" i="27"/>
  <c r="M67" i="27"/>
  <c r="M68" i="27"/>
  <c r="M69" i="27"/>
  <c r="M70" i="27"/>
  <c r="M71" i="27"/>
  <c r="M72" i="27"/>
  <c r="M73" i="27"/>
  <c r="M74" i="27"/>
  <c r="M75" i="27"/>
  <c r="M76" i="27"/>
  <c r="M77" i="27"/>
  <c r="M78" i="27"/>
  <c r="M79" i="27"/>
  <c r="M80" i="27"/>
  <c r="M81" i="27"/>
  <c r="M82" i="27"/>
  <c r="M83" i="27"/>
  <c r="M84" i="27"/>
  <c r="M85" i="27"/>
  <c r="M86" i="27"/>
  <c r="M87" i="27"/>
  <c r="M88" i="27"/>
  <c r="M89" i="27"/>
  <c r="M90" i="27"/>
  <c r="M91" i="27"/>
  <c r="M92" i="27"/>
  <c r="M93" i="27"/>
  <c r="M94" i="27"/>
  <c r="M95" i="27"/>
  <c r="M96" i="27"/>
  <c r="M97" i="27"/>
  <c r="M98" i="27"/>
  <c r="M99" i="27"/>
  <c r="M100" i="27"/>
  <c r="M101" i="27"/>
  <c r="M102" i="27"/>
  <c r="M103" i="27"/>
  <c r="M104" i="27"/>
  <c r="M105" i="27"/>
  <c r="M106" i="27"/>
  <c r="M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2" i="26"/>
  <c r="M63" i="26"/>
  <c r="M64" i="26"/>
  <c r="M65" i="26"/>
  <c r="M66" i="26"/>
  <c r="M67" i="26"/>
  <c r="M68" i="26"/>
  <c r="M69" i="26"/>
  <c r="M70" i="26"/>
  <c r="M71" i="26"/>
  <c r="M72" i="26"/>
  <c r="M73" i="26"/>
  <c r="M74" i="26"/>
  <c r="M75" i="26"/>
  <c r="M76" i="26"/>
  <c r="M77" i="26"/>
  <c r="M78" i="26"/>
  <c r="M79" i="26"/>
  <c r="M80" i="26"/>
  <c r="M81" i="26"/>
  <c r="M82" i="26"/>
  <c r="M83" i="26"/>
  <c r="M84" i="26"/>
  <c r="M85" i="26"/>
  <c r="M86" i="26"/>
  <c r="M87" i="26"/>
  <c r="M88" i="26"/>
  <c r="M89" i="26"/>
  <c r="M90" i="26"/>
  <c r="M91" i="26"/>
  <c r="M92" i="26"/>
  <c r="M93" i="26"/>
  <c r="M94" i="26"/>
  <c r="M95" i="26"/>
  <c r="M96" i="26"/>
  <c r="M97" i="26"/>
  <c r="M98" i="26"/>
  <c r="M2" i="24"/>
  <c r="M3" i="24"/>
  <c r="M4" i="24"/>
  <c r="M5" i="24"/>
  <c r="M6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59" i="24"/>
  <c r="M60" i="24"/>
  <c r="M61" i="24"/>
  <c r="M62" i="24"/>
  <c r="M63" i="24"/>
  <c r="M64" i="24"/>
  <c r="M65" i="24"/>
  <c r="M66" i="24"/>
  <c r="M67" i="24"/>
  <c r="M68" i="24"/>
  <c r="M69" i="24"/>
  <c r="M70" i="24"/>
  <c r="M71" i="24"/>
  <c r="M72" i="24"/>
  <c r="M73" i="24"/>
  <c r="M74" i="24"/>
  <c r="M75" i="24"/>
  <c r="M76" i="24"/>
  <c r="M77" i="24"/>
  <c r="M78" i="24"/>
  <c r="M79" i="24"/>
  <c r="M80" i="24"/>
  <c r="M81" i="24"/>
  <c r="M82" i="24"/>
  <c r="M83" i="24"/>
  <c r="M84" i="24"/>
  <c r="M2" i="35"/>
  <c r="M3" i="35"/>
  <c r="M4" i="35"/>
  <c r="M5" i="35"/>
  <c r="M6" i="35"/>
  <c r="M7" i="35"/>
  <c r="M8" i="35"/>
  <c r="M9" i="35"/>
  <c r="M10" i="35"/>
  <c r="M11" i="35"/>
  <c r="M12" i="35"/>
  <c r="M13" i="35"/>
  <c r="M14" i="35"/>
  <c r="M15" i="35"/>
  <c r="M16" i="35"/>
  <c r="M17" i="35"/>
  <c r="M18" i="35"/>
  <c r="M19" i="35"/>
  <c r="M20" i="35"/>
  <c r="M21" i="35"/>
  <c r="M22" i="35"/>
  <c r="M23" i="35"/>
  <c r="M24" i="35"/>
  <c r="M25" i="35"/>
  <c r="M26" i="35"/>
  <c r="M27" i="35"/>
  <c r="M28" i="35"/>
  <c r="M29" i="35"/>
  <c r="M30" i="35"/>
  <c r="M31" i="35"/>
  <c r="M32" i="35"/>
  <c r="M33" i="35"/>
  <c r="M34" i="35"/>
  <c r="M35" i="35"/>
  <c r="M36" i="35"/>
  <c r="M37" i="35"/>
  <c r="M38" i="35"/>
  <c r="M39" i="35"/>
  <c r="M40" i="35"/>
  <c r="M41" i="35"/>
  <c r="M42" i="35"/>
  <c r="M43" i="35"/>
  <c r="M44" i="35"/>
  <c r="M45" i="35"/>
  <c r="M46" i="35"/>
  <c r="M47" i="35"/>
  <c r="M48" i="35"/>
  <c r="M49" i="35"/>
  <c r="M50" i="35"/>
  <c r="M51" i="35"/>
  <c r="M52" i="35"/>
  <c r="M53" i="35"/>
  <c r="M54" i="35"/>
  <c r="M55" i="35"/>
  <c r="M56" i="35"/>
  <c r="M57" i="35"/>
  <c r="M58" i="35"/>
  <c r="M59" i="35"/>
  <c r="M60" i="35"/>
  <c r="M2" i="34"/>
  <c r="M3" i="34"/>
  <c r="M4" i="34"/>
  <c r="M5" i="34"/>
  <c r="M6" i="34"/>
  <c r="M7" i="34"/>
  <c r="M8" i="34"/>
  <c r="M9" i="34"/>
  <c r="M10" i="34"/>
  <c r="M11" i="34"/>
  <c r="M12" i="34"/>
  <c r="M13" i="34"/>
  <c r="M14" i="34"/>
  <c r="M15" i="34"/>
  <c r="M16" i="34"/>
  <c r="M17" i="34"/>
  <c r="M18" i="34"/>
  <c r="M19" i="34"/>
  <c r="M20" i="34"/>
  <c r="M21" i="34"/>
  <c r="M22" i="34"/>
  <c r="M23" i="34"/>
  <c r="M24" i="34"/>
  <c r="M25" i="34"/>
  <c r="M26" i="34"/>
  <c r="M27" i="34"/>
  <c r="M28" i="34"/>
  <c r="M29" i="34"/>
  <c r="M30" i="34"/>
  <c r="M31" i="34"/>
  <c r="M32" i="34"/>
  <c r="M33" i="34"/>
  <c r="M34" i="34"/>
  <c r="M35" i="34"/>
  <c r="M36" i="34"/>
  <c r="M37" i="34"/>
  <c r="M38" i="34"/>
  <c r="M39" i="34"/>
  <c r="M40" i="34"/>
  <c r="M41" i="34"/>
  <c r="M42" i="34"/>
  <c r="M43" i="34"/>
  <c r="M44" i="34"/>
  <c r="M45" i="34"/>
  <c r="M46" i="34"/>
  <c r="M47" i="34"/>
  <c r="M48" i="34"/>
  <c r="M49" i="34"/>
  <c r="M50" i="34"/>
  <c r="M51" i="34"/>
  <c r="M52" i="34"/>
  <c r="M53" i="34"/>
  <c r="M54" i="34"/>
  <c r="M55" i="34"/>
  <c r="M56" i="34"/>
  <c r="M57" i="34"/>
  <c r="M58" i="34"/>
  <c r="M59" i="34"/>
  <c r="M60" i="34"/>
  <c r="M61" i="34"/>
  <c r="M62" i="34"/>
  <c r="M63" i="34"/>
  <c r="M64" i="34"/>
  <c r="M65" i="34"/>
  <c r="M66" i="34"/>
  <c r="M67" i="34"/>
  <c r="M68" i="34"/>
  <c r="M69" i="34"/>
  <c r="M70" i="34"/>
  <c r="M71" i="34"/>
  <c r="M72" i="34"/>
  <c r="M73" i="34"/>
  <c r="M74" i="34"/>
  <c r="M75" i="34"/>
  <c r="M76" i="34"/>
  <c r="M77" i="34"/>
  <c r="M78" i="34"/>
  <c r="M79" i="34"/>
  <c r="M80" i="34"/>
  <c r="M81" i="34"/>
  <c r="M82" i="34"/>
  <c r="M83" i="34"/>
  <c r="M84" i="34"/>
  <c r="M85" i="34"/>
  <c r="M86" i="34"/>
  <c r="M87" i="34"/>
  <c r="M88" i="34"/>
  <c r="M89" i="34"/>
  <c r="M90" i="34"/>
  <c r="M91" i="34"/>
  <c r="M92" i="34"/>
  <c r="M93" i="34"/>
  <c r="M94" i="34"/>
  <c r="M95" i="34"/>
  <c r="M96" i="34"/>
  <c r="M97" i="34"/>
  <c r="M2" i="33"/>
  <c r="M3" i="33"/>
  <c r="M4" i="33"/>
  <c r="M5" i="33"/>
  <c r="M6" i="33"/>
  <c r="M7" i="33"/>
  <c r="M8" i="33"/>
  <c r="M9" i="33"/>
  <c r="M10" i="33"/>
  <c r="M11" i="33"/>
  <c r="M12" i="33"/>
  <c r="M13" i="33"/>
  <c r="M14" i="33"/>
  <c r="M15" i="33"/>
  <c r="M16" i="33"/>
  <c r="M17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31" i="33"/>
  <c r="M32" i="33"/>
  <c r="M33" i="33"/>
  <c r="M34" i="33"/>
  <c r="M35" i="33"/>
  <c r="M36" i="33"/>
  <c r="M37" i="33"/>
  <c r="M38" i="33"/>
  <c r="M39" i="33"/>
  <c r="M40" i="33"/>
  <c r="M41" i="33"/>
  <c r="M42" i="33"/>
  <c r="M43" i="33"/>
  <c r="M44" i="33"/>
  <c r="M45" i="33"/>
  <c r="M46" i="33"/>
  <c r="M47" i="33"/>
  <c r="M48" i="33"/>
  <c r="M49" i="33"/>
  <c r="M50" i="33"/>
  <c r="M51" i="33"/>
  <c r="M52" i="33"/>
  <c r="M53" i="33"/>
  <c r="M54" i="33"/>
  <c r="M55" i="33"/>
  <c r="M56" i="33"/>
  <c r="M57" i="33"/>
  <c r="M58" i="33"/>
  <c r="M59" i="33"/>
  <c r="M60" i="33"/>
  <c r="M61" i="33"/>
  <c r="M62" i="33"/>
  <c r="M63" i="33"/>
  <c r="M64" i="33"/>
  <c r="M65" i="33"/>
  <c r="M66" i="33"/>
  <c r="M67" i="33"/>
  <c r="M68" i="33"/>
  <c r="M69" i="33"/>
  <c r="M70" i="33"/>
  <c r="M71" i="33"/>
  <c r="M72" i="33"/>
  <c r="M73" i="33"/>
  <c r="M74" i="33"/>
  <c r="M75" i="33"/>
  <c r="M76" i="33"/>
  <c r="M77" i="33"/>
  <c r="M78" i="33"/>
  <c r="M79" i="33"/>
  <c r="M80" i="33"/>
  <c r="M81" i="33"/>
  <c r="M82" i="33"/>
  <c r="M83" i="33"/>
  <c r="M84" i="33"/>
  <c r="M85" i="33"/>
  <c r="M86" i="33"/>
  <c r="M87" i="33"/>
  <c r="M88" i="33"/>
  <c r="M89" i="33"/>
  <c r="M90" i="33"/>
  <c r="M91" i="33"/>
  <c r="M92" i="33"/>
  <c r="M93" i="33"/>
  <c r="M94" i="33"/>
  <c r="M95" i="33"/>
  <c r="M96" i="33"/>
  <c r="M97" i="33"/>
  <c r="M98" i="33"/>
  <c r="M99" i="33"/>
  <c r="M100" i="33"/>
  <c r="M101" i="33"/>
  <c r="M102" i="33"/>
  <c r="M103" i="33"/>
  <c r="M104" i="33"/>
  <c r="M105" i="33"/>
  <c r="M106" i="33"/>
  <c r="M107" i="33"/>
  <c r="M108" i="33"/>
  <c r="M109" i="33"/>
  <c r="M110" i="33"/>
  <c r="M111" i="33"/>
  <c r="M112" i="33"/>
  <c r="M113" i="33"/>
  <c r="M114" i="33"/>
  <c r="M115" i="33"/>
  <c r="M116" i="33"/>
  <c r="M117" i="33"/>
  <c r="M118" i="33"/>
  <c r="M119" i="33"/>
  <c r="M120" i="33"/>
  <c r="M121" i="33"/>
  <c r="M122" i="33"/>
  <c r="M123" i="33"/>
  <c r="M124" i="33"/>
  <c r="M125" i="33"/>
  <c r="M126" i="33"/>
  <c r="M127" i="33"/>
  <c r="M128" i="33"/>
  <c r="M129" i="33"/>
  <c r="M130" i="33"/>
  <c r="M131" i="33"/>
  <c r="M132" i="33"/>
  <c r="M133" i="33"/>
  <c r="M134" i="33"/>
  <c r="M135" i="33"/>
  <c r="M136" i="33"/>
  <c r="M137" i="33"/>
  <c r="M138" i="33"/>
  <c r="M139" i="33"/>
  <c r="M140" i="33"/>
  <c r="M141" i="33"/>
  <c r="M142" i="33"/>
  <c r="M143" i="33"/>
  <c r="M144" i="33"/>
  <c r="M145" i="33"/>
  <c r="M146" i="33"/>
  <c r="M147" i="33"/>
  <c r="M148" i="33"/>
  <c r="M149" i="33"/>
  <c r="M150" i="33"/>
  <c r="M151" i="33"/>
  <c r="M2" i="32"/>
  <c r="M3" i="32"/>
  <c r="M4" i="32"/>
  <c r="M5" i="32"/>
  <c r="M6" i="32"/>
  <c r="M7" i="32"/>
  <c r="M8" i="32"/>
  <c r="M9" i="32"/>
  <c r="M10" i="32"/>
  <c r="M11" i="32"/>
  <c r="M12" i="32"/>
  <c r="M13" i="32"/>
  <c r="M14" i="32"/>
  <c r="M15" i="32"/>
  <c r="M16" i="32"/>
  <c r="M17" i="32"/>
  <c r="M18" i="32"/>
  <c r="M19" i="32"/>
  <c r="M20" i="32"/>
  <c r="M21" i="32"/>
  <c r="M22" i="32"/>
  <c r="M23" i="32"/>
  <c r="M24" i="32"/>
  <c r="M25" i="32"/>
  <c r="M26" i="32"/>
  <c r="M27" i="32"/>
  <c r="M28" i="32"/>
  <c r="M29" i="32"/>
  <c r="M30" i="32"/>
  <c r="M31" i="32"/>
  <c r="M32" i="32"/>
  <c r="M33" i="32"/>
  <c r="M34" i="32"/>
  <c r="M35" i="32"/>
  <c r="M36" i="32"/>
  <c r="M37" i="32"/>
  <c r="M38" i="32"/>
  <c r="M39" i="32"/>
  <c r="M40" i="32"/>
  <c r="M41" i="32"/>
  <c r="M42" i="32"/>
  <c r="M43" i="32"/>
  <c r="M44" i="32"/>
  <c r="M45" i="32"/>
  <c r="M46" i="32"/>
  <c r="M47" i="32"/>
  <c r="M48" i="32"/>
  <c r="M49" i="32"/>
  <c r="M50" i="32"/>
  <c r="M51" i="32"/>
  <c r="M52" i="32"/>
  <c r="M53" i="32"/>
  <c r="M54" i="32"/>
  <c r="M55" i="32"/>
  <c r="M56" i="32"/>
  <c r="M57" i="32"/>
  <c r="M58" i="32"/>
  <c r="M59" i="32"/>
  <c r="M60" i="32"/>
  <c r="M61" i="32"/>
  <c r="M62" i="32"/>
  <c r="M63" i="32"/>
  <c r="M64" i="32"/>
  <c r="M65" i="32"/>
  <c r="M66" i="32"/>
  <c r="M67" i="32"/>
  <c r="M68" i="32"/>
  <c r="M69" i="32"/>
  <c r="M70" i="32"/>
  <c r="M71" i="32"/>
  <c r="M72" i="32"/>
  <c r="M73" i="32"/>
  <c r="M74" i="32"/>
  <c r="M75" i="32"/>
  <c r="M76" i="32"/>
  <c r="M77" i="32"/>
  <c r="M78" i="32"/>
  <c r="M79" i="32"/>
  <c r="M80" i="32"/>
  <c r="M81" i="32"/>
  <c r="M82" i="32"/>
  <c r="M83" i="32"/>
  <c r="M84" i="32"/>
  <c r="M85" i="32"/>
  <c r="M86" i="32"/>
  <c r="M87" i="32"/>
  <c r="M88" i="32"/>
  <c r="M89" i="32"/>
  <c r="M90" i="32"/>
  <c r="M91" i="32"/>
  <c r="M92" i="32"/>
  <c r="M93" i="32"/>
  <c r="M94" i="32"/>
  <c r="M95" i="32"/>
  <c r="M96" i="32"/>
  <c r="M97" i="32"/>
  <c r="M98" i="32"/>
  <c r="M99" i="32"/>
  <c r="M100" i="32"/>
  <c r="M101" i="32"/>
  <c r="M102" i="32"/>
  <c r="M103" i="32"/>
  <c r="M104" i="32"/>
  <c r="M105" i="32"/>
  <c r="M106" i="32"/>
  <c r="M107" i="32"/>
  <c r="M108" i="32"/>
  <c r="M109" i="32"/>
  <c r="M110" i="32"/>
  <c r="M111" i="32"/>
  <c r="M112" i="32"/>
  <c r="M113" i="32"/>
  <c r="M114" i="32"/>
  <c r="M115" i="32"/>
  <c r="M116" i="32"/>
  <c r="M117" i="32"/>
  <c r="M118" i="32"/>
  <c r="M119" i="32"/>
  <c r="M120" i="32"/>
  <c r="M121" i="32"/>
  <c r="M122" i="32"/>
  <c r="M123" i="32"/>
  <c r="M124" i="32"/>
  <c r="M125" i="32"/>
  <c r="M126" i="32"/>
  <c r="M127" i="32"/>
  <c r="M128" i="32"/>
  <c r="M129" i="32"/>
  <c r="M130" i="32"/>
  <c r="M131" i="32"/>
  <c r="M132" i="32"/>
  <c r="M133" i="32"/>
  <c r="M134" i="32"/>
  <c r="M135" i="32"/>
  <c r="M136" i="32"/>
  <c r="M137" i="32"/>
  <c r="M138" i="32"/>
  <c r="M139" i="32"/>
  <c r="M140" i="32"/>
  <c r="M141" i="32"/>
  <c r="M142" i="32"/>
  <c r="M143" i="32"/>
  <c r="M144" i="32"/>
  <c r="M145" i="32"/>
  <c r="M146" i="32"/>
  <c r="M147" i="32"/>
  <c r="M148" i="32"/>
  <c r="M149" i="32"/>
  <c r="M150" i="32"/>
  <c r="M151" i="32"/>
  <c r="M152" i="32"/>
  <c r="M153" i="32"/>
  <c r="M154" i="32"/>
  <c r="M155" i="32"/>
  <c r="M156" i="32"/>
  <c r="M157" i="32"/>
  <c r="M158" i="32"/>
  <c r="M159" i="32"/>
  <c r="M160" i="32"/>
  <c r="M161" i="32"/>
  <c r="M162" i="32"/>
  <c r="M163" i="32"/>
  <c r="M164" i="32"/>
  <c r="M165" i="32"/>
  <c r="M166" i="32"/>
  <c r="M167" i="32"/>
  <c r="M168" i="32"/>
  <c r="M169" i="32"/>
  <c r="M170" i="32"/>
  <c r="M171" i="32"/>
  <c r="M172" i="32"/>
  <c r="M173" i="32"/>
  <c r="M174" i="32"/>
  <c r="M175" i="32"/>
  <c r="M176" i="32"/>
  <c r="M177" i="32"/>
  <c r="M178" i="32"/>
  <c r="M179" i="32"/>
  <c r="M180" i="32"/>
  <c r="M181" i="32"/>
  <c r="M182" i="32"/>
  <c r="M183" i="32"/>
  <c r="M184" i="32"/>
  <c r="M185" i="32"/>
  <c r="M186" i="32"/>
  <c r="M187" i="32"/>
  <c r="M188" i="32"/>
  <c r="M189" i="32"/>
  <c r="M190" i="32"/>
  <c r="M191" i="32"/>
  <c r="M192" i="32"/>
  <c r="M193" i="32"/>
  <c r="M194" i="32"/>
  <c r="M195" i="32"/>
  <c r="M196" i="32"/>
  <c r="M197" i="32"/>
  <c r="M198" i="32"/>
  <c r="M199" i="32"/>
  <c r="M200" i="32"/>
  <c r="M201" i="32"/>
  <c r="M202" i="32"/>
  <c r="M203" i="32"/>
  <c r="M204" i="32"/>
  <c r="M205" i="32"/>
  <c r="M206" i="32"/>
  <c r="M207" i="32"/>
  <c r="M208" i="32"/>
  <c r="M209" i="32"/>
  <c r="M210" i="32"/>
  <c r="M211" i="32"/>
  <c r="M212" i="32"/>
  <c r="M213" i="32"/>
  <c r="M214" i="32"/>
  <c r="M215" i="32"/>
  <c r="M216" i="32"/>
  <c r="M217" i="32"/>
  <c r="M218" i="32"/>
  <c r="M219" i="32"/>
  <c r="M220" i="32"/>
  <c r="M221" i="32"/>
  <c r="M222" i="32"/>
  <c r="M223" i="32"/>
  <c r="M224" i="32"/>
  <c r="M225" i="32"/>
  <c r="M226" i="32"/>
  <c r="M227" i="32"/>
  <c r="M228" i="32"/>
  <c r="M229" i="32"/>
  <c r="M230" i="32"/>
  <c r="M231" i="32"/>
  <c r="M232" i="32"/>
  <c r="M233" i="32"/>
  <c r="M234" i="32"/>
  <c r="M235" i="32"/>
  <c r="M236" i="32"/>
  <c r="M237" i="32"/>
  <c r="M238" i="32"/>
  <c r="M239" i="32"/>
  <c r="M240" i="32"/>
  <c r="M241" i="32"/>
  <c r="M242" i="32"/>
  <c r="M243" i="32"/>
  <c r="M244" i="32"/>
  <c r="M245" i="32"/>
  <c r="M246" i="32"/>
  <c r="M247" i="32"/>
  <c r="M248" i="32"/>
  <c r="M249" i="32"/>
  <c r="M250" i="32"/>
  <c r="M251" i="32"/>
  <c r="M252" i="32"/>
  <c r="M253" i="32"/>
  <c r="M254" i="32"/>
  <c r="M255" i="32"/>
  <c r="M256" i="32"/>
  <c r="M257" i="32"/>
  <c r="M258" i="32"/>
  <c r="M259" i="32"/>
  <c r="M260" i="32"/>
  <c r="M261" i="32"/>
  <c r="M262" i="32"/>
  <c r="M263" i="32"/>
  <c r="M264" i="32"/>
  <c r="M265" i="32"/>
  <c r="M266" i="32"/>
  <c r="M267" i="32"/>
  <c r="M268" i="32"/>
  <c r="M269" i="32"/>
  <c r="M270" i="32"/>
  <c r="M271" i="32"/>
  <c r="M272" i="32"/>
  <c r="M273" i="32"/>
  <c r="M274" i="32"/>
  <c r="M275" i="32"/>
  <c r="M276" i="32"/>
  <c r="M277" i="32"/>
  <c r="M278" i="32"/>
  <c r="M279" i="32"/>
  <c r="M280" i="32"/>
  <c r="M281" i="32"/>
  <c r="M282" i="32"/>
  <c r="M283" i="32"/>
  <c r="M284" i="32"/>
  <c r="M285" i="32"/>
  <c r="M286" i="32"/>
  <c r="M287" i="32"/>
  <c r="M288" i="32"/>
  <c r="M289" i="32"/>
  <c r="M290" i="32"/>
  <c r="M291" i="32"/>
  <c r="M292" i="32"/>
  <c r="M293" i="32"/>
  <c r="M294" i="32"/>
  <c r="M295" i="32"/>
  <c r="M296" i="32"/>
  <c r="M297" i="32"/>
  <c r="M298" i="32"/>
  <c r="M299" i="32"/>
  <c r="M300" i="32"/>
  <c r="M301" i="32"/>
  <c r="M302" i="32"/>
  <c r="M303" i="32"/>
  <c r="M304" i="32"/>
  <c r="M305" i="32"/>
  <c r="M306" i="32"/>
  <c r="M307" i="32"/>
  <c r="M308" i="32"/>
  <c r="M309" i="32"/>
  <c r="M310" i="32"/>
  <c r="M311" i="32"/>
  <c r="M312" i="32"/>
  <c r="M313" i="32"/>
  <c r="M314" i="32"/>
  <c r="M315" i="32"/>
  <c r="M316" i="32"/>
  <c r="M317" i="32"/>
  <c r="M318" i="32"/>
  <c r="M319" i="32"/>
  <c r="M320" i="32"/>
  <c r="M321" i="32"/>
  <c r="M322" i="32"/>
  <c r="M323" i="32"/>
  <c r="M324" i="32"/>
  <c r="M325" i="32"/>
  <c r="M326" i="32"/>
  <c r="M327" i="32"/>
  <c r="M328" i="32"/>
  <c r="M329" i="32"/>
  <c r="M330" i="32"/>
  <c r="M331" i="32"/>
  <c r="M332" i="32"/>
  <c r="M333" i="32"/>
  <c r="M334" i="32"/>
  <c r="M335" i="32"/>
  <c r="M336" i="32"/>
  <c r="M337" i="32"/>
  <c r="M338" i="32"/>
  <c r="M339" i="32"/>
  <c r="M340" i="32"/>
  <c r="M341" i="32"/>
  <c r="M342" i="32"/>
  <c r="M343" i="32"/>
  <c r="M344" i="32"/>
  <c r="M345" i="32"/>
  <c r="M346" i="32"/>
  <c r="M2" i="31"/>
  <c r="M3" i="31"/>
  <c r="M4" i="31"/>
  <c r="M5" i="31"/>
  <c r="M6" i="31"/>
  <c r="M7" i="31"/>
  <c r="M8" i="31"/>
  <c r="M9" i="31"/>
  <c r="M10" i="31"/>
  <c r="M11" i="31"/>
  <c r="M12" i="31"/>
  <c r="M13" i="31"/>
  <c r="M14" i="31"/>
  <c r="M15" i="31"/>
  <c r="M16" i="31"/>
  <c r="M17" i="31"/>
  <c r="M18" i="31"/>
  <c r="M19" i="31"/>
  <c r="M20" i="31"/>
  <c r="M21" i="31"/>
  <c r="M22" i="31"/>
  <c r="M23" i="31"/>
  <c r="M24" i="31"/>
  <c r="M25" i="31"/>
  <c r="M26" i="31"/>
  <c r="M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42" i="31"/>
  <c r="M43" i="31"/>
  <c r="M44" i="31"/>
  <c r="M45" i="31"/>
  <c r="M46" i="31"/>
  <c r="M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M62" i="31"/>
  <c r="M63" i="31"/>
  <c r="M64" i="31"/>
  <c r="M65" i="31"/>
  <c r="M66" i="31"/>
  <c r="M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M82" i="31"/>
  <c r="M83" i="31"/>
  <c r="M84" i="31"/>
  <c r="M85" i="31"/>
  <c r="M86" i="31"/>
  <c r="M87" i="31"/>
  <c r="M88" i="31"/>
  <c r="M89" i="31"/>
  <c r="M90" i="31"/>
  <c r="M91" i="31"/>
  <c r="M92" i="31"/>
  <c r="M93" i="31"/>
  <c r="M94" i="31"/>
  <c r="M95" i="31"/>
  <c r="M96" i="31"/>
  <c r="M97" i="31"/>
  <c r="M98" i="31"/>
  <c r="M99" i="31"/>
  <c r="M100" i="31"/>
  <c r="M101" i="31"/>
  <c r="M102" i="31"/>
  <c r="M103" i="31"/>
  <c r="M104" i="31"/>
  <c r="M105" i="31"/>
  <c r="M106" i="31"/>
  <c r="M107" i="31"/>
  <c r="M108" i="31"/>
  <c r="M109" i="31"/>
  <c r="M110" i="31"/>
  <c r="M111" i="31"/>
  <c r="M112" i="31"/>
  <c r="M113" i="31"/>
  <c r="M114" i="31"/>
  <c r="M115" i="31"/>
  <c r="M116" i="31"/>
  <c r="M117" i="31"/>
  <c r="M118" i="31"/>
  <c r="M119" i="31"/>
  <c r="M120" i="31"/>
  <c r="M121" i="31"/>
  <c r="M122" i="31"/>
  <c r="M123" i="31"/>
  <c r="M124" i="31"/>
  <c r="M125" i="31"/>
  <c r="M126" i="31"/>
  <c r="M127" i="31"/>
  <c r="M128" i="31"/>
  <c r="M129" i="31"/>
  <c r="M130" i="31"/>
  <c r="M131" i="31"/>
  <c r="M132" i="31"/>
  <c r="M133" i="31"/>
  <c r="M134" i="31"/>
  <c r="M135" i="31"/>
  <c r="M136" i="31"/>
  <c r="M137" i="31"/>
  <c r="M138" i="31"/>
  <c r="M139" i="31"/>
  <c r="M140" i="31"/>
  <c r="M141" i="31"/>
  <c r="M142" i="31"/>
  <c r="M143" i="31"/>
  <c r="M144" i="31"/>
  <c r="M145" i="31"/>
  <c r="M146" i="31"/>
  <c r="M147" i="31"/>
  <c r="M148" i="31"/>
  <c r="M149" i="31"/>
  <c r="M150" i="31"/>
  <c r="M151" i="31"/>
  <c r="M152" i="31"/>
  <c r="M153" i="31"/>
  <c r="M154" i="31"/>
  <c r="M155" i="31"/>
  <c r="M156" i="31"/>
  <c r="M157" i="31"/>
  <c r="M158" i="31"/>
  <c r="M159" i="31"/>
  <c r="M160" i="31"/>
  <c r="M161" i="31"/>
  <c r="M162" i="31"/>
  <c r="M163" i="31"/>
  <c r="M164" i="31"/>
  <c r="M165" i="31"/>
  <c r="M166" i="31"/>
  <c r="M167" i="31"/>
  <c r="M168" i="31"/>
  <c r="M169" i="31"/>
  <c r="M170" i="31"/>
  <c r="M171" i="31"/>
  <c r="M172" i="31"/>
  <c r="M173" i="31"/>
  <c r="M174" i="31"/>
  <c r="M175" i="31"/>
  <c r="M176" i="31"/>
  <c r="M177" i="31"/>
  <c r="M178" i="31"/>
  <c r="M179" i="31"/>
  <c r="M180" i="31"/>
  <c r="M181" i="31"/>
  <c r="M182" i="31"/>
  <c r="M183" i="31"/>
  <c r="M184" i="31"/>
  <c r="M185" i="31"/>
  <c r="M186" i="31"/>
  <c r="M187" i="31"/>
  <c r="M188" i="31"/>
  <c r="M189" i="31"/>
  <c r="M190" i="31"/>
  <c r="M191" i="31"/>
  <c r="M192" i="31"/>
  <c r="M193" i="31"/>
  <c r="M194" i="31"/>
  <c r="M195" i="31"/>
  <c r="M196" i="31"/>
  <c r="M197" i="31"/>
  <c r="M198" i="31"/>
  <c r="M199" i="31"/>
  <c r="M200" i="31"/>
  <c r="M201" i="31"/>
  <c r="M202" i="31"/>
  <c r="M203" i="31"/>
  <c r="M204" i="31"/>
  <c r="M205" i="31"/>
  <c r="M206" i="31"/>
  <c r="M207" i="31"/>
  <c r="M208" i="31"/>
  <c r="M209" i="31"/>
  <c r="M210" i="31"/>
  <c r="M211" i="31"/>
  <c r="M212" i="31"/>
  <c r="M213" i="31"/>
  <c r="M214" i="31"/>
  <c r="M215" i="31"/>
  <c r="M216" i="31"/>
  <c r="M217" i="31"/>
  <c r="M218" i="31"/>
  <c r="M219" i="31"/>
  <c r="M220" i="31"/>
  <c r="M221" i="31"/>
  <c r="M222" i="31"/>
  <c r="M223" i="31"/>
  <c r="M224" i="31"/>
  <c r="M225" i="31"/>
  <c r="M226" i="31"/>
  <c r="M227" i="31"/>
  <c r="M228" i="31"/>
  <c r="M229" i="31"/>
  <c r="M230" i="31"/>
  <c r="M231" i="31"/>
  <c r="M232" i="31"/>
  <c r="M233" i="31"/>
  <c r="M234" i="31"/>
  <c r="M235" i="31"/>
  <c r="M236" i="31"/>
  <c r="M237" i="31"/>
  <c r="M238" i="31"/>
  <c r="M239" i="31"/>
  <c r="M240" i="31"/>
  <c r="M241" i="31"/>
  <c r="M242" i="31"/>
  <c r="M243" i="31"/>
  <c r="M244" i="31"/>
  <c r="M245" i="31"/>
  <c r="M246" i="31"/>
  <c r="M247" i="31"/>
  <c r="M248" i="31"/>
  <c r="M249" i="31"/>
  <c r="M250" i="31"/>
  <c r="M251" i="31"/>
  <c r="M252" i="31"/>
  <c r="M253" i="31"/>
  <c r="M254" i="31"/>
  <c r="M255" i="31"/>
  <c r="M256" i="31"/>
  <c r="M257" i="31"/>
  <c r="M258" i="31"/>
  <c r="M259" i="31"/>
  <c r="M260" i="31"/>
  <c r="M261" i="31"/>
  <c r="M262" i="31"/>
  <c r="M263" i="31"/>
  <c r="M264" i="31"/>
  <c r="M265" i="31"/>
  <c r="M266" i="31"/>
  <c r="M267" i="31"/>
  <c r="M268" i="31"/>
  <c r="M269" i="31"/>
  <c r="M270" i="31"/>
  <c r="M271" i="31"/>
  <c r="M272" i="31"/>
  <c r="M273" i="31"/>
  <c r="M274" i="31"/>
  <c r="M275" i="31"/>
  <c r="M276" i="31"/>
  <c r="M277" i="31"/>
  <c r="M278" i="31"/>
  <c r="M279" i="31"/>
  <c r="M280" i="31"/>
  <c r="M281" i="31"/>
  <c r="M282" i="31"/>
  <c r="M283" i="31"/>
  <c r="M284" i="31"/>
  <c r="M285" i="31"/>
  <c r="M286" i="31"/>
  <c r="M287" i="31"/>
  <c r="M288" i="31"/>
  <c r="M289" i="31"/>
  <c r="M290" i="31"/>
  <c r="M291" i="31"/>
  <c r="M292" i="31"/>
  <c r="M293" i="31"/>
  <c r="M294" i="31"/>
  <c r="M295" i="31"/>
  <c r="M296" i="31"/>
  <c r="M297" i="31"/>
  <c r="M298" i="31"/>
  <c r="M299" i="31"/>
  <c r="M300" i="31"/>
  <c r="M301" i="31"/>
  <c r="M302" i="31"/>
  <c r="M303" i="31"/>
  <c r="M304" i="31"/>
  <c r="M305" i="31"/>
  <c r="M306" i="31"/>
  <c r="M307" i="31"/>
  <c r="M308" i="31"/>
  <c r="M309" i="31"/>
  <c r="M310" i="31"/>
  <c r="M311" i="31"/>
  <c r="M312" i="31"/>
  <c r="M313" i="31"/>
  <c r="M314" i="31"/>
  <c r="M315" i="31"/>
  <c r="M316" i="31"/>
  <c r="M317" i="31"/>
  <c r="M318" i="31"/>
  <c r="M319" i="31"/>
  <c r="M320" i="31"/>
  <c r="M321" i="31"/>
  <c r="M322" i="31"/>
  <c r="M323" i="31"/>
  <c r="M324" i="31"/>
  <c r="M325" i="31"/>
  <c r="M326" i="31"/>
  <c r="M327" i="31"/>
  <c r="M328" i="31"/>
  <c r="M329" i="31"/>
  <c r="M330" i="31"/>
  <c r="M331" i="31"/>
  <c r="M332" i="31"/>
  <c r="M333" i="31"/>
  <c r="M334" i="31"/>
  <c r="M335" i="31"/>
  <c r="M336" i="31"/>
  <c r="M337" i="31"/>
  <c r="M338" i="31"/>
  <c r="M339" i="31"/>
  <c r="M340" i="31"/>
  <c r="M341" i="31"/>
  <c r="M342" i="31"/>
  <c r="M343" i="31"/>
  <c r="M344" i="31"/>
  <c r="M345" i="31"/>
  <c r="M346" i="31"/>
  <c r="M347" i="31"/>
  <c r="M348" i="31"/>
  <c r="M349" i="31"/>
  <c r="M350" i="31"/>
  <c r="M351" i="31"/>
  <c r="M352" i="31"/>
  <c r="M353" i="31"/>
  <c r="M354" i="31"/>
  <c r="M355" i="31"/>
  <c r="M356" i="31"/>
  <c r="M357" i="31"/>
  <c r="M2" i="30"/>
  <c r="M3" i="30"/>
  <c r="M4" i="30"/>
  <c r="M5" i="30"/>
  <c r="M6" i="30"/>
  <c r="M7" i="30"/>
  <c r="M8" i="30"/>
  <c r="M9" i="30"/>
  <c r="M10" i="30"/>
  <c r="M11" i="30"/>
  <c r="M12" i="30"/>
  <c r="M13" i="30"/>
  <c r="M14" i="30"/>
  <c r="M15" i="30"/>
  <c r="M16" i="30"/>
  <c r="M17" i="30"/>
  <c r="M18" i="30"/>
  <c r="M19" i="30"/>
  <c r="M20" i="30"/>
  <c r="M21" i="30"/>
  <c r="M22" i="30"/>
  <c r="M23" i="30"/>
  <c r="M24" i="30"/>
  <c r="M25" i="30"/>
  <c r="M26" i="30"/>
  <c r="M27" i="30"/>
  <c r="M28" i="30"/>
  <c r="M29" i="30"/>
  <c r="M30" i="30"/>
  <c r="M31" i="30"/>
  <c r="M32" i="30"/>
  <c r="M33" i="30"/>
  <c r="M34" i="30"/>
  <c r="M35" i="30"/>
  <c r="M36" i="30"/>
  <c r="M37" i="30"/>
  <c r="M38" i="30"/>
  <c r="M39" i="30"/>
  <c r="M40" i="30"/>
  <c r="M41" i="30"/>
  <c r="M42" i="30"/>
  <c r="M43" i="30"/>
  <c r="M44" i="30"/>
  <c r="M45" i="30"/>
  <c r="M46" i="30"/>
  <c r="M47" i="30"/>
  <c r="M48" i="30"/>
  <c r="M49" i="30"/>
  <c r="M50" i="30"/>
  <c r="M51" i="30"/>
  <c r="M52" i="30"/>
  <c r="M53" i="30"/>
  <c r="M54" i="30"/>
  <c r="M55" i="30"/>
  <c r="M56" i="30"/>
  <c r="M57" i="30"/>
  <c r="M58" i="30"/>
  <c r="M59" i="30"/>
  <c r="M60" i="30"/>
  <c r="M61" i="30"/>
  <c r="M62" i="30"/>
  <c r="M63" i="30"/>
  <c r="M64" i="30"/>
  <c r="M65" i="30"/>
  <c r="M66" i="30"/>
  <c r="M67" i="30"/>
  <c r="M68" i="30"/>
  <c r="M69" i="30"/>
  <c r="M70" i="30"/>
  <c r="M71" i="30"/>
  <c r="M72" i="30"/>
  <c r="M73" i="30"/>
  <c r="M74" i="30"/>
  <c r="M75" i="30"/>
  <c r="M76" i="30"/>
  <c r="M77" i="30"/>
  <c r="M78" i="30"/>
  <c r="M79" i="30"/>
  <c r="M80" i="30"/>
  <c r="M81" i="30"/>
  <c r="M82" i="30"/>
  <c r="M83" i="30"/>
  <c r="M84" i="30"/>
  <c r="M85" i="30"/>
  <c r="M86" i="30"/>
  <c r="M87" i="30"/>
  <c r="M88" i="30"/>
  <c r="M89" i="30"/>
  <c r="M90" i="30"/>
  <c r="M91" i="30"/>
  <c r="M92" i="30"/>
  <c r="M93" i="30"/>
  <c r="M94" i="30"/>
  <c r="M95" i="30"/>
  <c r="M96" i="30"/>
  <c r="M97" i="30"/>
  <c r="M98" i="30"/>
  <c r="M99" i="30"/>
  <c r="M100" i="30"/>
  <c r="M101" i="30"/>
  <c r="M102" i="30"/>
  <c r="M103" i="30"/>
  <c r="M104" i="30"/>
  <c r="M105" i="30"/>
  <c r="M106" i="30"/>
  <c r="M107" i="30"/>
  <c r="M108" i="30"/>
  <c r="M109" i="30"/>
  <c r="M110" i="30"/>
  <c r="M111" i="30"/>
  <c r="M112" i="30"/>
  <c r="M113" i="30"/>
  <c r="M114" i="30"/>
  <c r="M115" i="30"/>
  <c r="M116" i="30"/>
  <c r="M117" i="30"/>
  <c r="M118" i="30"/>
  <c r="M119" i="30"/>
  <c r="M120" i="30"/>
  <c r="M121" i="30"/>
  <c r="M122" i="30"/>
  <c r="M123" i="30"/>
  <c r="M124" i="30"/>
  <c r="M125" i="30"/>
  <c r="M126" i="30"/>
  <c r="M127" i="30"/>
  <c r="M128" i="30"/>
  <c r="M2" i="23"/>
  <c r="M3" i="23"/>
  <c r="M4" i="23"/>
  <c r="M5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60" i="23"/>
  <c r="M61" i="23"/>
  <c r="M62" i="23"/>
  <c r="M63" i="23"/>
  <c r="M64" i="23"/>
  <c r="M65" i="23"/>
  <c r="M66" i="23"/>
  <c r="M67" i="23"/>
  <c r="M68" i="23"/>
  <c r="M69" i="23"/>
  <c r="M70" i="23"/>
  <c r="M71" i="23"/>
  <c r="M72" i="23"/>
  <c r="M73" i="23"/>
  <c r="M74" i="23"/>
  <c r="M75" i="23"/>
  <c r="M76" i="23"/>
  <c r="M77" i="23"/>
  <c r="M78" i="23"/>
  <c r="M79" i="23"/>
  <c r="M80" i="23"/>
  <c r="M81" i="23"/>
  <c r="M82" i="23"/>
  <c r="M83" i="23"/>
  <c r="M84" i="23"/>
  <c r="M85" i="23"/>
  <c r="M86" i="23"/>
  <c r="M87" i="23"/>
  <c r="M88" i="23"/>
  <c r="M89" i="23"/>
  <c r="M90" i="23"/>
  <c r="M91" i="23"/>
  <c r="M92" i="23"/>
  <c r="M93" i="23"/>
  <c r="M94" i="23"/>
  <c r="M95" i="23"/>
  <c r="M96" i="23"/>
  <c r="M97" i="23"/>
  <c r="M98" i="23"/>
  <c r="M99" i="23"/>
  <c r="M100" i="23"/>
  <c r="M101" i="23"/>
  <c r="M102" i="23"/>
  <c r="M103" i="23"/>
  <c r="M104" i="23"/>
  <c r="M105" i="23"/>
  <c r="M106" i="23"/>
  <c r="M107" i="23"/>
  <c r="M108" i="23"/>
  <c r="M109" i="23"/>
  <c r="M110" i="23"/>
  <c r="M111" i="23"/>
  <c r="M112" i="23"/>
  <c r="M113" i="23"/>
  <c r="M114" i="23"/>
  <c r="M115" i="23"/>
  <c r="M116" i="23"/>
  <c r="M117" i="23"/>
  <c r="M118" i="23"/>
  <c r="M119" i="23"/>
  <c r="M120" i="23"/>
  <c r="M121" i="23"/>
  <c r="M122" i="23"/>
  <c r="M123" i="23"/>
  <c r="M124" i="23"/>
  <c r="M125" i="23"/>
  <c r="M126" i="23"/>
  <c r="M127" i="23"/>
  <c r="M128" i="23"/>
  <c r="M129" i="23"/>
  <c r="M130" i="23"/>
  <c r="M131" i="23"/>
  <c r="M132" i="23"/>
  <c r="M133" i="23"/>
  <c r="M134" i="23"/>
  <c r="M135" i="23"/>
  <c r="M136" i="23"/>
  <c r="M137" i="23"/>
  <c r="M138" i="23"/>
  <c r="M139" i="23"/>
  <c r="M140" i="23"/>
  <c r="M141" i="23"/>
  <c r="M142" i="23"/>
  <c r="M143" i="23"/>
  <c r="M144" i="23"/>
  <c r="M145" i="23"/>
  <c r="M146" i="23"/>
  <c r="M147" i="23"/>
  <c r="M148" i="23"/>
  <c r="M149" i="23"/>
  <c r="M150" i="23"/>
  <c r="M151" i="23"/>
  <c r="M152" i="23"/>
  <c r="M153" i="23"/>
  <c r="M2" i="29"/>
  <c r="M3" i="29"/>
  <c r="M4" i="29"/>
  <c r="M5" i="29"/>
  <c r="M6" i="29"/>
  <c r="M7" i="29"/>
  <c r="M8" i="29"/>
  <c r="M9" i="29"/>
  <c r="M10" i="29"/>
  <c r="M11" i="29"/>
  <c r="M12" i="29"/>
  <c r="M13" i="29"/>
  <c r="M14" i="29"/>
  <c r="M15" i="29"/>
  <c r="M16" i="29"/>
  <c r="M17" i="29"/>
  <c r="M18" i="29"/>
  <c r="M19" i="29"/>
  <c r="M20" i="29"/>
  <c r="M21" i="29"/>
  <c r="M22" i="29"/>
  <c r="M23" i="29"/>
  <c r="M24" i="29"/>
  <c r="M25" i="29"/>
  <c r="M26" i="29"/>
  <c r="M27" i="29"/>
  <c r="M28" i="29"/>
  <c r="M29" i="29"/>
  <c r="M30" i="29"/>
  <c r="M31" i="29"/>
  <c r="M32" i="29"/>
  <c r="M33" i="29"/>
  <c r="M34" i="29"/>
  <c r="M35" i="29"/>
  <c r="M36" i="29"/>
  <c r="M37" i="29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60" i="29"/>
  <c r="M61" i="29"/>
  <c r="M62" i="29"/>
  <c r="M63" i="29"/>
  <c r="M64" i="29"/>
  <c r="M65" i="29"/>
  <c r="M66" i="29"/>
  <c r="M67" i="29"/>
  <c r="M68" i="29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177" i="29"/>
  <c r="M178" i="29"/>
  <c r="M179" i="29"/>
  <c r="M180" i="29"/>
  <c r="M181" i="29"/>
  <c r="M182" i="29"/>
  <c r="M183" i="29"/>
  <c r="M184" i="29"/>
  <c r="M185" i="29"/>
  <c r="M186" i="29"/>
  <c r="M187" i="29"/>
  <c r="M188" i="29"/>
  <c r="M189" i="29"/>
  <c r="M190" i="29"/>
  <c r="M191" i="29"/>
  <c r="M192" i="29"/>
  <c r="M193" i="29"/>
  <c r="M194" i="29"/>
  <c r="M195" i="29"/>
  <c r="M196" i="29"/>
  <c r="M197" i="29"/>
  <c r="M2" i="19"/>
  <c r="M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M80" i="19"/>
  <c r="M81" i="19"/>
  <c r="M82" i="19"/>
  <c r="M83" i="19"/>
  <c r="M84" i="19"/>
  <c r="M85" i="19"/>
  <c r="M86" i="19"/>
  <c r="M87" i="19"/>
  <c r="M88" i="19"/>
  <c r="M89" i="19"/>
  <c r="M90" i="19"/>
  <c r="M91" i="19"/>
  <c r="M92" i="19"/>
  <c r="M93" i="19"/>
  <c r="M94" i="19"/>
  <c r="M95" i="19"/>
  <c r="M96" i="19"/>
  <c r="M97" i="19"/>
  <c r="M98" i="19"/>
  <c r="M99" i="19"/>
  <c r="M100" i="19"/>
  <c r="M101" i="19"/>
  <c r="M102" i="19"/>
  <c r="M103" i="19"/>
  <c r="M104" i="19"/>
  <c r="M105" i="19"/>
  <c r="M106" i="19"/>
  <c r="M107" i="19"/>
  <c r="M108" i="19"/>
  <c r="M109" i="19"/>
  <c r="M110" i="19"/>
  <c r="M111" i="19"/>
  <c r="M112" i="19"/>
  <c r="M113" i="19"/>
  <c r="M114" i="19"/>
  <c r="M115" i="19"/>
  <c r="M116" i="19"/>
  <c r="M117" i="19"/>
  <c r="M118" i="19"/>
  <c r="M119" i="19"/>
  <c r="M120" i="19"/>
  <c r="M121" i="19"/>
  <c r="N2" i="19"/>
  <c r="N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121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86CCD1-8D1E-4E3F-8109-0C917374A4B7}" keepAlive="1" name="Запрос — 1011_1611_2025" description="Соединение с запросом &quot;1011_1611_2025&quot; в книге." type="5" refreshedVersion="7" background="1" saveData="1">
    <dbPr connection="Provider=Microsoft.Mashup.OleDb.1;Data Source=$Workbook$;Location=1011_1611_2025;Extended Properties=&quot;&quot;" command="SELECT * FROM [1011_1611_2025]"/>
  </connection>
  <connection id="2" xr16:uid="{7FA9F514-0639-4FEF-960B-85462853C7C6}" keepAlive="1" name="Запрос — 1011_1611_2025 (10)" description="Соединение с запросом &quot;1011_1611_2025 (10)&quot; в книге." type="5" refreshedVersion="7" background="1" saveData="1">
    <dbPr connection="Provider=Microsoft.Mashup.OleDb.1;Data Source=$Workbook$;Location=&quot;1011_1611_2025 (10)&quot;;Extended Properties=&quot;&quot;" command="SELECT * FROM [1011_1611_2025 (10)]"/>
  </connection>
  <connection id="3" xr16:uid="{23C3B9F5-64A2-4D4D-BA5C-A40D7267D3C2}" keepAlive="1" name="Запрос — 1011_1611_2025 (11)" description="Соединение с запросом &quot;1011_1611_2025 (11)&quot; в книге." type="5" refreshedVersion="7" background="1" saveData="1">
    <dbPr connection="Provider=Microsoft.Mashup.OleDb.1;Data Source=$Workbook$;Location=&quot;1011_1611_2025 (11)&quot;;Extended Properties=&quot;&quot;" command="SELECT * FROM [1011_1611_2025 (11)]"/>
  </connection>
  <connection id="4" xr16:uid="{F5A30E73-7738-4AE2-9573-F783882A2576}" keepAlive="1" name="Запрос — 1011_1611_2025 (12)" description="Соединение с запросом &quot;1011_1611_2025 (12)&quot; в книге." type="5" refreshedVersion="7" background="1" saveData="1">
    <dbPr connection="Provider=Microsoft.Mashup.OleDb.1;Data Source=$Workbook$;Location=&quot;1011_1611_2025 (12)&quot;;Extended Properties=&quot;&quot;" command="SELECT * FROM [1011_1611_2025 (12)]"/>
  </connection>
  <connection id="5" xr16:uid="{97B43C34-33F5-4AC5-B9B4-D2CDD1FD5369}" keepAlive="1" name="Запрос — 1011_1611_2025 (13)" description="Соединение с запросом &quot;1011_1611_2025 (13)&quot; в книге." type="5" refreshedVersion="7" background="1" saveData="1">
    <dbPr connection="Provider=Microsoft.Mashup.OleDb.1;Data Source=$Workbook$;Location=&quot;1011_1611_2025 (13)&quot;;Extended Properties=&quot;&quot;" command="SELECT * FROM [1011_1611_2025 (13)]"/>
  </connection>
  <connection id="6" xr16:uid="{3C3022EC-CDA8-4D07-BA5C-F58BDDFAA839}" keepAlive="1" name="Запрос — 1011_1611_2025 (2)" description="Соединение с запросом &quot;1011_1611_2025 (2)&quot; в книге." type="5" refreshedVersion="7" background="1" saveData="1">
    <dbPr connection="Provider=Microsoft.Mashup.OleDb.1;Data Source=$Workbook$;Location=&quot;1011_1611_2025 (2)&quot;;Extended Properties=&quot;&quot;" command="SELECT * FROM [1011_1611_2025 (2)]"/>
  </connection>
  <connection id="7" xr16:uid="{8F4306C1-1768-4208-87B3-D49EB739ED7E}" keepAlive="1" name="Запрос — 1011_1611_2025 (3)" description="Соединение с запросом &quot;1011_1611_2025 (3)&quot; в книге." type="5" refreshedVersion="7" background="1" saveData="1">
    <dbPr connection="Provider=Microsoft.Mashup.OleDb.1;Data Source=$Workbook$;Location=&quot;1011_1611_2025 (3)&quot;;Extended Properties=&quot;&quot;" command="SELECT * FROM [1011_1611_2025 (3)]"/>
  </connection>
  <connection id="8" xr16:uid="{0126EA31-7097-4543-920C-A175A2E45ED4}" keepAlive="1" name="Запрос — 1011_1611_2025 (4)" description="Соединение с запросом &quot;1011_1611_2025 (4)&quot; в книге." type="5" refreshedVersion="7" background="1" saveData="1">
    <dbPr connection="Provider=Microsoft.Mashup.OleDb.1;Data Source=$Workbook$;Location=&quot;1011_1611_2025 (4)&quot;;Extended Properties=&quot;&quot;" command="SELECT * FROM [1011_1611_2025 (4)]"/>
  </connection>
  <connection id="9" xr16:uid="{9AF7C1BF-5C5B-4AC2-A4C2-686A4336FD86}" keepAlive="1" name="Запрос — 1011_1611_2025 (5)" description="Соединение с запросом &quot;1011_1611_2025 (5)&quot; в книге." type="5" refreshedVersion="7" background="1" saveData="1">
    <dbPr connection="Provider=Microsoft.Mashup.OleDb.1;Data Source=$Workbook$;Location=&quot;1011_1611_2025 (5)&quot;;Extended Properties=&quot;&quot;" command="SELECT * FROM [1011_1611_2025 (5)]"/>
  </connection>
  <connection id="10" xr16:uid="{681E6A55-83DF-4E7C-8B3E-E5C2DE7A6CCD}" keepAlive="1" name="Запрос — 1011_1611_2025 (6)" description="Соединение с запросом &quot;1011_1611_2025 (6)&quot; в книге." type="5" refreshedVersion="7" background="1" saveData="1">
    <dbPr connection="Provider=Microsoft.Mashup.OleDb.1;Data Source=$Workbook$;Location=&quot;1011_1611_2025 (6)&quot;;Extended Properties=&quot;&quot;" command="SELECT * FROM [1011_1611_2025 (6)]"/>
  </connection>
  <connection id="11" xr16:uid="{4F43D4AB-592B-4338-B12F-472A6D0E72FB}" keepAlive="1" name="Запрос — 1011_1611_2025 (7)" description="Соединение с запросом &quot;1011_1611_2025 (7)&quot; в книге." type="5" refreshedVersion="7" background="1" saveData="1">
    <dbPr connection="Provider=Microsoft.Mashup.OleDb.1;Data Source=$Workbook$;Location=&quot;1011_1611_2025 (7)&quot;;Extended Properties=&quot;&quot;" command="SELECT * FROM [1011_1611_2025 (7)]"/>
  </connection>
  <connection id="12" xr16:uid="{08D0216C-D588-4363-B715-1AC95D524905}" keepAlive="1" name="Запрос — 1011_1611_2025 (8)" description="Соединение с запросом &quot;1011_1611_2025 (8)&quot; в книге." type="5" refreshedVersion="7" background="1" saveData="1">
    <dbPr connection="Provider=Microsoft.Mashup.OleDb.1;Data Source=$Workbook$;Location=&quot;1011_1611_2025 (8)&quot;;Extended Properties=&quot;&quot;" command="SELECT * FROM [1011_1611_2025 (8)]"/>
  </connection>
  <connection id="13" xr16:uid="{F372C7A6-2BB5-426B-92C6-27565A9C1F68}" keepAlive="1" name="Запрос — 1011_1611_2025 (9)" description="Соединение с запросом &quot;1011_1611_2025 (9)&quot; в книге." type="5" refreshedVersion="7" background="1" saveData="1">
    <dbPr connection="Provider=Microsoft.Mashup.OleDb.1;Data Source=$Workbook$;Location=&quot;1011_1611_2025 (9)&quot;;Extended Properties=&quot;&quot;" command="SELECT * FROM [1011_1611_2025 (9)]"/>
  </connection>
  <connection id="14" xr16:uid="{7BABBF07-CA15-4B84-8314-BDC1995C7408}" keepAlive="1" name="Запрос — СпрСклад2въезд" description="Соединение с запросом &quot;СпрСклад2въезд&quot; в книге." type="5" refreshedVersion="7" background="1" saveData="1">
    <dbPr connection="Provider=Microsoft.Mashup.OleDb.1;Data Source=$Workbook$;Location=СпрСклад2въезд;Extended Properties=&quot;&quot;" command="SELECT * FROM [СпрСклад2въезд]"/>
  </connection>
  <connection id="15" xr16:uid="{A392B3A5-3169-45D0-81C0-F4E168C1179A}" keepAlive="1" name="Запрос — Таблица3" description="Соединение с запросом &quot;Таблица3&quot; в книге." type="5" refreshedVersion="7" background="1" saveData="1">
    <dbPr connection="Provider=Microsoft.Mashup.OleDb.1;Data Source=$Workbook$;Location=Таблица3;Extended Properties=&quot;&quot;" command="SELECT * FROM [Таблица3]"/>
  </connection>
  <connection id="16" xr16:uid="{9A5D1A9E-70EF-462D-8808-9C77B5B3356E}" keepAlive="1" name="Запрос — Таблица3 (2)" description="Соединение с запросом &quot;Таблица3 (2)&quot; в книге." type="5" refreshedVersion="7" background="1" saveData="1">
    <dbPr connection="Provider=Microsoft.Mashup.OleDb.1;Data Source=$Workbook$;Location=&quot;Таблица3 (2)&quot;;Extended Properties=&quot;&quot;" command="SELECT * FROM [Таблица3 (2)]"/>
  </connection>
</connections>
</file>

<file path=xl/sharedStrings.xml><?xml version="1.0" encoding="utf-8"?>
<sst xmlns="http://schemas.openxmlformats.org/spreadsheetml/2006/main" count="29021" uniqueCount="6194">
  <si>
    <t>Дата</t>
  </si>
  <si>
    <t>Время</t>
  </si>
  <si>
    <t>Событие</t>
  </si>
  <si>
    <t>Объект</t>
  </si>
  <si>
    <t>Фиксация в кадре</t>
  </si>
  <si>
    <t>Начало дня</t>
  </si>
  <si>
    <t>Конец дня</t>
  </si>
  <si>
    <t>Работа крана</t>
  </si>
  <si>
    <t>Территория</t>
  </si>
  <si>
    <t>Пиломатериалы</t>
  </si>
  <si>
    <t>Конец смены</t>
  </si>
  <si>
    <t>Работа на срубе</t>
  </si>
  <si>
    <t>Работа с бревном</t>
  </si>
  <si>
    <t>пн</t>
  </si>
  <si>
    <t>вт</t>
  </si>
  <si>
    <t>ср</t>
  </si>
  <si>
    <t>чт</t>
  </si>
  <si>
    <t>пт</t>
  </si>
  <si>
    <t>сб</t>
  </si>
  <si>
    <t>Замеры бревен сруба</t>
  </si>
  <si>
    <t>Выключение света</t>
  </si>
  <si>
    <t>Территория, работа крана</t>
  </si>
  <si>
    <t>вс</t>
  </si>
  <si>
    <t>RelativePath</t>
  </si>
  <si>
    <t>Folder Path</t>
  </si>
  <si>
    <t>Name</t>
  </si>
  <si>
    <t>E33149364_6_20251110T115231Z.jpg</t>
  </si>
  <si>
    <t>E33149364_6_20251110T120047Z.jpg</t>
  </si>
  <si>
    <t>E33149364_6_20251110T120052Z.jpg</t>
  </si>
  <si>
    <t>E33149364_6_20251110T122835Z.jpg</t>
  </si>
  <si>
    <t>E33149364_6_20251110T134029Z.jpg</t>
  </si>
  <si>
    <t>E33149364_6_20251110T134540Z.jpg</t>
  </si>
  <si>
    <t>E33149364_6_20251110T143236Z.jpg</t>
  </si>
  <si>
    <t>E33149364_6_20251111T092327Z.jpg</t>
  </si>
  <si>
    <t>E33149364_6_20251111T104437Z.jpg</t>
  </si>
  <si>
    <t>E33149364_6_20251111T104712Z.jpg</t>
  </si>
  <si>
    <t>E33149364_6_20251111T104942Z.jpg</t>
  </si>
  <si>
    <t>E33149364_6_20251111T104958Z.jpg</t>
  </si>
  <si>
    <t>E33149364_6_20251111T113804Z.jpg</t>
  </si>
  <si>
    <t>E33149364_6_20251111T125226Z.jpg</t>
  </si>
  <si>
    <t>E33149364_6_20251111T154349Z.jpg</t>
  </si>
  <si>
    <t>E33149364_6_20251112T161438Z.jpg</t>
  </si>
  <si>
    <t>E33149364_6_20251112T170242Z.jpg</t>
  </si>
  <si>
    <t>Подпись</t>
  </si>
  <si>
    <t>E33149364_6_20251113T084904Z.jpg</t>
  </si>
  <si>
    <t>E33149364_6_20251113T085509Z.jpg</t>
  </si>
  <si>
    <t>E33149364_6_20251113T090456Z.jpg</t>
  </si>
  <si>
    <t>E33149364_6_20251113T090500Z.jpg</t>
  </si>
  <si>
    <t>E33149364_6_20251113T092918Z.jpg</t>
  </si>
  <si>
    <t>E33149364_6_20251113T093428Z.jpg</t>
  </si>
  <si>
    <t>E33149364_6_20251113T123446Z.jpg</t>
  </si>
  <si>
    <t>порожний</t>
  </si>
  <si>
    <t>Груз</t>
  </si>
  <si>
    <t>мешки с опилками</t>
  </si>
  <si>
    <t>Кол-во</t>
  </si>
  <si>
    <t>Погрузчик базы</t>
  </si>
  <si>
    <t>Легковой с прицепом</t>
  </si>
  <si>
    <t>Примечание</t>
  </si>
  <si>
    <t>доски</t>
  </si>
  <si>
    <t>груз один и тот же</t>
  </si>
  <si>
    <t>бревна</t>
  </si>
  <si>
    <t>День нед</t>
  </si>
  <si>
    <t>Выезд с территории</t>
  </si>
  <si>
    <t>Газель бортовая, синяя кабина</t>
  </si>
  <si>
    <t>Въезд на второстепенную дорогу</t>
  </si>
  <si>
    <t>красные доски, тюки</t>
  </si>
  <si>
    <t>Самосвал красный</t>
  </si>
  <si>
    <t>Погрузчик, желтый</t>
  </si>
  <si>
    <t>не видно, что находится в кузове</t>
  </si>
  <si>
    <t>земля</t>
  </si>
  <si>
    <t>Газель базы</t>
  </si>
  <si>
    <t>E33149364_6_20251114T084700Z.jpg</t>
  </si>
  <si>
    <t>E33149364_6_20251114T124506Z.jpg</t>
  </si>
  <si>
    <t>E33149364_6_20251114T125035Z.jpg</t>
  </si>
  <si>
    <t>E33149364_6_20251114T125414Z.jpg</t>
  </si>
  <si>
    <t>E33149364_6_20251114T125702Z.jpg</t>
  </si>
  <si>
    <t>E33149364_6_20251114T125754Z.jpg</t>
  </si>
  <si>
    <t>E33149364_6_20251114T130033Z.jpg</t>
  </si>
  <si>
    <t>E33149364_6_20251114T131318Z.jpg</t>
  </si>
  <si>
    <t>E33149364_6_20251114T131619Z.jpg</t>
  </si>
  <si>
    <t>E33149364_6_20251114T132811Z.jpg</t>
  </si>
  <si>
    <t>E33149364_6_20251114T133038Z.jpg</t>
  </si>
  <si>
    <t>E33149364_6_20251114T134227Z.jpg</t>
  </si>
  <si>
    <t>E33149364_6_20251114T134639Z.jpg</t>
  </si>
  <si>
    <t>E33149364_6_20251114T142453Z.jpg</t>
  </si>
  <si>
    <t>Выезд со второстепенной дороги</t>
  </si>
  <si>
    <t>Трактор базы</t>
  </si>
  <si>
    <t>шина</t>
  </si>
  <si>
    <t>щебень</t>
  </si>
  <si>
    <t>Задний ход, въезд на территорию</t>
  </si>
  <si>
    <t>Ссылка на фото</t>
  </si>
  <si>
    <t>Въезд на базу</t>
  </si>
  <si>
    <t>E33149364_7_20251110T092437Z.jpg</t>
  </si>
  <si>
    <t>пн 10.11.2025 — 09:24:37</t>
  </si>
  <si>
    <t>E33149364_7_20251110T092515Z.jpg</t>
  </si>
  <si>
    <t>пн 10.11.2025 — 09:25:15</t>
  </si>
  <si>
    <t>E33149364_7_20251110T100243Z.jpg</t>
  </si>
  <si>
    <t>пн 10.11.2025 — 10:02:43</t>
  </si>
  <si>
    <t>E33149364_7_20251110T103012Z.jpg</t>
  </si>
  <si>
    <t>пн 10.11.2025 — 10:30:12</t>
  </si>
  <si>
    <t>E33149364_7_20251110T103559Z.jpg</t>
  </si>
  <si>
    <t>пн 10.11.2025 — 10:35:59</t>
  </si>
  <si>
    <t>E33149364_7_20251110T104132Z.jpg</t>
  </si>
  <si>
    <t>пн 10.11.2025 — 10:41:32</t>
  </si>
  <si>
    <t>E33149364_7_20251110T105030Z.jpg</t>
  </si>
  <si>
    <t>пн 10.11.2025 — 10:50:30</t>
  </si>
  <si>
    <t>E33149364_7_20251110T105641Z.jpg</t>
  </si>
  <si>
    <t>пн 10.11.2025 — 10:56:41</t>
  </si>
  <si>
    <t>E33149364_7_20251111T075949Z.jpg</t>
  </si>
  <si>
    <t>вт 11.11.2025 — 07:59:49</t>
  </si>
  <si>
    <t>E33149364_7_20251111T082550Z.jpg</t>
  </si>
  <si>
    <t>вт 11.11.2025 — 08:25:50</t>
  </si>
  <si>
    <t>E33149364_7_20251111T105806Z.jpg</t>
  </si>
  <si>
    <t>вт 11.11.2025 — 10:58:06</t>
  </si>
  <si>
    <t>E33149364_7_20251111T143633Z.jpg</t>
  </si>
  <si>
    <t>вт 11.11.2025 — 14:36:33</t>
  </si>
  <si>
    <t>E33149364_7_20251111T144652Z.jpg</t>
  </si>
  <si>
    <t>вт 11.11.2025 — 14:46:52</t>
  </si>
  <si>
    <t>E33149364_7_20251111T145327Z.jpg</t>
  </si>
  <si>
    <t>вт 11.11.2025 — 14:53:27</t>
  </si>
  <si>
    <t>E33149364_7_20251111T150158Z.jpg</t>
  </si>
  <si>
    <t>вт 11.11.2025 — 15:01:58</t>
  </si>
  <si>
    <t>E33149364_7_20251111T155435Z.jpg</t>
  </si>
  <si>
    <t>вт 11.11.2025 — 15:54:35</t>
  </si>
  <si>
    <t>E33149364_7_20251112T182749Z.jpg</t>
  </si>
  <si>
    <t>ср 12.11.2025 — 18:27:49</t>
  </si>
  <si>
    <t>E33149364_7_20251113T081818Z.jpg</t>
  </si>
  <si>
    <t>чт 13.11.2025 — 08:18:18</t>
  </si>
  <si>
    <t>E33149364_7_20251113T090518Z.jpg</t>
  </si>
  <si>
    <t>чт 13.11.2025 — 09:05:18</t>
  </si>
  <si>
    <t>E33149364_7_20251113T162659Z.jpg</t>
  </si>
  <si>
    <t>чт 13.11.2025 — 16:26:59</t>
  </si>
  <si>
    <t>E33149364_7_20251113T162806Z.jpg</t>
  </si>
  <si>
    <t>чт 13.11.2025 — 16:28:06</t>
  </si>
  <si>
    <t>E33149364_7_20251113T170329Z.jpg</t>
  </si>
  <si>
    <t>чт 13.11.2025 — 17:03:29</t>
  </si>
  <si>
    <t>2 Пилорама поката\E33149364_7_20251110T092437Z.jpg</t>
  </si>
  <si>
    <t>2 Пилорама поката\E33149364_7_20251110T092515Z.jpg</t>
  </si>
  <si>
    <t>2 Пилорама поката\E33149364_7_20251110T100243Z.jpg</t>
  </si>
  <si>
    <t>2 Пилорама поката\E33149364_7_20251110T103012Z.jpg</t>
  </si>
  <si>
    <t>2 Пилорама поката\E33149364_7_20251110T103559Z.jpg</t>
  </si>
  <si>
    <t>2 Пилорама поката\E33149364_7_20251110T104132Z.jpg</t>
  </si>
  <si>
    <t>2 Пилорама поката\E33149364_7_20251110T105030Z.jpg</t>
  </si>
  <si>
    <t>2 Пилорама поката\E33149364_7_20251110T105641Z.jpg</t>
  </si>
  <si>
    <t>2 Пилорама поката\E33149364_7_20251111T075949Z.jpg</t>
  </si>
  <si>
    <t>2 Пилорама поката\E33149364_7_20251111T082550Z.jpg</t>
  </si>
  <si>
    <t>2 Пилорама поката\E33149364_7_20251111T105806Z.jpg</t>
  </si>
  <si>
    <t>2 Пилорама поката\E33149364_7_20251111T143633Z.jpg</t>
  </si>
  <si>
    <t>2 Пилорама поката\E33149364_7_20251111T144652Z.jpg</t>
  </si>
  <si>
    <t>2 Пилорама поката\E33149364_7_20251111T145327Z.jpg</t>
  </si>
  <si>
    <t>2 Пилорама поката\E33149364_7_20251111T150158Z.jpg</t>
  </si>
  <si>
    <t>2 Пилорама поката\E33149364_7_20251111T155435Z.jpg</t>
  </si>
  <si>
    <t>2 Пилорама поката\E33149364_7_20251112T182749Z.jpg</t>
  </si>
  <si>
    <t>2 Пилорама поката\E33149364_7_20251113T081818Z.jpg</t>
  </si>
  <si>
    <t>2 Пилорама поката\E33149364_7_20251113T090518Z.jpg</t>
  </si>
  <si>
    <t>2 Пилорама поката\E33149364_7_20251113T162659Z.jpg</t>
  </si>
  <si>
    <t>2 Пилорама поката\E33149364_7_20251113T162806Z.jpg</t>
  </si>
  <si>
    <t>2 Пилорама поката\E33149364_7_20251113T170329Z.jpg</t>
  </si>
  <si>
    <t>Доставка</t>
  </si>
  <si>
    <t>Проезд</t>
  </si>
  <si>
    <t>Трактор, проталкивание бревен внутрь ангара</t>
  </si>
  <si>
    <t>E33149364_7_20251114T093704Z.jpg</t>
  </si>
  <si>
    <t>2 Пилорама поката\E33149364_7_20251114T093704Z.jpg</t>
  </si>
  <si>
    <t>пт 14.11.2025 — 09:37:04</t>
  </si>
  <si>
    <t>E33149364_7_20251114T094515Z.jpg</t>
  </si>
  <si>
    <t>2 Пилорама поката\E33149364_7_20251114T094515Z.jpg</t>
  </si>
  <si>
    <t>пт 14.11.2025 — 09:45:15</t>
  </si>
  <si>
    <t>E33149364_7_20251114T100733Z.jpg</t>
  </si>
  <si>
    <t>2 Пилорама поката\E33149364_7_20251114T100733Z.jpg</t>
  </si>
  <si>
    <t>пт 14.11.2025 — 10:07:33</t>
  </si>
  <si>
    <t>E33149364_7_20251114T100848Z.jpg</t>
  </si>
  <si>
    <t>2 Пилорама поката\E33149364_7_20251114T100848Z.jpg</t>
  </si>
  <si>
    <t>пт 14.11.2025 — 10:08:48</t>
  </si>
  <si>
    <t>E33149364_7_20251114T113437Z.jpg</t>
  </si>
  <si>
    <t>2 Пилорама поката\E33149364_7_20251114T113437Z.jpg</t>
  </si>
  <si>
    <t>пт 14.11.2025 — 11:34:37</t>
  </si>
  <si>
    <t>E33149364_7_20251114T114744Z.jpg</t>
  </si>
  <si>
    <t>2 Пилорама поката\E33149364_7_20251114T114744Z.jpg</t>
  </si>
  <si>
    <t>пт 14.11.2025 — 11:47:44</t>
  </si>
  <si>
    <t>E33149364_7_20251114T115544Z.jpg</t>
  </si>
  <si>
    <t>2 Пилорама поката\E33149364_7_20251114T115544Z.jpg</t>
  </si>
  <si>
    <t>пт 14.11.2025 — 11:55:44</t>
  </si>
  <si>
    <t>E33149364_7_20251114T120751Z.jpg</t>
  </si>
  <si>
    <t>2 Пилорама поката\E33149364_7_20251114T120751Z.jpg</t>
  </si>
  <si>
    <t>пт 14.11.2025 — 12:07:51</t>
  </si>
  <si>
    <t>E33149364_7_20251114T122404Z.jpg</t>
  </si>
  <si>
    <t>2 Пилорама поката\E33149364_7_20251114T122404Z.jpg</t>
  </si>
  <si>
    <t>пт 14.11.2025 — 12:24:04</t>
  </si>
  <si>
    <t>E33149364_7_20251114T124241Z.jpg</t>
  </si>
  <si>
    <t>2 Пилорама поката\E33149364_7_20251114T124241Z.jpg</t>
  </si>
  <si>
    <t>пт 14.11.2025 — 12:42:41</t>
  </si>
  <si>
    <t>E33149364_7_20251114T124411Z.jpg</t>
  </si>
  <si>
    <t>2 Пилорама поката\E33149364_7_20251114T124411Z.jpg</t>
  </si>
  <si>
    <t>пт 14.11.2025 — 12:44:11</t>
  </si>
  <si>
    <t>E33149364_7_20251114T125901Z.jpg</t>
  </si>
  <si>
    <t>2 Пилорама поката\E33149364_7_20251114T125901Z.jpg</t>
  </si>
  <si>
    <t>пт 14.11.2025 — 12:59:01</t>
  </si>
  <si>
    <t>E33149364_7_20251114T174729Z.jpg</t>
  </si>
  <si>
    <t>2 Пилорама поката\E33149364_7_20251114T174729Z.jpg</t>
  </si>
  <si>
    <t>пт 14.11.2025 — 17:47:29</t>
  </si>
  <si>
    <t>отрезки бревен</t>
  </si>
  <si>
    <t>Обратный проезд</t>
  </si>
  <si>
    <t>Выезд по второстепенной дороги</t>
  </si>
  <si>
    <t>E33149364_8_20251110T082754Z.jpg</t>
  </si>
  <si>
    <t>C:\ВИДЕОНАБЛЮДЕНИЕ 10-16 ноября\3 Въезд на базу\</t>
  </si>
  <si>
    <t>3 Въезд на базу\E33149364_8_20251110T082754Z.jpg</t>
  </si>
  <si>
    <t>пн 10.11.2025 — 08:27:54</t>
  </si>
  <si>
    <t>E33149364_8_20251110T090347Z.jpg</t>
  </si>
  <si>
    <t>3 Въезд на базу\E33149364_8_20251110T090347Z.jpg</t>
  </si>
  <si>
    <t>пн 10.11.2025 — 09:03:47</t>
  </si>
  <si>
    <t>E33149364_8_20251110T114027Z.jpg</t>
  </si>
  <si>
    <t>3 Въезд на базу\E33149364_8_20251110T114027Z.jpg</t>
  </si>
  <si>
    <t>пн 10.11.2025 — 11:40:27</t>
  </si>
  <si>
    <t>E33149364_8_20251110T120230Z.jpg</t>
  </si>
  <si>
    <t>3 Въезд на базу\E33149364_8_20251110T120230Z.jpg</t>
  </si>
  <si>
    <t>пн 10.11.2025 — 12:02:30</t>
  </si>
  <si>
    <t>E33149364_8_20251110T134046Z.jpg</t>
  </si>
  <si>
    <t>3 Въезд на базу\E33149364_8_20251110T134046Z.jpg</t>
  </si>
  <si>
    <t>пн 10.11.2025 — 13:40:46</t>
  </si>
  <si>
    <t>E33149364_8_20251110T171433Z.jpg</t>
  </si>
  <si>
    <t>3 Въезд на базу\E33149364_8_20251110T171433Z.jpg</t>
  </si>
  <si>
    <t>пн 10.11.2025 — 17:14:33</t>
  </si>
  <si>
    <t>E33149364_8_20251111T092346Z.jpg</t>
  </si>
  <si>
    <t>3 Въезд на базу\E33149364_8_20251111T092346Z.jpg</t>
  </si>
  <si>
    <t>вт 11.11.2025 — 09:23:46</t>
  </si>
  <si>
    <t>E33149364_8_20251111T104416Z.jpg</t>
  </si>
  <si>
    <t>3 Въезд на базу\E33149364_8_20251111T104416Z.jpg</t>
  </si>
  <si>
    <t>вт 11.11.2025 — 10:44:16</t>
  </si>
  <si>
    <t>E33149364_8_20251111T104848Z.jpg</t>
  </si>
  <si>
    <t>3 Въезд на базу\E33149364_8_20251111T104848Z.jpg</t>
  </si>
  <si>
    <t>вт 11.11.2025 — 10:48:48</t>
  </si>
  <si>
    <t>E33149364_8_20251111T113746Z.jpg</t>
  </si>
  <si>
    <t>3 Въезд на базу\E33149364_8_20251111T113746Z.jpg</t>
  </si>
  <si>
    <t>вт 11.11.2025 — 11:37:46</t>
  </si>
  <si>
    <t>E33149364_8_20251111T113755Z.jpg</t>
  </si>
  <si>
    <t>3 Въезд на базу\E33149364_8_20251111T113755Z.jpg</t>
  </si>
  <si>
    <t>вт 11.11.2025 — 11:37:55</t>
  </si>
  <si>
    <t>E33149364_8_20251111T124853Z.jpg</t>
  </si>
  <si>
    <t>3 Въезд на базу\E33149364_8_20251111T124853Z.jpg</t>
  </si>
  <si>
    <t>вт 11.11.2025 — 12:48:53</t>
  </si>
  <si>
    <t>E33149364_8_20251111T125221Z.jpg</t>
  </si>
  <si>
    <t>3 Въезд на базу\E33149364_8_20251111T125221Z.jpg</t>
  </si>
  <si>
    <t>вт 11.11.2025 — 12:52:21</t>
  </si>
  <si>
    <t>E33149364_8_20251111T152132Z.jpg</t>
  </si>
  <si>
    <t>3 Въезд на базу\E33149364_8_20251111T152132Z.jpg</t>
  </si>
  <si>
    <t>вт 11.11.2025 — 15:21:32</t>
  </si>
  <si>
    <t>E33149364_8_20251112T161540Z.jpg</t>
  </si>
  <si>
    <t>3 Въезд на базу\E33149364_8_20251112T161540Z.jpg</t>
  </si>
  <si>
    <t>ср 12.11.2025 — 16:15:40</t>
  </si>
  <si>
    <t>E33149364_8_20251112T162729Z.jpg</t>
  </si>
  <si>
    <t>3 Въезд на базу\E33149364_8_20251112T162729Z.jpg</t>
  </si>
  <si>
    <t>ср 12.11.2025 — 16:27:29</t>
  </si>
  <si>
    <t>E33149364_8_20251112T170236Z.jpg</t>
  </si>
  <si>
    <t>3 Въезд на базу\E33149364_8_20251112T170236Z.jpg</t>
  </si>
  <si>
    <t>ср 12.11.2025 — 17:02:36</t>
  </si>
  <si>
    <t>E33149364_8_20251112T173715Z.jpg</t>
  </si>
  <si>
    <t>3 Въезд на базу\E33149364_8_20251112T173715Z.jpg</t>
  </si>
  <si>
    <t>ср 12.11.2025 — 17:37:15</t>
  </si>
  <si>
    <t>E33149364_8_20251113T085525Z.jpg</t>
  </si>
  <si>
    <t>3 Въезд на базу\E33149364_8_20251113T085525Z.jpg</t>
  </si>
  <si>
    <t>чт 13.11.2025 — 08:55:25</t>
  </si>
  <si>
    <t>E33149364_8_20251113T093029Z.jpg</t>
  </si>
  <si>
    <t>3 Въезд на базу\E33149364_8_20251113T093029Z.jpg</t>
  </si>
  <si>
    <t>чт 13.11.2025 — 09:30:29</t>
  </si>
  <si>
    <t>E33149364_8_20251113T093420Z.jpg</t>
  </si>
  <si>
    <t>3 Въезд на базу\E33149364_8_20251113T093420Z.jpg</t>
  </si>
  <si>
    <t>чт 13.11.2025 — 09:34:20</t>
  </si>
  <si>
    <t>E33149364_8_20251113T123527Z.jpg</t>
  </si>
  <si>
    <t>3 Въезд на базу\E33149364_8_20251113T123527Z.jpg</t>
  </si>
  <si>
    <t>чт 13.11.2025 — 12:35:27</t>
  </si>
  <si>
    <t>E33149364_8_20251113T143145Z.jpg</t>
  </si>
  <si>
    <t>3 Въезд на базу\E33149364_8_20251113T143145Z.jpg</t>
  </si>
  <si>
    <t>чт 13.11.2025 — 14:31:45</t>
  </si>
  <si>
    <t>E33149364_8_20251113T173042Z.jpg</t>
  </si>
  <si>
    <t>3 Въезд на базу\E33149364_8_20251113T173042Z.jpg</t>
  </si>
  <si>
    <t>чт 13.11.2025 — 17:30:42</t>
  </si>
  <si>
    <t>E33149364_8_20251114T093145Z.jpg</t>
  </si>
  <si>
    <t>3 Въезд на базу\E33149364_8_20251114T093145Z.jpg</t>
  </si>
  <si>
    <t>пт 14.11.2025 — 09:31:45</t>
  </si>
  <si>
    <t>E33149364_8_20251114T131548Z.jpg</t>
  </si>
  <si>
    <t>3 Въезд на базу\E33149364_8_20251114T131548Z.jpg</t>
  </si>
  <si>
    <t>пт 14.11.2025 — 13:15:48</t>
  </si>
  <si>
    <t>E33149364_8_20251114T134620Z.jpg</t>
  </si>
  <si>
    <t>3 Въезд на базу\E33149364_8_20251114T134620Z.jpg</t>
  </si>
  <si>
    <t>пт 14.11.2025 — 13:46:20</t>
  </si>
  <si>
    <t>E33149364_8_20251114T172857Z.jpg</t>
  </si>
  <si>
    <t>3 Въезд на базу\E33149364_8_20251114T172857Z.jpg</t>
  </si>
  <si>
    <t>пт 14.11.2025 — 17:28:57</t>
  </si>
  <si>
    <t>земля с территории</t>
  </si>
  <si>
    <t>Загрузка</t>
  </si>
  <si>
    <t>Разгрузка</t>
  </si>
  <si>
    <t>K07156189_21_20251110T082106Z.jpg</t>
  </si>
  <si>
    <t>C:\ВИДЕОНАБЛЮДЕНИЕ 10-16 ноября\4 Крыльцо офиса\</t>
  </si>
  <si>
    <t>4 Крыльцо офиса\K07156189_21_20251110T082106Z.jpg</t>
  </si>
  <si>
    <t>пн 10.11.2025 — 08:21:06</t>
  </si>
  <si>
    <t>K07156189_21_20251110T175119Z.jpg</t>
  </si>
  <si>
    <t>4 Крыльцо офиса\K07156189_21_20251110T175119Z.jpg</t>
  </si>
  <si>
    <t>пн 10.11.2025 — 17:51:19</t>
  </si>
  <si>
    <t>K07156189_21_20251111T081928Z.jpg</t>
  </si>
  <si>
    <t>4 Крыльцо офиса\K07156189_21_20251111T081928Z.jpg</t>
  </si>
  <si>
    <t>вт 11.11.2025 — 08:19:28</t>
  </si>
  <si>
    <t>K07156189_21_20251111T163704Z.jpg</t>
  </si>
  <si>
    <t>4 Крыльцо офиса\K07156189_21_20251111T163704Z.jpg</t>
  </si>
  <si>
    <t>вт 11.11.2025 — 16:37:04</t>
  </si>
  <si>
    <t>K07156189_21_20251112T122004Z.jpg</t>
  </si>
  <si>
    <t>4 Крыльцо офиса\K07156189_21_20251112T122004Z.jpg</t>
  </si>
  <si>
    <t>ср 12.11.2025 — 12:20:04</t>
  </si>
  <si>
    <t>K07156189_21_20251112T131956Z.jpg</t>
  </si>
  <si>
    <t>4 Крыльцо офиса\K07156189_21_20251112T131956Z.jpg</t>
  </si>
  <si>
    <t>ср 12.11.2025 — 13:19:56</t>
  </si>
  <si>
    <t>K07156189_21_20251112T163933Z.jpg</t>
  </si>
  <si>
    <t>4 Крыльцо офиса\K07156189_21_20251112T163933Z.jpg</t>
  </si>
  <si>
    <t>ср 12.11.2025 — 16:39:33</t>
  </si>
  <si>
    <t>K07156189_21_20251112T174210Z.jpg</t>
  </si>
  <si>
    <t>4 Крыльцо офиса\K07156189_21_20251112T174210Z.jpg</t>
  </si>
  <si>
    <t>ср 12.11.2025 — 17:42:10</t>
  </si>
  <si>
    <t>K07156189_21_20251113T081211Z.jpg</t>
  </si>
  <si>
    <t>4 Крыльцо офиса\K07156189_21_20251113T081211Z.jpg</t>
  </si>
  <si>
    <t>чт 13.11.2025 — 08:12:11</t>
  </si>
  <si>
    <t>K07156189_21_20251113T094643Z.jpg</t>
  </si>
  <si>
    <t>4 Крыльцо офиса\K07156189_21_20251113T094643Z.jpg</t>
  </si>
  <si>
    <t>чт 13.11.2025 — 09:46:43</t>
  </si>
  <si>
    <t>K07156189_21_20251113T174818Z.jpg</t>
  </si>
  <si>
    <t>4 Крыльцо офиса\K07156189_21_20251113T174818Z.jpg</t>
  </si>
  <si>
    <t>чт 13.11.2025 — 17:48:18</t>
  </si>
  <si>
    <t>K07156189_21_20251114T093319Z.jpg</t>
  </si>
  <si>
    <t>4 Крыльцо офиса\K07156189_21_20251114T093319Z.jpg</t>
  </si>
  <si>
    <t>пт 14.11.2025 — 09:33:19</t>
  </si>
  <si>
    <t>K07156189_21_20251114T174638Z.jpg</t>
  </si>
  <si>
    <t>4 Крыльцо офиса\K07156189_21_20251114T174638Z.jpg</t>
  </si>
  <si>
    <t>пт 14.11.2025 — 17:46:38</t>
  </si>
  <si>
    <t>Трактор сгребает землю</t>
  </si>
  <si>
    <t>Загрузка земли в самосвал</t>
  </si>
  <si>
    <t>K07156189_22_20251110T081209Z.jpg</t>
  </si>
  <si>
    <t>C:\ВИДЕОНАБЛЮДЕНИЕ 10-16 ноября\5 Крыльцо общага\</t>
  </si>
  <si>
    <t>5 Крыльцо общага\K07156189_22_20251110T081209Z.jpg</t>
  </si>
  <si>
    <t>пн 10.11.2025 — 08:12:09</t>
  </si>
  <si>
    <t>K07156189_22_20251110T105450Z.jpg</t>
  </si>
  <si>
    <t>5 Крыльцо общага\K07156189_22_20251110T105450Z.jpg</t>
  </si>
  <si>
    <t>пн 10.11.2025 — 10:54:50</t>
  </si>
  <si>
    <t>K07156189_22_20251110T124054Z.jpg</t>
  </si>
  <si>
    <t>5 Крыльцо общага\K07156189_22_20251110T124054Z.jpg</t>
  </si>
  <si>
    <t>пн 10.11.2025 — 12:40:54</t>
  </si>
  <si>
    <t>K07156189_22_20251110T142530Z.jpg</t>
  </si>
  <si>
    <t>5 Крыльцо общага\K07156189_22_20251110T142530Z.jpg</t>
  </si>
  <si>
    <t>пн 10.11.2025 — 14:25:30</t>
  </si>
  <si>
    <t>K07156189_22_20251110T144354Z.jpg</t>
  </si>
  <si>
    <t>5 Крыльцо общага\K07156189_22_20251110T144354Z.jpg</t>
  </si>
  <si>
    <t>пн 10.11.2025 — 14:43:54</t>
  </si>
  <si>
    <t>K07156189_22_20251110T144533Z.jpg</t>
  </si>
  <si>
    <t>5 Крыльцо общага\K07156189_22_20251110T144533Z.jpg</t>
  </si>
  <si>
    <t>пн 10.11.2025 — 14:45:33</t>
  </si>
  <si>
    <t>K07156189_22_20251110T145751Z.jpg</t>
  </si>
  <si>
    <t>5 Крыльцо общага\K07156189_22_20251110T145751Z.jpg</t>
  </si>
  <si>
    <t>пн 10.11.2025 — 14:57:51</t>
  </si>
  <si>
    <t>K07156189_22_20251110T174308Z.jpg</t>
  </si>
  <si>
    <t>5 Крыльцо общага\K07156189_22_20251110T174308Z.jpg</t>
  </si>
  <si>
    <t>пн 10.11.2025 — 17:43:08</t>
  </si>
  <si>
    <t>K07156189_22_20251111T081957Z.jpg</t>
  </si>
  <si>
    <t>5 Крыльцо общага\K07156189_22_20251111T081957Z.jpg</t>
  </si>
  <si>
    <t>вт 11.11.2025 — 08:19:57</t>
  </si>
  <si>
    <t>K07156189_22_20251111T092320Z.jpg</t>
  </si>
  <si>
    <t>5 Крыльцо общага\K07156189_22_20251111T092320Z.jpg</t>
  </si>
  <si>
    <t>вт 11.11.2025 — 09:23:20</t>
  </si>
  <si>
    <t>K07156189_22_20251111T092917Z.jpg</t>
  </si>
  <si>
    <t>5 Крыльцо общага\K07156189_22_20251111T092917Z.jpg</t>
  </si>
  <si>
    <t>вт 11.11.2025 — 09:29:17</t>
  </si>
  <si>
    <t>K07156189_22_20251111T093256Z.jpg</t>
  </si>
  <si>
    <t>5 Крыльцо общага\K07156189_22_20251111T093256Z.jpg</t>
  </si>
  <si>
    <t>вт 11.11.2025 — 09:32:56</t>
  </si>
  <si>
    <t>K07156189_22_20251111T094120Z.jpg</t>
  </si>
  <si>
    <t>5 Крыльцо общага\K07156189_22_20251111T094120Z.jpg</t>
  </si>
  <si>
    <t>вт 11.11.2025 — 09:41:20</t>
  </si>
  <si>
    <t>K07156189_22_20251111T094126Z.jpg</t>
  </si>
  <si>
    <t>5 Крыльцо общага\K07156189_22_20251111T094126Z.jpg</t>
  </si>
  <si>
    <t>вт 11.11.2025 — 09:41:26</t>
  </si>
  <si>
    <t>K07156189_22_20251111T094436Z.jpg</t>
  </si>
  <si>
    <t>5 Крыльцо общага\K07156189_22_20251111T094436Z.jpg</t>
  </si>
  <si>
    <t>вт 11.11.2025 — 09:44:36</t>
  </si>
  <si>
    <t>K07156189_22_20251111T094842Z.jpg</t>
  </si>
  <si>
    <t>5 Крыльцо общага\K07156189_22_20251111T094842Z.jpg</t>
  </si>
  <si>
    <t>вт 11.11.2025 — 09:48:42</t>
  </si>
  <si>
    <t>K07156189_22_20251111T095114Z.jpg</t>
  </si>
  <si>
    <t>5 Крыльцо общага\K07156189_22_20251111T095114Z.jpg</t>
  </si>
  <si>
    <t>вт 11.11.2025 — 09:51:14</t>
  </si>
  <si>
    <t>K07156189_22_20251111T095222Z.jpg</t>
  </si>
  <si>
    <t>5 Крыльцо общага\K07156189_22_20251111T095222Z.jpg</t>
  </si>
  <si>
    <t>вт 11.11.2025 — 09:52:22</t>
  </si>
  <si>
    <t>K07156189_22_20251111T095454Z.jpg</t>
  </si>
  <si>
    <t>5 Крыльцо общага\K07156189_22_20251111T095454Z.jpg</t>
  </si>
  <si>
    <t>вт 11.11.2025 — 09:54:54</t>
  </si>
  <si>
    <t>K07156189_22_20251111T095926Z.jpg</t>
  </si>
  <si>
    <t>5 Крыльцо общага\K07156189_22_20251111T095926Z.jpg</t>
  </si>
  <si>
    <t>вт 11.11.2025 — 09:59:26</t>
  </si>
  <si>
    <t>K07156189_22_20251111T100835Z.jpg</t>
  </si>
  <si>
    <t>5 Крыльцо общага\K07156189_22_20251111T100835Z.jpg</t>
  </si>
  <si>
    <t>вт 11.11.2025 — 10:08:35</t>
  </si>
  <si>
    <t>K07156189_22_20251111T101524Z.jpg</t>
  </si>
  <si>
    <t>5 Крыльцо общага\K07156189_22_20251111T101524Z.jpg</t>
  </si>
  <si>
    <t>вт 11.11.2025 — 10:15:24</t>
  </si>
  <si>
    <t>K07156189_22_20251111T101824Z.jpg</t>
  </si>
  <si>
    <t>5 Крыльцо общага\K07156189_22_20251111T101824Z.jpg</t>
  </si>
  <si>
    <t>вт 11.11.2025 — 10:18:24</t>
  </si>
  <si>
    <t>K07156189_22_20251111T102135Z.jpg</t>
  </si>
  <si>
    <t>5 Крыльцо общага\K07156189_22_20251111T102135Z.jpg</t>
  </si>
  <si>
    <t>вт 11.11.2025 — 10:21:35</t>
  </si>
  <si>
    <t>K07156189_22_20251111T102505Z.jpg</t>
  </si>
  <si>
    <t>5 Крыльцо общага\K07156189_22_20251111T102505Z.jpg</t>
  </si>
  <si>
    <t>вт 11.11.2025 — 10:25:05</t>
  </si>
  <si>
    <t>K07156189_22_20251111T102756Z.jpg</t>
  </si>
  <si>
    <t>5 Крыльцо общага\K07156189_22_20251111T102756Z.jpg</t>
  </si>
  <si>
    <t>вт 11.11.2025 — 10:27:56</t>
  </si>
  <si>
    <t>K07156189_22_20251111T103151Z.jpg</t>
  </si>
  <si>
    <t>5 Крыльцо общага\K07156189_22_20251111T103151Z.jpg</t>
  </si>
  <si>
    <t>вт 11.11.2025 — 10:31:51</t>
  </si>
  <si>
    <t>K07156189_22_20251111T103841Z.jpg</t>
  </si>
  <si>
    <t>5 Крыльцо общага\K07156189_22_20251111T103841Z.jpg</t>
  </si>
  <si>
    <t>вт 11.11.2025 — 10:38:41</t>
  </si>
  <si>
    <t>K07156189_22_20251111T152640Z.jpg</t>
  </si>
  <si>
    <t>5 Крыльцо общага\K07156189_22_20251111T152640Z.jpg</t>
  </si>
  <si>
    <t>вт 11.11.2025 — 15:26:40</t>
  </si>
  <si>
    <t>K07156189_22_20251112T084147Z.jpg</t>
  </si>
  <si>
    <t>5 Крыльцо общага\K07156189_22_20251112T084147Z.jpg</t>
  </si>
  <si>
    <t>ср 12.11.2025 — 08:41:47</t>
  </si>
  <si>
    <t>K07156189_22_20251112T120803Z.jpg</t>
  </si>
  <si>
    <t>5 Крыльцо общага\K07156189_22_20251112T120803Z.jpg</t>
  </si>
  <si>
    <t>ср 12.11.2025 — 12:08:03</t>
  </si>
  <si>
    <t>K07156189_22_20251112T164353Z.jpg</t>
  </si>
  <si>
    <t>5 Крыльцо общага\K07156189_22_20251112T164353Z.jpg</t>
  </si>
  <si>
    <t>ср 12.11.2025 — 16:43:53</t>
  </si>
  <si>
    <t>K07156189_22_20251113T085105Z.jpg</t>
  </si>
  <si>
    <t>5 Крыльцо общага\K07156189_22_20251113T085105Z.jpg</t>
  </si>
  <si>
    <t>чт 13.11.2025 — 08:51:05</t>
  </si>
  <si>
    <t>K07156189_22_20251113T095640Z.jpg</t>
  </si>
  <si>
    <t>5 Крыльцо общага\K07156189_22_20251113T095640Z.jpg</t>
  </si>
  <si>
    <t>чт 13.11.2025 — 09:56:40</t>
  </si>
  <si>
    <t>K07156189_22_20251113T143915Z.jpg</t>
  </si>
  <si>
    <t>5 Крыльцо общага\K07156189_22_20251113T143915Z.jpg</t>
  </si>
  <si>
    <t>чт 13.11.2025 — 14:39:15</t>
  </si>
  <si>
    <t>K07156189_22_20251113T170250Z.jpg</t>
  </si>
  <si>
    <t>5 Крыльцо общага\K07156189_22_20251113T170250Z.jpg</t>
  </si>
  <si>
    <t>чт 13.11.2025 — 17:02:50</t>
  </si>
  <si>
    <t>K07156189_22_20251114T091138Z.jpg</t>
  </si>
  <si>
    <t>5 Крыльцо общага\K07156189_22_20251114T091138Z.jpg</t>
  </si>
  <si>
    <t>пт 14.11.2025 — 09:11:38</t>
  </si>
  <si>
    <t>K07156189_22_20251114T093435Z.jpg</t>
  </si>
  <si>
    <t>5 Крыльцо общага\K07156189_22_20251114T093435Z.jpg</t>
  </si>
  <si>
    <t>пт 14.11.2025 — 09:34:35</t>
  </si>
  <si>
    <t>K07156189_22_20251114T100658Z.jpg</t>
  </si>
  <si>
    <t>5 Крыльцо общага\K07156189_22_20251114T100658Z.jpg</t>
  </si>
  <si>
    <t>пт 14.11.2025 — 10:06:58</t>
  </si>
  <si>
    <t>K07156189_22_20251114T113935Z.jpg</t>
  </si>
  <si>
    <t>5 Крыльцо общага\K07156189_22_20251114T113935Z.jpg</t>
  </si>
  <si>
    <t>пт 14.11.2025 — 11:39:35</t>
  </si>
  <si>
    <t>K07156189_22_20251114T141000Z.jpg</t>
  </si>
  <si>
    <t>5 Крыльцо общага\K07156189_22_20251114T141000Z.jpg</t>
  </si>
  <si>
    <t>пт 14.11.2025 — 14:10:00</t>
  </si>
  <si>
    <t>K07156189_22_20251114T173543Z.jpg</t>
  </si>
  <si>
    <t>5 Крыльцо общага\K07156189_22_20251114T173543Z.jpg</t>
  </si>
  <si>
    <t>пт 14.11.2025 — 17:35:43</t>
  </si>
  <si>
    <t>Перевозка бревен</t>
  </si>
  <si>
    <t>Разбираемый сруб</t>
  </si>
  <si>
    <t>Сотрудник с поленьями</t>
  </si>
  <si>
    <t>Разбор сруба</t>
  </si>
  <si>
    <t>Сруб разобран</t>
  </si>
  <si>
    <t>Погрузка поленьев в авто</t>
  </si>
  <si>
    <t>Погрузка</t>
  </si>
  <si>
    <t>Начало погрузки</t>
  </si>
  <si>
    <t>бревна со сруба</t>
  </si>
  <si>
    <t>бракованное бревно</t>
  </si>
  <si>
    <t>с другой площадки</t>
  </si>
  <si>
    <t>Окончание погрузки</t>
  </si>
  <si>
    <t>Выезд задним ходом</t>
  </si>
  <si>
    <t>Территория после загрузки</t>
  </si>
  <si>
    <t>Провоз земли трактором</t>
  </si>
  <si>
    <t>Территория, очистка места с разобранного сруба</t>
  </si>
  <si>
    <t>площадка Кран</t>
  </si>
  <si>
    <t>Территория,  самосвал выгружает землю</t>
  </si>
  <si>
    <t>Дальний план</t>
  </si>
  <si>
    <t>Территория, загрузка отрезков бревен в трактор базы</t>
  </si>
  <si>
    <t>826398429_1_20251110T090543Z.jpg</t>
  </si>
  <si>
    <t>6 Площадка 1 общага\826398429_1_20251110T090543Z.jpg</t>
  </si>
  <si>
    <t>пн 10.11.2025 — 09:05:43</t>
  </si>
  <si>
    <t>826398429_1_20251110T172429Z.jpg</t>
  </si>
  <si>
    <t>6 Площадка 1 общага\826398429_1_20251110T172429Z.jpg</t>
  </si>
  <si>
    <t>пн 10.11.2025 — 17:24:29</t>
  </si>
  <si>
    <t>826398429_1_20251111T085614Z.jpg</t>
  </si>
  <si>
    <t>6 Площадка 1 общага\826398429_1_20251111T085614Z.jpg</t>
  </si>
  <si>
    <t>вт 11.11.2025 — 08:56:14</t>
  </si>
  <si>
    <t>826398429_1_20251111T121706Z.jpg</t>
  </si>
  <si>
    <t>6 Площадка 1 общага\826398429_1_20251111T121706Z.jpg</t>
  </si>
  <si>
    <t>вт 11.11.2025 — 12:17:06</t>
  </si>
  <si>
    <t>826398429_1_20251111T121756Z.jpg</t>
  </si>
  <si>
    <t>6 Площадка 1 общага\826398429_1_20251111T121756Z.jpg</t>
  </si>
  <si>
    <t>вт 11.11.2025 — 12:17:56</t>
  </si>
  <si>
    <t>826398429_1_20251111T152752Z.jpg</t>
  </si>
  <si>
    <t>6 Площадка 1 общага\826398429_1_20251111T152752Z.jpg</t>
  </si>
  <si>
    <t>вт 11.11.2025 — 15:27:52</t>
  </si>
  <si>
    <t>826398429_1_20251112T112549Z.jpg</t>
  </si>
  <si>
    <t>6 Площадка 1 общага\826398429_1_20251112T112549Z.jpg</t>
  </si>
  <si>
    <t>ср 12.11.2025 — 11:25:49</t>
  </si>
  <si>
    <t>826398429_1_20251113T092130Z.jpg</t>
  </si>
  <si>
    <t>6 Площадка 1 общага\826398429_1_20251113T092130Z.jpg</t>
  </si>
  <si>
    <t>чт 13.11.2025 — 09:21:30</t>
  </si>
  <si>
    <t>826398429_1_20251113T170335Z.jpg</t>
  </si>
  <si>
    <t>6 Площадка 1 общага\826398429_1_20251113T170335Z.jpg</t>
  </si>
  <si>
    <t>чт 13.11.2025 — 17:03:35</t>
  </si>
  <si>
    <t>826398429_1_20251114T093518Z.jpg</t>
  </si>
  <si>
    <t>6 Площадка 1 общага\826398429_1_20251114T093518Z.jpg</t>
  </si>
  <si>
    <t>пт 14.11.2025 — 09:35:18</t>
  </si>
  <si>
    <t>826398429_1_20251114T103154Z.jpg</t>
  </si>
  <si>
    <t>6 Площадка 1 общага\826398429_1_20251114T103154Z.jpg</t>
  </si>
  <si>
    <t>пт 14.11.2025 — 10:31:54</t>
  </si>
  <si>
    <t>826398429_1_20251114T103615Z.jpg</t>
  </si>
  <si>
    <t>6 Площадка 1 общага\826398429_1_20251114T103615Z.jpg</t>
  </si>
  <si>
    <t>пт 14.11.2025 — 10:36:15</t>
  </si>
  <si>
    <t>826398429_1_20251114T120803Z.jpg</t>
  </si>
  <si>
    <t>6 Площадка 1 общага\826398429_1_20251114T120803Z.jpg</t>
  </si>
  <si>
    <t>пт 14.11.2025 — 12:08:03</t>
  </si>
  <si>
    <t>826398429_1_20251114T121441Z.jpg</t>
  </si>
  <si>
    <t>6 Площадка 1 общага\826398429_1_20251114T121441Z.jpg</t>
  </si>
  <si>
    <t>пт 14.11.2025 — 12:14:41</t>
  </si>
  <si>
    <t>826398429_1_20251114T121605Z.jpg</t>
  </si>
  <si>
    <t>6 Площадка 1 общага\826398429_1_20251114T121605Z.jpg</t>
  </si>
  <si>
    <t>пт 14.11.2025 — 12:16:05</t>
  </si>
  <si>
    <t>826398429_1_20251114T162412Z.jpg</t>
  </si>
  <si>
    <t>6 Площадка 1 общага\826398429_1_20251114T162412Z.jpg</t>
  </si>
  <si>
    <t>пт 14.11.2025 — 16:24:12</t>
  </si>
  <si>
    <t>бревно</t>
  </si>
  <si>
    <t>Территория, газель базы с досками</t>
  </si>
  <si>
    <t>мусор</t>
  </si>
  <si>
    <t>Сотрудники</t>
  </si>
  <si>
    <t>чураки</t>
  </si>
  <si>
    <t>Перенос</t>
  </si>
  <si>
    <t>старые доски</t>
  </si>
  <si>
    <t>K07156189_18_20251110T082320Z.jpg</t>
  </si>
  <si>
    <t>7 Площадка 2 бетонщики\K07156189_18_20251110T082320Z.jpg</t>
  </si>
  <si>
    <t>пн 10.11.2025 — 08:23:20</t>
  </si>
  <si>
    <t>K07156189_18_20251110T143156Z.jpg</t>
  </si>
  <si>
    <t>7 Площадка 2 бетонщики\K07156189_18_20251110T143156Z.jpg</t>
  </si>
  <si>
    <t>пн 10.11.2025 — 14:31:56</t>
  </si>
  <si>
    <t>K07156189_18_20251110T143733Z.jpg</t>
  </si>
  <si>
    <t>7 Площадка 2 бетонщики\K07156189_18_20251110T143733Z.jpg</t>
  </si>
  <si>
    <t>пн 10.11.2025 — 14:37:33</t>
  </si>
  <si>
    <t>K07156189_18_20251110T143957Z.jpg</t>
  </si>
  <si>
    <t>7 Площадка 2 бетонщики\K07156189_18_20251110T143957Z.jpg</t>
  </si>
  <si>
    <t>пн 10.11.2025 — 14:39:57</t>
  </si>
  <si>
    <t>K07156189_18_20251110T173614Z.jpg</t>
  </si>
  <si>
    <t>7 Площадка 2 бетонщики\K07156189_18_20251110T173614Z.jpg</t>
  </si>
  <si>
    <t>пн 10.11.2025 — 17:36:14</t>
  </si>
  <si>
    <t>K07156189_18_20251111T083919Z.jpg</t>
  </si>
  <si>
    <t>7 Площадка 2 бетонщики\K07156189_18_20251111T083919Z.jpg</t>
  </si>
  <si>
    <t>вт 11.11.2025 — 08:39:19</t>
  </si>
  <si>
    <t>K07156189_18_20251111T110810Z.jpg</t>
  </si>
  <si>
    <t>7 Площадка 2 бетонщики\K07156189_18_20251111T110810Z.jpg</t>
  </si>
  <si>
    <t>вт 11.11.2025 — 11:08:10</t>
  </si>
  <si>
    <t>K07156189_18_20251111T121214Z.jpg</t>
  </si>
  <si>
    <t>7 Площадка 2 бетонщики\K07156189_18_20251111T121214Z.jpg</t>
  </si>
  <si>
    <t>вт 11.11.2025 — 12:12:14</t>
  </si>
  <si>
    <t>K07156189_18_20251111T121853Z.jpg</t>
  </si>
  <si>
    <t>7 Площадка 2 бетонщики\K07156189_18_20251111T121853Z.jpg</t>
  </si>
  <si>
    <t>вт 11.11.2025 — 12:18:53</t>
  </si>
  <si>
    <t>K07156189_18_20251111T150024Z.jpg</t>
  </si>
  <si>
    <t>7 Площадка 2 бетонщики\K07156189_18_20251111T150024Z.jpg</t>
  </si>
  <si>
    <t>вт 11.11.2025 — 15:00:24</t>
  </si>
  <si>
    <t>K07156189_18_20251111T152555Z.jpg</t>
  </si>
  <si>
    <t>7 Площадка 2 бетонщики\K07156189_18_20251111T152555Z.jpg</t>
  </si>
  <si>
    <t>вт 11.11.2025 — 15:25:55</t>
  </si>
  <si>
    <t>K07156189_18_20251111T153138Z.jpg</t>
  </si>
  <si>
    <t>7 Площадка 2 бетонщики\K07156189_18_20251111T153138Z.jpg</t>
  </si>
  <si>
    <t>вт 11.11.2025 — 15:31:38</t>
  </si>
  <si>
    <t>K07156189_18_20251111T154722Z.jpg</t>
  </si>
  <si>
    <t>7 Площадка 2 бетонщики\K07156189_18_20251111T154722Z.jpg</t>
  </si>
  <si>
    <t>вт 11.11.2025 — 15:47:22</t>
  </si>
  <si>
    <t>K07156189_18_20251111T154852Z.jpg</t>
  </si>
  <si>
    <t>7 Площадка 2 бетонщики\K07156189_18_20251111T154852Z.jpg</t>
  </si>
  <si>
    <t>вт 11.11.2025 — 15:48:52</t>
  </si>
  <si>
    <t>K07156189_18_20251111T155305Z.jpg</t>
  </si>
  <si>
    <t>7 Площадка 2 бетонщики\K07156189_18_20251111T155305Z.jpg</t>
  </si>
  <si>
    <t>вт 11.11.2025 — 15:53:05</t>
  </si>
  <si>
    <t>K07156189_18_20251111T161807Z.jpg</t>
  </si>
  <si>
    <t>7 Площадка 2 бетонщики\K07156189_18_20251111T161807Z.jpg</t>
  </si>
  <si>
    <t>вт 11.11.2025 — 16:18:07</t>
  </si>
  <si>
    <t>K07156189_18_20251111T173602Z.jpg</t>
  </si>
  <si>
    <t>7 Площадка 2 бетонщики\K07156189_18_20251111T173602Z.jpg</t>
  </si>
  <si>
    <t>вт 11.11.2025 — 17:36:02</t>
  </si>
  <si>
    <t>K07156189_18_20251112T110812Z.jpg</t>
  </si>
  <si>
    <t>7 Площадка 2 бетонщики\K07156189_18_20251112T110812Z.jpg</t>
  </si>
  <si>
    <t>ср 12.11.2025 — 11:08:12</t>
  </si>
  <si>
    <t>K07156189_18_20251112T111857Z.jpg</t>
  </si>
  <si>
    <t>7 Площадка 2 бетонщики\K07156189_18_20251112T111857Z.jpg</t>
  </si>
  <si>
    <t>ср 12.11.2025 — 11:18:57</t>
  </si>
  <si>
    <t>K07156189_18_20251112T112659Z.jpg</t>
  </si>
  <si>
    <t>7 Площадка 2 бетонщики\K07156189_18_20251112T112659Z.jpg</t>
  </si>
  <si>
    <t>ср 12.11.2025 — 11:26:59</t>
  </si>
  <si>
    <t>K07156189_18_20251112T122610Z.jpg</t>
  </si>
  <si>
    <t>7 Площадка 2 бетонщики\K07156189_18_20251112T122610Z.jpg</t>
  </si>
  <si>
    <t>ср 12.11.2025 — 12:26:10</t>
  </si>
  <si>
    <t>K07156189_18_20251113T081252Z.jpg</t>
  </si>
  <si>
    <t>7 Площадка 2 бетонщики\K07156189_18_20251113T081252Z.jpg</t>
  </si>
  <si>
    <t>чт 13.11.2025 — 08:12:52</t>
  </si>
  <si>
    <t>K07156189_18_20251113T093420Z.jpg</t>
  </si>
  <si>
    <t>7 Площадка 2 бетонщики\K07156189_18_20251113T093420Z.jpg</t>
  </si>
  <si>
    <t>K07156189_18_20251113T105335Z.jpg</t>
  </si>
  <si>
    <t>7 Площадка 2 бетонщики\K07156189_18_20251113T105335Z.jpg</t>
  </si>
  <si>
    <t>чт 13.11.2025 — 10:53:35</t>
  </si>
  <si>
    <t>K07156189_18_20251113T120811Z.jpg</t>
  </si>
  <si>
    <t>7 Площадка 2 бетонщики\K07156189_18_20251113T120811Z.jpg</t>
  </si>
  <si>
    <t>чт 13.11.2025 — 12:08:11</t>
  </si>
  <si>
    <t>K07156189_18_20251113T150128Z.jpg</t>
  </si>
  <si>
    <t>7 Площадка 2 бетонщики\K07156189_18_20251113T150128Z.jpg</t>
  </si>
  <si>
    <t>чт 13.11.2025 — 15:01:28</t>
  </si>
  <si>
    <t>K07156189_18_20251113T160126Z.jpg</t>
  </si>
  <si>
    <t>7 Площадка 2 бетонщики\K07156189_18_20251113T160126Z.jpg</t>
  </si>
  <si>
    <t>чт 13.11.2025 — 16:01:26</t>
  </si>
  <si>
    <t>K07156189_18_20251113T165310Z.jpg</t>
  </si>
  <si>
    <t>7 Площадка 2 бетонщики\K07156189_18_20251113T165310Z.jpg</t>
  </si>
  <si>
    <t>чт 13.11.2025 — 16:53:10</t>
  </si>
  <si>
    <t>K134160575_1_20251114T093148Z.jpg</t>
  </si>
  <si>
    <t>7 Площадка 2 бетонщики\K134160575_1_20251114T093148Z.jpg</t>
  </si>
  <si>
    <t>пт 14.11.2025 — 09:31:48</t>
  </si>
  <si>
    <t>K134160575_1_20251114T112925Z.jpg</t>
  </si>
  <si>
    <t>7 Площадка 2 бетонщики\K134160575_1_20251114T112925Z.jpg</t>
  </si>
  <si>
    <t>пт 14.11.2025 — 11:29:25</t>
  </si>
  <si>
    <t>K134160575_1_20251114T113550Z.jpg</t>
  </si>
  <si>
    <t>7 Площадка 2 бетонщики\K134160575_1_20251114T113550Z.jpg</t>
  </si>
  <si>
    <t>пт 14.11.2025 — 11:35:50</t>
  </si>
  <si>
    <t>K134160575_1_20251114T115305Z.jpg</t>
  </si>
  <si>
    <t>7 Площадка 2 бетонщики\K134160575_1_20251114T115305Z.jpg</t>
  </si>
  <si>
    <t>пт 14.11.2025 — 11:53:05</t>
  </si>
  <si>
    <t>K134160575_1_20251114T121833Z.jpg</t>
  </si>
  <si>
    <t>7 Площадка 2 бетонщики\K134160575_1_20251114T121833Z.jpg</t>
  </si>
  <si>
    <t>пт 14.11.2025 — 12:18:33</t>
  </si>
  <si>
    <t>K134160575_1_20251114T122120Z.jpg</t>
  </si>
  <si>
    <t>7 Площадка 2 бетонщики\K134160575_1_20251114T122120Z.jpg</t>
  </si>
  <si>
    <t>пт 14.11.2025 — 12:21:20</t>
  </si>
  <si>
    <t>K134160575_1_20251114T123031Z.jpg</t>
  </si>
  <si>
    <t>7 Площадка 2 бетонщики\K134160575_1_20251114T123031Z.jpg</t>
  </si>
  <si>
    <t>пт 14.11.2025 — 12:30:31</t>
  </si>
  <si>
    <t>K134160575_1_20251114T124037Z.jpg</t>
  </si>
  <si>
    <t>7 Площадка 2 бетонщики\K134160575_1_20251114T124037Z.jpg</t>
  </si>
  <si>
    <t>пт 14.11.2025 — 12:40:37</t>
  </si>
  <si>
    <t>K134160575_1_20251114T142658Z.jpg</t>
  </si>
  <si>
    <t>7 Площадка 2 бетонщики\K134160575_1_20251114T142658Z.jpg</t>
  </si>
  <si>
    <t>пт 14.11.2025 — 14:26:58</t>
  </si>
  <si>
    <t>K134160575_1_20251114T172829Z.jpg</t>
  </si>
  <si>
    <t>7 Площадка 2 бетонщики\K134160575_1_20251114T172829Z.jpg</t>
  </si>
  <si>
    <t>пт 14.11.2025 — 17:28:29</t>
  </si>
  <si>
    <t>Проезд вправо</t>
  </si>
  <si>
    <t>детали сруба</t>
  </si>
  <si>
    <t>Убытие</t>
  </si>
  <si>
    <t>Перемещение бревен</t>
  </si>
  <si>
    <t>Установка детали на бревно</t>
  </si>
  <si>
    <t>Дозагрузка</t>
  </si>
  <si>
    <t>E33149364_2_20251110T091617Z.jpg</t>
  </si>
  <si>
    <t>8 Рейсмус\E33149364_2_20251110T091617Z.jpg</t>
  </si>
  <si>
    <t>пн 10.11.2025 — 09:16:17</t>
  </si>
  <si>
    <t>E33149364_2_20251110T091812Z.jpg</t>
  </si>
  <si>
    <t>8 Рейсмус\E33149364_2_20251110T091812Z.jpg</t>
  </si>
  <si>
    <t>пн 10.11.2025 — 09:18:12</t>
  </si>
  <si>
    <t>E33149364_2_20251110T091824Z.jpg</t>
  </si>
  <si>
    <t>8 Рейсмус\E33149364_2_20251110T091824Z.jpg</t>
  </si>
  <si>
    <t>пн 10.11.2025 — 09:18:24</t>
  </si>
  <si>
    <t>E33149364_2_20251110T092532Z.jpg</t>
  </si>
  <si>
    <t>8 Рейсмус\E33149364_2_20251110T092532Z.jpg</t>
  </si>
  <si>
    <t>пн 10.11.2025 — 09:25:32</t>
  </si>
  <si>
    <t>E33149364_2_20251110T093442Z.jpg</t>
  </si>
  <si>
    <t>8 Рейсмус\E33149364_2_20251110T093442Z.jpg</t>
  </si>
  <si>
    <t>пн 10.11.2025 — 09:34:42</t>
  </si>
  <si>
    <t>E33149364_2_20251110T093458Z.jpg</t>
  </si>
  <si>
    <t>8 Рейсмус\E33149364_2_20251110T093458Z.jpg</t>
  </si>
  <si>
    <t>пн 10.11.2025 — 09:34:58</t>
  </si>
  <si>
    <t>E33149364_2_20251110T093823Z.jpg</t>
  </si>
  <si>
    <t>8 Рейсмус\E33149364_2_20251110T093823Z.jpg</t>
  </si>
  <si>
    <t>пн 10.11.2025 — 09:38:23</t>
  </si>
  <si>
    <t>E33149364_2_20251110T094051Z.jpg</t>
  </si>
  <si>
    <t>8 Рейсмус\E33149364_2_20251110T094051Z.jpg</t>
  </si>
  <si>
    <t>пн 10.11.2025 — 09:40:51</t>
  </si>
  <si>
    <t>E33149364_2_20251110T095158Z.jpg</t>
  </si>
  <si>
    <t>8 Рейсмус\E33149364_2_20251110T095158Z.jpg</t>
  </si>
  <si>
    <t>пн 10.11.2025 — 09:51:58</t>
  </si>
  <si>
    <t>E33149364_2_20251110T095718Z.jpg</t>
  </si>
  <si>
    <t>8 Рейсмус\E33149364_2_20251110T095718Z.jpg</t>
  </si>
  <si>
    <t>пн 10.11.2025 — 09:57:18</t>
  </si>
  <si>
    <t>E33149364_2_20251110T102103Z.jpg</t>
  </si>
  <si>
    <t>8 Рейсмус\E33149364_2_20251110T102103Z.jpg</t>
  </si>
  <si>
    <t>пн 10.11.2025 — 10:21:03</t>
  </si>
  <si>
    <t>E33149364_2_20251110T103758Z.jpg</t>
  </si>
  <si>
    <t>8 Рейсмус\E33149364_2_20251110T103758Z.jpg</t>
  </si>
  <si>
    <t>пн 10.11.2025 — 10:37:58</t>
  </si>
  <si>
    <t>E33149364_2_20251110T104100Z.jpg</t>
  </si>
  <si>
    <t>8 Рейсмус\E33149364_2_20251110T104100Z.jpg</t>
  </si>
  <si>
    <t>пн 10.11.2025 — 10:41:00</t>
  </si>
  <si>
    <t>E33149364_2_20251110T104129Z.jpg</t>
  </si>
  <si>
    <t>8 Рейсмус\E33149364_2_20251110T104129Z.jpg</t>
  </si>
  <si>
    <t>пн 10.11.2025 — 10:41:29</t>
  </si>
  <si>
    <t>E33149364_2_20251110T121520Z.jpg</t>
  </si>
  <si>
    <t>8 Рейсмус\E33149364_2_20251110T121520Z.jpg</t>
  </si>
  <si>
    <t>пн 10.11.2025 — 12:15:20</t>
  </si>
  <si>
    <t>E33149364_2_20251110T122857Z.jpg</t>
  </si>
  <si>
    <t>8 Рейсмус\E33149364_2_20251110T122857Z.jpg</t>
  </si>
  <si>
    <t>пн 10.11.2025 — 12:28:57</t>
  </si>
  <si>
    <t>E33149364_2_20251110T124115Z.jpg</t>
  </si>
  <si>
    <t>8 Рейсмус\E33149364_2_20251110T124115Z.jpg</t>
  </si>
  <si>
    <t>пн 10.11.2025 — 12:41:15</t>
  </si>
  <si>
    <t>E33149364_2_20251110T143748Z.jpg</t>
  </si>
  <si>
    <t>8 Рейсмус\E33149364_2_20251110T143748Z.jpg</t>
  </si>
  <si>
    <t>пн 10.11.2025 — 14:37:48</t>
  </si>
  <si>
    <t>E33149364_2_20251110T150423Z.jpg</t>
  </si>
  <si>
    <t>8 Рейсмус\E33149364_2_20251110T150423Z.jpg</t>
  </si>
  <si>
    <t>пн 10.11.2025 — 15:04:23</t>
  </si>
  <si>
    <t>E33149364_2_20251110T153738Z.jpg</t>
  </si>
  <si>
    <t>8 Рейсмус\E33149364_2_20251110T153738Z.jpg</t>
  </si>
  <si>
    <t>пн 10.11.2025 — 15:37:38</t>
  </si>
  <si>
    <t>E33149364_2_20251111T142139Z.jpg</t>
  </si>
  <si>
    <t>8 Рейсмус\E33149364_2_20251111T142139Z.jpg</t>
  </si>
  <si>
    <t>вт 11.11.2025 — 14:21:39</t>
  </si>
  <si>
    <t>E33149364_2_20251111T145130Z.jpg</t>
  </si>
  <si>
    <t>8 Рейсмус\E33149364_2_20251111T145130Z.jpg</t>
  </si>
  <si>
    <t>вт 11.11.2025 — 14:51:30</t>
  </si>
  <si>
    <t>E33149364_2_20251111T205654Z.jpg</t>
  </si>
  <si>
    <t>8 Рейсмус\E33149364_2_20251111T205654Z.jpg</t>
  </si>
  <si>
    <t>вт 11.11.2025 — 20:56:54</t>
  </si>
  <si>
    <t>E33149364_2_20251111T213328Z.jpg</t>
  </si>
  <si>
    <t>8 Рейсмус\E33149364_2_20251111T213328Z.jpg</t>
  </si>
  <si>
    <t>вт 11.11.2025 — 21:33:28</t>
  </si>
  <si>
    <t>E33149364_2_20251112T034954Z.jpg</t>
  </si>
  <si>
    <t>8 Рейсмус\E33149364_2_20251112T034954Z.jpg</t>
  </si>
  <si>
    <t>ср 12.11.2025 — 03:49:54</t>
  </si>
  <si>
    <t>E33149364_2_20251112T101943Z.jpg</t>
  </si>
  <si>
    <t>8 Рейсмус\E33149364_2_20251112T101943Z.jpg</t>
  </si>
  <si>
    <t>ср 12.11.2025 — 10:19:43</t>
  </si>
  <si>
    <t>E33149364_2_20251112T102800Z.jpg</t>
  </si>
  <si>
    <t>8 Рейсмус\E33149364_2_20251112T102800Z.jpg</t>
  </si>
  <si>
    <t>ср 12.11.2025 — 10:28:00</t>
  </si>
  <si>
    <t>E33149364_2_20251112T141559Z.jpg</t>
  </si>
  <si>
    <t>8 Рейсмус\E33149364_2_20251112T141559Z.jpg</t>
  </si>
  <si>
    <t>ср 12.11.2025 — 14:15:59</t>
  </si>
  <si>
    <t>E33149364_2_20251112T173301Z.jpg</t>
  </si>
  <si>
    <t>8 Рейсмус\E33149364_2_20251112T173301Z.jpg</t>
  </si>
  <si>
    <t>ср 12.11.2025 — 17:33:01</t>
  </si>
  <si>
    <t>E33149364_2_20251112T224639Z.jpg</t>
  </si>
  <si>
    <t>8 Рейсмус\E33149364_2_20251112T224639Z.jpg</t>
  </si>
  <si>
    <t>ср 12.11.2025 — 22:46:39</t>
  </si>
  <si>
    <t>E33149364_2_20251112T225153Z.jpg</t>
  </si>
  <si>
    <t>8 Рейсмус\E33149364_2_20251112T225153Z.jpg</t>
  </si>
  <si>
    <t>ср 12.11.2025 — 22:51:53</t>
  </si>
  <si>
    <t>E33149364_2_20251112T231053Z.jpg</t>
  </si>
  <si>
    <t>8 Рейсмус\E33149364_2_20251112T231053Z.jpg</t>
  </si>
  <si>
    <t>ср 12.11.2025 — 23:10:53</t>
  </si>
  <si>
    <t>E33149364_2_20251113T150643Z.jpg</t>
  </si>
  <si>
    <t>8 Рейсмус\E33149364_2_20251113T150643Z.jpg</t>
  </si>
  <si>
    <t>чт 13.11.2025 — 15:06:43</t>
  </si>
  <si>
    <t>E33149364_2_20251113T150706Z.jpg</t>
  </si>
  <si>
    <t>8 Рейсмус\E33149364_2_20251113T150706Z.jpg</t>
  </si>
  <si>
    <t>чт 13.11.2025 — 15:07:06</t>
  </si>
  <si>
    <t>E33149364_2_20251113T153738Z.jpg</t>
  </si>
  <si>
    <t>8 Рейсмус\E33149364_2_20251113T153738Z.jpg</t>
  </si>
  <si>
    <t>чт 13.11.2025 — 15:37:38</t>
  </si>
  <si>
    <t>E33149364_2_20251114T142727Z.jpg</t>
  </si>
  <si>
    <t>8 Рейсмус\E33149364_2_20251114T142727Z.jpg</t>
  </si>
  <si>
    <t>пт 14.11.2025 — 14:27:27</t>
  </si>
  <si>
    <t>E33149364_2_20251114T144506Z.jpg</t>
  </si>
  <si>
    <t>8 Рейсмус\E33149364_2_20251114T144506Z.jpg</t>
  </si>
  <si>
    <t>пт 14.11.2025 — 14:45:06</t>
  </si>
  <si>
    <t>E33149364_2_20251114T145653Z.jpg</t>
  </si>
  <si>
    <t>8 Рейсмус\E33149364_2_20251114T145653Z.jpg</t>
  </si>
  <si>
    <t>пт 14.11.2025 — 14:56:53</t>
  </si>
  <si>
    <t>E33149364_2_20251114T150138Z.jpg</t>
  </si>
  <si>
    <t>8 Рейсмус\E33149364_2_20251114T150138Z.jpg</t>
  </si>
  <si>
    <t>пт 14.11.2025 — 15:01:38</t>
  </si>
  <si>
    <t>E33149364_2_20251114T150820Z.jpg</t>
  </si>
  <si>
    <t>8 Рейсмус\E33149364_2_20251114T150820Z.jpg</t>
  </si>
  <si>
    <t>пт 14.11.2025 — 15:08:20</t>
  </si>
  <si>
    <t>E33149364_2_20251114T153633Z.jpg</t>
  </si>
  <si>
    <t>8 Рейсмус\E33149364_2_20251114T153633Z.jpg</t>
  </si>
  <si>
    <t>пт 14.11.2025 — 15:36:33</t>
  </si>
  <si>
    <t>E33149364_2_20251114T154407Z.jpg</t>
  </si>
  <si>
    <t>8 Рейсмус\E33149364_2_20251114T154407Z.jpg</t>
  </si>
  <si>
    <t>пт 14.11.2025 — 15:44:07</t>
  </si>
  <si>
    <t>E33149364_2_20251114T155312Z.jpg</t>
  </si>
  <si>
    <t>8 Рейсмус\E33149364_2_20251114T155312Z.jpg</t>
  </si>
  <si>
    <t>пт 14.11.2025 — 15:53:12</t>
  </si>
  <si>
    <t>E33149364_2_20251114T155819Z.jpg</t>
  </si>
  <si>
    <t>8 Рейсмус\E33149364_2_20251114T155819Z.jpg</t>
  </si>
  <si>
    <t>пт 14.11.2025 — 15:58:19</t>
  </si>
  <si>
    <t>E33149364_2_20251114T192010Z.jpg</t>
  </si>
  <si>
    <t>8 Рейсмус\E33149364_2_20251114T192010Z.jpg</t>
  </si>
  <si>
    <t>пт 14.11.2025 — 19:20:10</t>
  </si>
  <si>
    <t>E33149364_2_20251114T193246Z.jpg</t>
  </si>
  <si>
    <t>8 Рейсмус\E33149364_2_20251114T193246Z.jpg</t>
  </si>
  <si>
    <t>пт 14.11.2025 — 19:32:46</t>
  </si>
  <si>
    <t>Территория после выноса реек</t>
  </si>
  <si>
    <t>Перенос досок</t>
  </si>
  <si>
    <t>Наполнение мешков опилками</t>
  </si>
  <si>
    <t>Работа на станке</t>
  </si>
  <si>
    <t>Рейсмус</t>
  </si>
  <si>
    <t>E33149364_1_20251110T084943Z.jpg</t>
  </si>
  <si>
    <t>9 Ангар пилорама\E33149364_1_20251110T084943Z.jpg</t>
  </si>
  <si>
    <t>пн 10.11.2025 — 08:49:43</t>
  </si>
  <si>
    <t>E33149364_1_20251110T091837Z.jpg</t>
  </si>
  <si>
    <t>9 Ангар пилорама\E33149364_1_20251110T091837Z.jpg</t>
  </si>
  <si>
    <t>пн 10.11.2025 — 09:18:37</t>
  </si>
  <si>
    <t>E33149364_1_20251110T093414Z.jpg</t>
  </si>
  <si>
    <t>9 Ангар пилорама\E33149364_1_20251110T093414Z.jpg</t>
  </si>
  <si>
    <t>пн 10.11.2025 — 09:34:14</t>
  </si>
  <si>
    <t>E33149364_1_20251110T093726Z.jpg</t>
  </si>
  <si>
    <t>9 Ангар пилорама\E33149364_1_20251110T093726Z.jpg</t>
  </si>
  <si>
    <t>пн 10.11.2025 — 09:37:26</t>
  </si>
  <si>
    <t>E33149364_1_20251110T095302Z.jpg</t>
  </si>
  <si>
    <t>9 Ангар пилорама\E33149364_1_20251110T095302Z.jpg</t>
  </si>
  <si>
    <t>пн 10.11.2025 — 09:53:02</t>
  </si>
  <si>
    <t>E33149364_1_20251110T095729Z.jpg</t>
  </si>
  <si>
    <t>9 Ангар пилорама\E33149364_1_20251110T095729Z.jpg</t>
  </si>
  <si>
    <t>пн 10.11.2025 — 09:57:29</t>
  </si>
  <si>
    <t>E33149364_1_20251110T100639Z.jpg</t>
  </si>
  <si>
    <t>9 Ангар пилорама\E33149364_1_20251110T100639Z.jpg</t>
  </si>
  <si>
    <t>пн 10.11.2025 — 10:06:39</t>
  </si>
  <si>
    <t>E33149364_1_20251110T102915Z.jpg</t>
  </si>
  <si>
    <t>9 Ангар пилорама\E33149364_1_20251110T102915Z.jpg</t>
  </si>
  <si>
    <t>пн 10.11.2025 — 10:29:15</t>
  </si>
  <si>
    <t>E33149364_1_20251110T104218Z.jpg</t>
  </si>
  <si>
    <t>9 Ангар пилорама\E33149364_1_20251110T104218Z.jpg</t>
  </si>
  <si>
    <t>пн 10.11.2025 — 10:42:18</t>
  </si>
  <si>
    <t>E33149364_1_20251110T110529Z.jpg</t>
  </si>
  <si>
    <t>9 Ангар пилорама\E33149364_1_20251110T110529Z.jpg</t>
  </si>
  <si>
    <t>пн 10.11.2025 — 11:05:29</t>
  </si>
  <si>
    <t>E33149364_1_20251110T111202Z.jpg</t>
  </si>
  <si>
    <t>9 Ангар пилорама\E33149364_1_20251110T111202Z.jpg</t>
  </si>
  <si>
    <t>пн 10.11.2025 — 11:12:02</t>
  </si>
  <si>
    <t>E33149364_1_20251110T111649Z.jpg</t>
  </si>
  <si>
    <t>9 Ангар пилорама\E33149364_1_20251110T111649Z.jpg</t>
  </si>
  <si>
    <t>пн 10.11.2025 — 11:16:49</t>
  </si>
  <si>
    <t>E33149364_1_20251110T115959Z.jpg</t>
  </si>
  <si>
    <t>9 Ангар пилорама\E33149364_1_20251110T115959Z.jpg</t>
  </si>
  <si>
    <t>пн 10.11.2025 — 11:59:59</t>
  </si>
  <si>
    <t>E33149364_1_20251110T122308Z.jpg</t>
  </si>
  <si>
    <t>9 Ангар пилорама\E33149364_1_20251110T122308Z.jpg</t>
  </si>
  <si>
    <t>пн 10.11.2025 — 12:23:08</t>
  </si>
  <si>
    <t>E33149364_1_20251110T122314Z.jpg</t>
  </si>
  <si>
    <t>9 Ангар пилорама\E33149364_1_20251110T122314Z.jpg</t>
  </si>
  <si>
    <t>пн 10.11.2025 — 12:23:14</t>
  </si>
  <si>
    <t>E33149364_1_20251110T123319Z.jpg</t>
  </si>
  <si>
    <t>9 Ангар пилорама\E33149364_1_20251110T123319Z.jpg</t>
  </si>
  <si>
    <t>пн 10.11.2025 — 12:33:19</t>
  </si>
  <si>
    <t>E33149364_1_20251110T124532Z.jpg</t>
  </si>
  <si>
    <t>9 Ангар пилорама\E33149364_1_20251110T124532Z.jpg</t>
  </si>
  <si>
    <t>пн 10.11.2025 — 12:45:32</t>
  </si>
  <si>
    <t>E33149364_1_20251110T130749Z.jpg</t>
  </si>
  <si>
    <t>9 Ангар пилорама\E33149364_1_20251110T130749Z.jpg</t>
  </si>
  <si>
    <t>пн 10.11.2025 — 13:07:49</t>
  </si>
  <si>
    <t>E33149364_1_20251110T133233Z.jpg</t>
  </si>
  <si>
    <t>9 Ангар пилорама\E33149364_1_20251110T133233Z.jpg</t>
  </si>
  <si>
    <t>пн 10.11.2025 — 13:32:33</t>
  </si>
  <si>
    <t>E33149364_1_20251110T140652Z.jpg</t>
  </si>
  <si>
    <t>9 Ангар пилорама\E33149364_1_20251110T140652Z.jpg</t>
  </si>
  <si>
    <t>пн 10.11.2025 — 14:06:52</t>
  </si>
  <si>
    <t>E33149364_1_20251110T141149Z.jpg</t>
  </si>
  <si>
    <t>9 Ангар пилорама\E33149364_1_20251110T141149Z.jpg</t>
  </si>
  <si>
    <t>пн 10.11.2025 — 14:11:49</t>
  </si>
  <si>
    <t>E33149364_1_20251110T141828Z.jpg</t>
  </si>
  <si>
    <t>9 Ангар пилорама\E33149364_1_20251110T141828Z.jpg</t>
  </si>
  <si>
    <t>пн 10.11.2025 — 14:18:28</t>
  </si>
  <si>
    <t>E33149364_1_20251110T141831Z.jpg</t>
  </si>
  <si>
    <t>9 Ангар пилорама\E33149364_1_20251110T141831Z.jpg</t>
  </si>
  <si>
    <t>пн 10.11.2025 — 14:18:31</t>
  </si>
  <si>
    <t>E33149364_1_20251110T141836Z.jpg</t>
  </si>
  <si>
    <t>9 Ангар пилорама\E33149364_1_20251110T141836Z.jpg</t>
  </si>
  <si>
    <t>пн 10.11.2025 — 14:18:36</t>
  </si>
  <si>
    <t>E33149364_1_20251110T143117Z.jpg</t>
  </si>
  <si>
    <t>9 Ангар пилорама\E33149364_1_20251110T143117Z.jpg</t>
  </si>
  <si>
    <t>пн 10.11.2025 — 14:31:17</t>
  </si>
  <si>
    <t>E33149364_1_20251110T143826Z.jpg</t>
  </si>
  <si>
    <t>9 Ангар пилорама\E33149364_1_20251110T143826Z.jpg</t>
  </si>
  <si>
    <t>пн 10.11.2025 — 14:38:26</t>
  </si>
  <si>
    <t>E33149364_1_20251110T145039Z.jpg</t>
  </si>
  <si>
    <t>9 Ангар пилорама\E33149364_1_20251110T145039Z.jpg</t>
  </si>
  <si>
    <t>пн 10.11.2025 — 14:50:39</t>
  </si>
  <si>
    <t>E33149364_1_20251110T151521Z.jpg</t>
  </si>
  <si>
    <t>9 Ангар пилорама\E33149364_1_20251110T151521Z.jpg</t>
  </si>
  <si>
    <t>пн 10.11.2025 — 15:15:21</t>
  </si>
  <si>
    <t>E33149364_1_20251110T153901Z.jpg</t>
  </si>
  <si>
    <t>9 Ангар пилорама\E33149364_1_20251110T153901Z.jpg</t>
  </si>
  <si>
    <t>пн 10.11.2025 — 15:39:01</t>
  </si>
  <si>
    <t>E33149364_1_20251110T154027Z.jpg</t>
  </si>
  <si>
    <t>9 Ангар пилорама\E33149364_1_20251110T154027Z.jpg</t>
  </si>
  <si>
    <t>пн 10.11.2025 — 15:40:27</t>
  </si>
  <si>
    <t>E33149364_1_20251110T154758Z.jpg</t>
  </si>
  <si>
    <t>9 Ангар пилорама\E33149364_1_20251110T154758Z.jpg</t>
  </si>
  <si>
    <t>пн 10.11.2025 — 15:47:58</t>
  </si>
  <si>
    <t>E33149364_1_20251110T160115Z.jpg</t>
  </si>
  <si>
    <t>9 Ангар пилорама\E33149364_1_20251110T160115Z.jpg</t>
  </si>
  <si>
    <t>пн 10.11.2025 — 16:01:15</t>
  </si>
  <si>
    <t>E33149364_1_20251110T164435Z.jpg</t>
  </si>
  <si>
    <t>9 Ангар пилорама\E33149364_1_20251110T164435Z.jpg</t>
  </si>
  <si>
    <t>пн 10.11.2025 — 16:44:35</t>
  </si>
  <si>
    <t>E33149364_1_20251110T213624Z.jpg</t>
  </si>
  <si>
    <t>9 Ангар пилорама\E33149364_1_20251110T213624Z.jpg</t>
  </si>
  <si>
    <t>пн 10.11.2025 — 21:36:24</t>
  </si>
  <si>
    <t>E33149364_1_20251110T214515Z.jpg</t>
  </si>
  <si>
    <t>9 Ангар пилорама\E33149364_1_20251110T214515Z.jpg</t>
  </si>
  <si>
    <t>пн 10.11.2025 — 21:45:15</t>
  </si>
  <si>
    <t>E33149364_1_20251110T225322Z.jpg</t>
  </si>
  <si>
    <t>9 Ангар пилорама\E33149364_1_20251110T225322Z.jpg</t>
  </si>
  <si>
    <t>пн 10.11.2025 — 22:53:22</t>
  </si>
  <si>
    <t>E33149364_1_20251111T055625Z.jpg</t>
  </si>
  <si>
    <t>9 Ангар пилорама\E33149364_1_20251111T055625Z.jpg</t>
  </si>
  <si>
    <t>вт 11.11.2025 — 05:56:25</t>
  </si>
  <si>
    <t>E33149364_1_20251111T060939Z.jpg</t>
  </si>
  <si>
    <t>9 Ангар пилорама\E33149364_1_20251111T060939Z.jpg</t>
  </si>
  <si>
    <t>вт 11.11.2025 — 06:09:39</t>
  </si>
  <si>
    <t>E33149364_1_20251111T073226Z.jpg</t>
  </si>
  <si>
    <t>9 Ангар пилорама\E33149364_1_20251111T073226Z.jpg</t>
  </si>
  <si>
    <t>вт 11.11.2025 — 07:32:26</t>
  </si>
  <si>
    <t>E33149364_1_20251111T085801Z.jpg</t>
  </si>
  <si>
    <t>9 Ангар пилорама\E33149364_1_20251111T085801Z.jpg</t>
  </si>
  <si>
    <t>вт 11.11.2025 — 08:58:01</t>
  </si>
  <si>
    <t>E33149364_1_20251111T093344Z.jpg</t>
  </si>
  <si>
    <t>9 Ангар пилорама\E33149364_1_20251111T093344Z.jpg</t>
  </si>
  <si>
    <t>вт 11.11.2025 — 09:33:44</t>
  </si>
  <si>
    <t>E33149364_1_20251111T103522Z.jpg</t>
  </si>
  <si>
    <t>9 Ангар пилорама\E33149364_1_20251111T103522Z.jpg</t>
  </si>
  <si>
    <t>вт 11.11.2025 — 10:35:22</t>
  </si>
  <si>
    <t>E33149364_1_20251111T103531Z.jpg</t>
  </si>
  <si>
    <t>9 Ангар пилорама\E33149364_1_20251111T103531Z.jpg</t>
  </si>
  <si>
    <t>вт 11.11.2025 — 10:35:31</t>
  </si>
  <si>
    <t>E33149364_1_20251111T104337Z.jpg</t>
  </si>
  <si>
    <t>9 Ангар пилорама\E33149364_1_20251111T104337Z.jpg</t>
  </si>
  <si>
    <t>вт 11.11.2025 — 10:43:37</t>
  </si>
  <si>
    <t>E33149364_1_20251111T105031Z.jpg</t>
  </si>
  <si>
    <t>9 Ангар пилорама\E33149364_1_20251111T105031Z.jpg</t>
  </si>
  <si>
    <t>вт 11.11.2025 — 10:50:31</t>
  </si>
  <si>
    <t>E33149364_1_20251111T105330Z.jpg</t>
  </si>
  <si>
    <t>9 Ангар пилорама\E33149364_1_20251111T105330Z.jpg</t>
  </si>
  <si>
    <t>вт 11.11.2025 — 10:53:30</t>
  </si>
  <si>
    <t>E33149364_1_20251111T110102Z.jpg</t>
  </si>
  <si>
    <t>9 Ангар пилорама\E33149364_1_20251111T110102Z.jpg</t>
  </si>
  <si>
    <t>вт 11.11.2025 — 11:01:02</t>
  </si>
  <si>
    <t>E33149364_1_20251111T112159Z.jpg</t>
  </si>
  <si>
    <t>9 Ангар пилорама\E33149364_1_20251111T112159Z.jpg</t>
  </si>
  <si>
    <t>вт 11.11.2025 — 11:21:59</t>
  </si>
  <si>
    <t>E33149364_1_20251111T113221Z.jpg</t>
  </si>
  <si>
    <t>9 Ангар пилорама\E33149364_1_20251111T113221Z.jpg</t>
  </si>
  <si>
    <t>вт 11.11.2025 — 11:32:21</t>
  </si>
  <si>
    <t>E33149364_1_20251111T113745Z.jpg</t>
  </si>
  <si>
    <t>9 Ангар пилорама\E33149364_1_20251111T113745Z.jpg</t>
  </si>
  <si>
    <t>вт 11.11.2025 — 11:37:45</t>
  </si>
  <si>
    <t>E33149364_1_20251111T120056Z.jpg</t>
  </si>
  <si>
    <t>9 Ангар пилорама\E33149364_1_20251111T120056Z.jpg</t>
  </si>
  <si>
    <t>вт 11.11.2025 — 12:00:56</t>
  </si>
  <si>
    <t>E33149364_1_20251111T122513Z.jpg</t>
  </si>
  <si>
    <t>9 Ангар пилорама\E33149364_1_20251111T122513Z.jpg</t>
  </si>
  <si>
    <t>вт 11.11.2025 — 12:25:13</t>
  </si>
  <si>
    <t>E33149364_1_20251111T143715Z.jpg</t>
  </si>
  <si>
    <t>9 Ангар пилорама\E33149364_1_20251111T143715Z.jpg</t>
  </si>
  <si>
    <t>вт 11.11.2025 — 14:37:15</t>
  </si>
  <si>
    <t>E33149364_1_20251111T145833Z.jpg</t>
  </si>
  <si>
    <t>9 Ангар пилорама\E33149364_1_20251111T145833Z.jpg</t>
  </si>
  <si>
    <t>вт 11.11.2025 — 14:58:33</t>
  </si>
  <si>
    <t>E33149364_1_20251111T151447Z.jpg</t>
  </si>
  <si>
    <t>9 Ангар пилорама\E33149364_1_20251111T151447Z.jpg</t>
  </si>
  <si>
    <t>вт 11.11.2025 — 15:14:47</t>
  </si>
  <si>
    <t>E33149364_1_20251111T155255Z.jpg</t>
  </si>
  <si>
    <t>9 Ангар пилорама\E33149364_1_20251111T155255Z.jpg</t>
  </si>
  <si>
    <t>вт 11.11.2025 — 15:52:55</t>
  </si>
  <si>
    <t>E33149364_1_20251111T162901Z.jpg</t>
  </si>
  <si>
    <t>9 Ангар пилорама\E33149364_1_20251111T162901Z.jpg</t>
  </si>
  <si>
    <t>вт 11.11.2025 — 16:29:01</t>
  </si>
  <si>
    <t>E33149364_1_20251111T183901Z.jpg</t>
  </si>
  <si>
    <t>9 Ангар пилорама\E33149364_1_20251111T183901Z.jpg</t>
  </si>
  <si>
    <t>вт 11.11.2025 — 18:39:01</t>
  </si>
  <si>
    <t>E33149364_1_20251111T184913Z.jpg</t>
  </si>
  <si>
    <t>9 Ангар пилорама\E33149364_1_20251111T184913Z.jpg</t>
  </si>
  <si>
    <t>вт 11.11.2025 — 18:49:13</t>
  </si>
  <si>
    <t>E33149364_1_20251111T191428Z.jpg</t>
  </si>
  <si>
    <t>9 Ангар пилорама\E33149364_1_20251111T191428Z.jpg</t>
  </si>
  <si>
    <t>вт 11.11.2025 — 19:14:28</t>
  </si>
  <si>
    <t>E33149364_1_20251111T213256Z.jpg</t>
  </si>
  <si>
    <t>9 Ангар пилорама\E33149364_1_20251111T213256Z.jpg</t>
  </si>
  <si>
    <t>вт 11.11.2025 — 21:32:56</t>
  </si>
  <si>
    <t>E33149364_1_20251111T224627Z.jpg</t>
  </si>
  <si>
    <t>9 Ангар пилорама\E33149364_1_20251111T224627Z.jpg</t>
  </si>
  <si>
    <t>вт 11.11.2025 — 22:46:27</t>
  </si>
  <si>
    <t>E33149364_1_20251111T233555Z.jpg</t>
  </si>
  <si>
    <t>9 Ангар пилорама\E33149364_1_20251111T233555Z.jpg</t>
  </si>
  <si>
    <t>вт 11.11.2025 — 23:35:55</t>
  </si>
  <si>
    <t>E33149364_1_20251112T041621Z.jpg</t>
  </si>
  <si>
    <t>9 Ангар пилорама\E33149364_1_20251112T041621Z.jpg</t>
  </si>
  <si>
    <t>ср 12.11.2025 — 04:16:21</t>
  </si>
  <si>
    <t>E33149364_1_20251112T045256Z.jpg</t>
  </si>
  <si>
    <t>9 Ангар пилорама\E33149364_1_20251112T045256Z.jpg</t>
  </si>
  <si>
    <t>ср 12.11.2025 — 04:52:56</t>
  </si>
  <si>
    <t>E33149364_1_20251112T052033Z.jpg</t>
  </si>
  <si>
    <t>9 Ангар пилорама\E33149364_1_20251112T052033Z.jpg</t>
  </si>
  <si>
    <t>ср 12.11.2025 — 05:20:33</t>
  </si>
  <si>
    <t>E33149364_1_20251112T090214Z.jpg</t>
  </si>
  <si>
    <t>9 Ангар пилорама\E33149364_1_20251112T090214Z.jpg</t>
  </si>
  <si>
    <t>ср 12.11.2025 — 09:02:14</t>
  </si>
  <si>
    <t>E33149364_1_20251112T172616Z.jpg</t>
  </si>
  <si>
    <t>9 Ангар пилорама\E33149364_1_20251112T172616Z.jpg</t>
  </si>
  <si>
    <t>ср 12.11.2025 — 17:26:16</t>
  </si>
  <si>
    <t>E33149364_1_20251112T183624Z.jpg</t>
  </si>
  <si>
    <t>9 Ангар пилорама\E33149364_1_20251112T183624Z.jpg</t>
  </si>
  <si>
    <t>ср 12.11.2025 — 18:36:24</t>
  </si>
  <si>
    <t>E33149364_1_20251112T194053Z.jpg</t>
  </si>
  <si>
    <t>9 Ангар пилорама\E33149364_1_20251112T194053Z.jpg</t>
  </si>
  <si>
    <t>ср 12.11.2025 — 19:40:53</t>
  </si>
  <si>
    <t>E33149364_1_20251112T232033Z.jpg</t>
  </si>
  <si>
    <t>9 Ангар пилорама\E33149364_1_20251112T232033Z.jpg</t>
  </si>
  <si>
    <t>ср 12.11.2025 — 23:20:33</t>
  </si>
  <si>
    <t>E33149364_1_20251113T050233Z.jpg</t>
  </si>
  <si>
    <t>9 Ангар пилорама\E33149364_1_20251113T050233Z.jpg</t>
  </si>
  <si>
    <t>чт 13.11.2025 — 05:02:33</t>
  </si>
  <si>
    <t>E33149364_1_20251113T053508Z.jpg</t>
  </si>
  <si>
    <t>9 Ангар пилорама\E33149364_1_20251113T053508Z.jpg</t>
  </si>
  <si>
    <t>чт 13.11.2025 — 05:35:08</t>
  </si>
  <si>
    <t>E33149364_1_20251113T070618Z.jpg</t>
  </si>
  <si>
    <t>9 Ангар пилорама\E33149364_1_20251113T070618Z.jpg</t>
  </si>
  <si>
    <t>чт 13.11.2025 — 07:06:18</t>
  </si>
  <si>
    <t>E33149364_1_20251113T071755Z.jpg</t>
  </si>
  <si>
    <t>9 Ангар пилорама\E33149364_1_20251113T071755Z.jpg</t>
  </si>
  <si>
    <t>чт 13.11.2025 — 07:17:55</t>
  </si>
  <si>
    <t>E33149364_1_20251113T090936Z.jpg</t>
  </si>
  <si>
    <t>9 Ангар пилорама\E33149364_1_20251113T090936Z.jpg</t>
  </si>
  <si>
    <t>чт 13.11.2025 — 09:09:36</t>
  </si>
  <si>
    <t>E33149364_1_20251113T090953Z.jpg</t>
  </si>
  <si>
    <t>9 Ангар пилорама\E33149364_1_20251113T090953Z.jpg</t>
  </si>
  <si>
    <t>чт 13.11.2025 — 09:09:53</t>
  </si>
  <si>
    <t>E33149364_1_20251113T091403Z.jpg</t>
  </si>
  <si>
    <t>9 Ангар пилорама\E33149364_1_20251113T091403Z.jpg</t>
  </si>
  <si>
    <t>чт 13.11.2025 — 09:14:03</t>
  </si>
  <si>
    <t>E33149364_1_20251113T162643Z.jpg</t>
  </si>
  <si>
    <t>9 Ангар пилорама\E33149364_1_20251113T162643Z.jpg</t>
  </si>
  <si>
    <t>чт 13.11.2025 — 16:26:43</t>
  </si>
  <si>
    <t>E33149364_1_20251113T220039Z.jpg</t>
  </si>
  <si>
    <t>9 Ангар пилорама\E33149364_1_20251113T220039Z.jpg</t>
  </si>
  <si>
    <t>чт 13.11.2025 — 22:00:39</t>
  </si>
  <si>
    <t>E33149364_1_20251113T224348Z.jpg</t>
  </si>
  <si>
    <t>9 Ангар пилорама\E33149364_1_20251113T224348Z.jpg</t>
  </si>
  <si>
    <t>чт 13.11.2025 — 22:43:48</t>
  </si>
  <si>
    <t>E33149364_1_20251114T000312Z.jpg</t>
  </si>
  <si>
    <t>9 Ангар пилорама\E33149364_1_20251114T000312Z.jpg</t>
  </si>
  <si>
    <t>пт 14.11.2025 — 00:03:12</t>
  </si>
  <si>
    <t>E33149364_1_20251114T031230Z.jpg</t>
  </si>
  <si>
    <t>9 Ангар пилорама\E33149364_1_20251114T031230Z.jpg</t>
  </si>
  <si>
    <t>пт 14.11.2025 — 03:12:30</t>
  </si>
  <si>
    <t>E33149364_1_20251114T055716Z.jpg</t>
  </si>
  <si>
    <t>9 Ангар пилорама\E33149364_1_20251114T055716Z.jpg</t>
  </si>
  <si>
    <t>пт 14.11.2025 — 05:57:16</t>
  </si>
  <si>
    <t>E33149364_1_20251114T061807Z.jpg</t>
  </si>
  <si>
    <t>9 Ангар пилорама\E33149364_1_20251114T061807Z.jpg</t>
  </si>
  <si>
    <t>пт 14.11.2025 — 06:18:07</t>
  </si>
  <si>
    <t>E33149364_1_20251114T063214Z.jpg</t>
  </si>
  <si>
    <t>9 Ангар пилорама\E33149364_1_20251114T063214Z.jpg</t>
  </si>
  <si>
    <t>пт 14.11.2025 — 06:32:14</t>
  </si>
  <si>
    <t>E33149364_1_20251114T070627Z.jpg</t>
  </si>
  <si>
    <t>9 Ангар пилорама\E33149364_1_20251114T070627Z.jpg</t>
  </si>
  <si>
    <t>пт 14.11.2025 — 07:06:27</t>
  </si>
  <si>
    <t>E33149364_1_20251114T111556Z.jpg</t>
  </si>
  <si>
    <t>9 Ангар пилорама\E33149364_1_20251114T111556Z.jpg</t>
  </si>
  <si>
    <t>пт 14.11.2025 — 11:15:56</t>
  </si>
  <si>
    <t>E33149364_1_20251114T115810Z.jpg</t>
  </si>
  <si>
    <t>9 Ангар пилорама\E33149364_1_20251114T115810Z.jpg</t>
  </si>
  <si>
    <t>пт 14.11.2025 — 11:58:10</t>
  </si>
  <si>
    <t>E33149364_1_20251114T121114Z.jpg</t>
  </si>
  <si>
    <t>9 Ангар пилорама\E33149364_1_20251114T121114Z.jpg</t>
  </si>
  <si>
    <t>пт 14.11.2025 — 12:11:14</t>
  </si>
  <si>
    <t>E33149364_1_20251114T122507Z.jpg</t>
  </si>
  <si>
    <t>9 Ангар пилорама\E33149364_1_20251114T122507Z.jpg</t>
  </si>
  <si>
    <t>пт 14.11.2025 — 12:25:07</t>
  </si>
  <si>
    <t>E33149364_1_20251114T123930Z.jpg</t>
  </si>
  <si>
    <t>9 Ангар пилорама\E33149364_1_20251114T123930Z.jpg</t>
  </si>
  <si>
    <t>пт 14.11.2025 — 12:39:30</t>
  </si>
  <si>
    <t>E33149364_1_20251114T130419Z.jpg</t>
  </si>
  <si>
    <t>9 Ангар пилорама\E33149364_1_20251114T130419Z.jpg</t>
  </si>
  <si>
    <t>пт 14.11.2025 — 13:04:19</t>
  </si>
  <si>
    <t>E33149364_1_20251114T140518Z.jpg</t>
  </si>
  <si>
    <t>9 Ангар пилорама\E33149364_1_20251114T140518Z.jpg</t>
  </si>
  <si>
    <t>пт 14.11.2025 — 14:05:18</t>
  </si>
  <si>
    <t>E33149364_1_20251114T150226Z.jpg</t>
  </si>
  <si>
    <t>9 Ангар пилорама\E33149364_1_20251114T150226Z.jpg</t>
  </si>
  <si>
    <t>пт 14.11.2025 — 15:02:26</t>
  </si>
  <si>
    <t>E33149364_1_20251114T155623Z.jpg</t>
  </si>
  <si>
    <t>9 Ангар пилорама\E33149364_1_20251114T155623Z.jpg</t>
  </si>
  <si>
    <t>пт 14.11.2025 — 15:56:23</t>
  </si>
  <si>
    <t>E33149364_1_20251114T192238Z.jpg</t>
  </si>
  <si>
    <t>9 Ангар пилорама\E33149364_1_20251114T192238Z.jpg</t>
  </si>
  <si>
    <t>пт 14.11.2025 — 19:22:38</t>
  </si>
  <si>
    <t>E33149364_1_20251114T193240Z.jpg</t>
  </si>
  <si>
    <t>9 Ангар пилорама\E33149364_1_20251114T193240Z.jpg</t>
  </si>
  <si>
    <t>пт 14.11.2025 — 19:32:40</t>
  </si>
  <si>
    <t>Вынос на улицу</t>
  </si>
  <si>
    <t>Вынос улицу</t>
  </si>
  <si>
    <t>Рейки</t>
  </si>
  <si>
    <t>Перемещение</t>
  </si>
  <si>
    <t>Доски</t>
  </si>
  <si>
    <t>Перенос мешков</t>
  </si>
  <si>
    <t>Горбыль</t>
  </si>
  <si>
    <t>Перенос опилок</t>
  </si>
  <si>
    <t>Мешки с опилками</t>
  </si>
  <si>
    <t>Ангар пилорама</t>
  </si>
  <si>
    <t>Наименование точки</t>
  </si>
  <si>
    <t>Ангар Склад 2 въезд</t>
  </si>
  <si>
    <t>Пилорама поката</t>
  </si>
  <si>
    <t>Крыльцо офиса</t>
  </si>
  <si>
    <t>Крыльцо общага</t>
  </si>
  <si>
    <t>Площадка 1 общага</t>
  </si>
  <si>
    <t>Площадка 2 бетонщики</t>
  </si>
  <si>
    <t>E33149364_6_20251115T102817Z.jpg</t>
  </si>
  <si>
    <t>E33149364_6_20251115T103838Z.jpg</t>
  </si>
  <si>
    <t>E33149364_6_20251115T111407Z.jpg</t>
  </si>
  <si>
    <t>E33149364_6_20251115T115633Z.jpg</t>
  </si>
  <si>
    <t>E33149364_6_20251115T145651Z.jpg</t>
  </si>
  <si>
    <t>E33149364_6_20251115T150734Z.jpg</t>
  </si>
  <si>
    <t>E33149364_6_20251115T152654Z.jpg</t>
  </si>
  <si>
    <t>K07156189_18_20251115T082934Z.jpg</t>
  </si>
  <si>
    <t>7 Площадка 2 бетонщики\K07156189_18_20251115T082934Z.jpg</t>
  </si>
  <si>
    <t>сб 15.11.2025 — 08:29:34</t>
  </si>
  <si>
    <t>K07156189_18_20251115T135451Z.jpg</t>
  </si>
  <si>
    <t>7 Площадка 2 бетонщики\K07156189_18_20251115T135451Z.jpg</t>
  </si>
  <si>
    <t>сб 15.11.2025 — 13:54:51</t>
  </si>
  <si>
    <t>K07156189_18_20251115T173430Z.jpg</t>
  </si>
  <si>
    <t>7 Площадка 2 бетонщики\K07156189_18_20251115T173430Z.jpg</t>
  </si>
  <si>
    <t>сб 15.11.2025 — 17:34:30</t>
  </si>
  <si>
    <t>K07156189_18_20251116T084928Z.jpg</t>
  </si>
  <si>
    <t>7 Площадка 2 бетонщики\K07156189_18_20251116T084928Z.jpg</t>
  </si>
  <si>
    <t>вс 16.11.2025 — 08:49:28</t>
  </si>
  <si>
    <t>K07156189_18_20251116T160554Z.jpg</t>
  </si>
  <si>
    <t>7 Площадка 2 бетонщики\K07156189_18_20251116T160554Z.jpg</t>
  </si>
  <si>
    <t>вс 16.11.2025 — 16:05:54</t>
  </si>
  <si>
    <t>E33149364_2_20251115T101704Z.jpg</t>
  </si>
  <si>
    <t>8 Рейсмус\E33149364_2_20251115T101704Z.jpg</t>
  </si>
  <si>
    <t>сб 15.11.2025 — 10:17:04</t>
  </si>
  <si>
    <t>E33149364_2_20251115T102307Z.jpg</t>
  </si>
  <si>
    <t>8 Рейсмус\E33149364_2_20251115T102307Z.jpg</t>
  </si>
  <si>
    <t>сб 15.11.2025 — 10:23:07</t>
  </si>
  <si>
    <t>E33149364_2_20251115T103618Z.jpg</t>
  </si>
  <si>
    <t>8 Рейсмус\E33149364_2_20251115T103618Z.jpg</t>
  </si>
  <si>
    <t>сб 15.11.2025 — 10:36:18</t>
  </si>
  <si>
    <t>E33149364_2_20251115T105906Z.jpg</t>
  </si>
  <si>
    <t>8 Рейсмус\E33149364_2_20251115T105906Z.jpg</t>
  </si>
  <si>
    <t>сб 15.11.2025 — 10:59:06</t>
  </si>
  <si>
    <t>E33149364_2_20251115T110241Z.jpg</t>
  </si>
  <si>
    <t>8 Рейсмус\E33149364_2_20251115T110241Z.jpg</t>
  </si>
  <si>
    <t>сб 15.11.2025 — 11:02:41</t>
  </si>
  <si>
    <t>E33149364_2_20251115T134050Z.jpg</t>
  </si>
  <si>
    <t>8 Рейсмус\E33149364_2_20251115T134050Z.jpg</t>
  </si>
  <si>
    <t>сб 15.11.2025 — 13:40:50</t>
  </si>
  <si>
    <t>E33149364_2_20251115T135633Z.jpg</t>
  </si>
  <si>
    <t>8 Рейсмус\E33149364_2_20251115T135633Z.jpg</t>
  </si>
  <si>
    <t>сб 15.11.2025 — 13:56:33</t>
  </si>
  <si>
    <t>E33149364_2_20251115T144228Z.jpg</t>
  </si>
  <si>
    <t>8 Рейсмус\E33149364_2_20251115T144228Z.jpg</t>
  </si>
  <si>
    <t>сб 15.11.2025 — 14:42:28</t>
  </si>
  <si>
    <t>E33149364_2_20251115T154647Z.jpg</t>
  </si>
  <si>
    <t>8 Рейсмус\E33149364_2_20251115T154647Z.jpg</t>
  </si>
  <si>
    <t>сб 15.11.2025 — 15:46:47</t>
  </si>
  <si>
    <t>E33149364_2_20251115T154936Z.jpg</t>
  </si>
  <si>
    <t>8 Рейсмус\E33149364_2_20251115T154936Z.jpg</t>
  </si>
  <si>
    <t>сб 15.11.2025 — 15:49:36</t>
  </si>
  <si>
    <t>E33149364_2_20251116T172016Z.jpg</t>
  </si>
  <si>
    <t>8 Рейсмус\E33149364_2_20251116T172016Z.jpg</t>
  </si>
  <si>
    <t>вс 16.11.2025 — 17:20:16</t>
  </si>
  <si>
    <t>E33149364_2_20251116T175222Z.jpg</t>
  </si>
  <si>
    <t>8 Рейсмус\E33149364_2_20251116T175222Z.jpg</t>
  </si>
  <si>
    <t>вс 16.11.2025 — 17:52:22</t>
  </si>
  <si>
    <t>E33149364_2_20251116T195355Z.jpg</t>
  </si>
  <si>
    <t>8 Рейсмус\E33149364_2_20251116T195355Z.jpg</t>
  </si>
  <si>
    <t>вс 16.11.2025 — 19:53:55</t>
  </si>
  <si>
    <t>E33149364_2_20251116T203005Z.jpg</t>
  </si>
  <si>
    <t>8 Рейсмус\E33149364_2_20251116T203005Z.jpg</t>
  </si>
  <si>
    <t>вс 16.11.2025 — 20:30:05</t>
  </si>
  <si>
    <t>E33149364_2_20251116T204757Z.jpg</t>
  </si>
  <si>
    <t>8 Рейсмус\E33149364_2_20251116T204757Z.jpg</t>
  </si>
  <si>
    <t>вс 16.11.2025 — 20:47:57</t>
  </si>
  <si>
    <t>E33149364_2_20251116T210053Z.jpg</t>
  </si>
  <si>
    <t>8 Рейсмус\E33149364_2_20251116T210053Z.jpg</t>
  </si>
  <si>
    <t>вс 16.11.2025 — 21:00:53</t>
  </si>
  <si>
    <t>E33149364_7_20251115T083028Z.jpg</t>
  </si>
  <si>
    <t>2 Пилорама поката\E33149364_7_20251115T083028Z.jpg</t>
  </si>
  <si>
    <t>сб 15.11.2025 — 08:30:28</t>
  </si>
  <si>
    <t>E33149364_7_20251115T173640Z.jpg</t>
  </si>
  <si>
    <t>2 Пилорама поката\E33149364_7_20251115T173640Z.jpg</t>
  </si>
  <si>
    <t>сб 15.11.2025 — 17:36:40</t>
  </si>
  <si>
    <t>E33149364_7_20251116T093525Z.jpg</t>
  </si>
  <si>
    <t>2 Пилорама поката\E33149364_7_20251116T093525Z.jpg</t>
  </si>
  <si>
    <t>вс 16.11.2025 — 09:35:25</t>
  </si>
  <si>
    <t>E33149364_7_20251116T175132Z.jpg</t>
  </si>
  <si>
    <t>2 Пилорама поката\E33149364_7_20251116T175132Z.jpg</t>
  </si>
  <si>
    <t>вс 16.11.2025 — 17:51:32</t>
  </si>
  <si>
    <t>E33149364_1_20251115T052011Z.jpg</t>
  </si>
  <si>
    <t>9 Ангар пилорама\E33149364_1_20251115T052011Z.jpg</t>
  </si>
  <si>
    <t>сб 15.11.2025 — 05:20:11</t>
  </si>
  <si>
    <t>E33149364_1_20251115T102010Z.jpg</t>
  </si>
  <si>
    <t>9 Ангар пилорама\E33149364_1_20251115T102010Z.jpg</t>
  </si>
  <si>
    <t>сб 15.11.2025 — 10:20:10</t>
  </si>
  <si>
    <t>E33149364_1_20251115T144644Z.jpg</t>
  </si>
  <si>
    <t>9 Ангар пилорама\E33149364_1_20251115T144644Z.jpg</t>
  </si>
  <si>
    <t>сб 15.11.2025 — 14:46:44</t>
  </si>
  <si>
    <t>E33149364_1_20251116T171326Z.jpg</t>
  </si>
  <si>
    <t>9 Ангар пилорама\E33149364_1_20251116T171326Z.jpg</t>
  </si>
  <si>
    <t>вс 16.11.2025 — 17:13:26</t>
  </si>
  <si>
    <t>E33149364_1_20251116T175225Z.jpg</t>
  </si>
  <si>
    <t>9 Ангар пилорама\E33149364_1_20251116T175225Z.jpg</t>
  </si>
  <si>
    <t>вс 16.11.2025 — 17:52:25</t>
  </si>
  <si>
    <t>E33149364_1_20251116T195203Z.jpg</t>
  </si>
  <si>
    <t>9 Ангар пилорама\E33149364_1_20251116T195203Z.jpg</t>
  </si>
  <si>
    <t>вс 16.11.2025 — 19:52:03</t>
  </si>
  <si>
    <t>E33149364_1_20251116T210225Z.jpg</t>
  </si>
  <si>
    <t>9 Ангар пилорама\E33149364_1_20251116T210225Z.jpg</t>
  </si>
  <si>
    <t>вс 16.11.2025 — 21:02:25</t>
  </si>
  <si>
    <t>E33149364_8_20251115T102828Z.jpg</t>
  </si>
  <si>
    <t>3 Въезд на базу\E33149364_8_20251115T102828Z.jpg</t>
  </si>
  <si>
    <t>сб 15.11.2025 — 10:28:28</t>
  </si>
  <si>
    <t>E33149364_8_20251115T111424Z.jpg</t>
  </si>
  <si>
    <t>3 Въезд на базу\E33149364_8_20251115T111424Z.jpg</t>
  </si>
  <si>
    <t>сб 15.11.2025 — 11:14:24</t>
  </si>
  <si>
    <t>E33149364_8_20251115T115624Z.jpg</t>
  </si>
  <si>
    <t>3 Въезд на базу\E33149364_8_20251115T115624Z.jpg</t>
  </si>
  <si>
    <t>сб 15.11.2025 — 11:56:24</t>
  </si>
  <si>
    <t>E33149364_8_20251115T151520Z.jpg</t>
  </si>
  <si>
    <t>3 Въезд на базу\E33149364_8_20251115T151520Z.jpg</t>
  </si>
  <si>
    <t>сб 15.11.2025 — 15:15:20</t>
  </si>
  <si>
    <t>E33149364_8_20251115T152636Z.jpg</t>
  </si>
  <si>
    <t>3 Въезд на базу\E33149364_8_20251115T152636Z.jpg</t>
  </si>
  <si>
    <t>сб 15.11.2025 — 15:26:36</t>
  </si>
  <si>
    <t>E33149364_8_20251115T173038Z.jpg</t>
  </si>
  <si>
    <t>3 Въезд на базу\E33149364_8_20251115T173038Z.jpg</t>
  </si>
  <si>
    <t>сб 15.11.2025 — 17:30:38</t>
  </si>
  <si>
    <t>E33149364_8_20251116T085207Z.jpg</t>
  </si>
  <si>
    <t>3 Въезд на базу\E33149364_8_20251116T085207Z.jpg</t>
  </si>
  <si>
    <t>вс 16.11.2025 — 08:52:07</t>
  </si>
  <si>
    <t>E33149364_8_20251116T141440Z.jpg</t>
  </si>
  <si>
    <t>3 Въезд на базу\E33149364_8_20251116T141440Z.jpg</t>
  </si>
  <si>
    <t>вс 16.11.2025 — 14:14:40</t>
  </si>
  <si>
    <t>E33149364_8_20251116T171627Z.jpg</t>
  </si>
  <si>
    <t>3 Въезд на базу\E33149364_8_20251116T171627Z.jpg</t>
  </si>
  <si>
    <t>вс 16.11.2025 — 17:16:27</t>
  </si>
  <si>
    <t>K07156189_21_20251115T083159Z.jpg</t>
  </si>
  <si>
    <t>4 Крыльцо офиса\K07156189_21_20251115T083159Z.jpg</t>
  </si>
  <si>
    <t>сб 15.11.2025 — 08:31:59</t>
  </si>
  <si>
    <t>K07156189_21_20251115T102830Z.jpg</t>
  </si>
  <si>
    <t>4 Крыльцо офиса\K07156189_21_20251115T102830Z.jpg</t>
  </si>
  <si>
    <t>сб 15.11.2025 — 10:28:30</t>
  </si>
  <si>
    <t>K07156189_21_20251115T103212Z.jpg</t>
  </si>
  <si>
    <t>4 Крыльцо офиса\K07156189_21_20251115T103212Z.jpg</t>
  </si>
  <si>
    <t>сб 15.11.2025 — 10:32:12</t>
  </si>
  <si>
    <t>K07156189_21_20251115T103230Z.jpg</t>
  </si>
  <si>
    <t>4 Крыльцо офиса\K07156189_21_20251115T103230Z.jpg</t>
  </si>
  <si>
    <t>сб 15.11.2025 — 10:32:30</t>
  </si>
  <si>
    <t>K07156189_21_20251115T103828Z.jpg</t>
  </si>
  <si>
    <t>4 Крыльцо офиса\K07156189_21_20251115T103828Z.jpg</t>
  </si>
  <si>
    <t>сб 15.11.2025 — 10:38:28</t>
  </si>
  <si>
    <t>K07156189_21_20251115T111417Z.jpg</t>
  </si>
  <si>
    <t>4 Крыльцо офиса\K07156189_21_20251115T111417Z.jpg</t>
  </si>
  <si>
    <t>сб 15.11.2025 — 11:14:17</t>
  </si>
  <si>
    <t>K07156189_21_20251115T115610Z.jpg</t>
  </si>
  <si>
    <t>4 Крыльцо офиса\K07156189_21_20251115T115610Z.jpg</t>
  </si>
  <si>
    <t>сб 15.11.2025 — 11:56:10</t>
  </si>
  <si>
    <t>K07156189_21_20251115T145716Z.jpg</t>
  </si>
  <si>
    <t>4 Крыльцо офиса\K07156189_21_20251115T145716Z.jpg</t>
  </si>
  <si>
    <t>сб 15.11.2025 — 14:57:16</t>
  </si>
  <si>
    <t>K07156189_21_20251115T150811Z.jpg</t>
  </si>
  <si>
    <t>4 Крыльцо офиса\K07156189_21_20251115T150811Z.jpg</t>
  </si>
  <si>
    <t>сб 15.11.2025 — 15:08:11</t>
  </si>
  <si>
    <t>K07156189_21_20251115T151123Z.jpg</t>
  </si>
  <si>
    <t>4 Крыльцо офиса\K07156189_21_20251115T151123Z.jpg</t>
  </si>
  <si>
    <t>сб 15.11.2025 — 15:11:23</t>
  </si>
  <si>
    <t>K07156189_21_20251115T151454Z.jpg</t>
  </si>
  <si>
    <t>4 Крыльцо офиса\K07156189_21_20251115T151454Z.jpg</t>
  </si>
  <si>
    <t>сб 15.11.2025 — 15:14:54</t>
  </si>
  <si>
    <t>K07156189_21_20251115T151540Z.jpg</t>
  </si>
  <si>
    <t>4 Крыльцо офиса\K07156189_21_20251115T151540Z.jpg</t>
  </si>
  <si>
    <t>сб 15.11.2025 — 15:15:40</t>
  </si>
  <si>
    <t>K07156189_21_20251115T151739Z.jpg</t>
  </si>
  <si>
    <t>4 Крыльцо офиса\K07156189_21_20251115T151739Z.jpg</t>
  </si>
  <si>
    <t>сб 15.11.2025 — 15:17:39</t>
  </si>
  <si>
    <t>K07156189_21_20251115T152643Z.jpg</t>
  </si>
  <si>
    <t>4 Крыльцо офиса\K07156189_21_20251115T152643Z.jpg</t>
  </si>
  <si>
    <t>сб 15.11.2025 — 15:26:43</t>
  </si>
  <si>
    <t>K07156189_21_20251115T165247Z.jpg</t>
  </si>
  <si>
    <t>4 Крыльцо офиса\K07156189_21_20251115T165247Z.jpg</t>
  </si>
  <si>
    <t>сб 15.11.2025 — 16:52:47</t>
  </si>
  <si>
    <t>K07156189_21_20251115T174218Z.jpg</t>
  </si>
  <si>
    <t>4 Крыльцо офиса\K07156189_21_20251115T174218Z.jpg</t>
  </si>
  <si>
    <t>сб 15.11.2025 — 17:42:18</t>
  </si>
  <si>
    <t>K07156189_21_20251116T085322Z.jpg</t>
  </si>
  <si>
    <t>4 Крыльцо офиса\K07156189_21_20251116T085322Z.jpg</t>
  </si>
  <si>
    <t>вс 16.11.2025 — 08:53:22</t>
  </si>
  <si>
    <t>K07156189_21_20251116T140449Z.jpg</t>
  </si>
  <si>
    <t>4 Крыльцо офиса\K07156189_21_20251116T140449Z.jpg</t>
  </si>
  <si>
    <t>вс 16.11.2025 — 14:04:49</t>
  </si>
  <si>
    <t>K07156189_21_20251116T171750Z.jpg</t>
  </si>
  <si>
    <t>4 Крыльцо офиса\K07156189_21_20251116T171750Z.jpg</t>
  </si>
  <si>
    <t>вс 16.11.2025 — 17:17:50</t>
  </si>
  <si>
    <t>K07156189_22_20251115T082852Z.jpg</t>
  </si>
  <si>
    <t>5 Крыльцо общага\K07156189_22_20251115T082852Z.jpg</t>
  </si>
  <si>
    <t>сб 15.11.2025 — 08:28:52</t>
  </si>
  <si>
    <t>K07156189_22_20251115T172355Z.jpg</t>
  </si>
  <si>
    <t>5 Крыльцо общага\K07156189_22_20251115T172355Z.jpg</t>
  </si>
  <si>
    <t>сб 15.11.2025 — 17:23:55</t>
  </si>
  <si>
    <t>K07156189_22_20251116T174640Z.jpg</t>
  </si>
  <si>
    <t>5 Крыльцо общага\K07156189_22_20251116T174640Z.jpg</t>
  </si>
  <si>
    <t>вс 16.11.2025 — 17:46:40</t>
  </si>
  <si>
    <t>Кромкорез</t>
  </si>
  <si>
    <t>Вывоз для погрузки</t>
  </si>
  <si>
    <t>Тюки</t>
  </si>
  <si>
    <t>E33149364_3_20251110T082736Z.jpg</t>
  </si>
  <si>
    <t>C:\ВИДЕОНАБЛЮДЕНИЕ 10-16 ноября\10 Сушилка навес\</t>
  </si>
  <si>
    <t>10 Сушилка навес\E33149364_3_20251110T082736Z.jpg</t>
  </si>
  <si>
    <t>пн 10.11.2025 — 08:27:36</t>
  </si>
  <si>
    <t>E33149364_3_20251110T084922Z.jpg</t>
  </si>
  <si>
    <t>10 Сушилка навес\E33149364_3_20251110T084922Z.jpg</t>
  </si>
  <si>
    <t>пн 10.11.2025 — 08:49:22</t>
  </si>
  <si>
    <t>E33149364_3_20251110T090915Z.jpg</t>
  </si>
  <si>
    <t>10 Сушилка навес\E33149364_3_20251110T090915Z.jpg</t>
  </si>
  <si>
    <t>пн 10.11.2025 — 09:09:15</t>
  </si>
  <si>
    <t>E33149364_3_20251110T091907Z.jpg</t>
  </si>
  <si>
    <t>10 Сушилка навес\E33149364_3_20251110T091907Z.jpg</t>
  </si>
  <si>
    <t>пн 10.11.2025 — 09:19:07</t>
  </si>
  <si>
    <t>E33149364_3_20251110T091915Z.jpg</t>
  </si>
  <si>
    <t>10 Сушилка навес\E33149364_3_20251110T091915Z.jpg</t>
  </si>
  <si>
    <t>пн 10.11.2025 — 09:19:15</t>
  </si>
  <si>
    <t>E33149364_3_20251110T091923Z.jpg</t>
  </si>
  <si>
    <t>10 Сушилка навес\E33149364_3_20251110T091923Z.jpg</t>
  </si>
  <si>
    <t>пн 10.11.2025 — 09:19:23</t>
  </si>
  <si>
    <t>E33149364_3_20251110T092046Z.jpg</t>
  </si>
  <si>
    <t>10 Сушилка навес\E33149364_3_20251110T092046Z.jpg</t>
  </si>
  <si>
    <t>пн 10.11.2025 — 09:20:46</t>
  </si>
  <si>
    <t>E33149364_3_20251110T092431Z.jpg</t>
  </si>
  <si>
    <t>10 Сушилка навес\E33149364_3_20251110T092431Z.jpg</t>
  </si>
  <si>
    <t>пн 10.11.2025 — 09:24:31</t>
  </si>
  <si>
    <t>E33149364_3_20251110T093205Z.jpg</t>
  </si>
  <si>
    <t>10 Сушилка навес\E33149364_3_20251110T093205Z.jpg</t>
  </si>
  <si>
    <t>пн 10.11.2025 — 09:32:05</t>
  </si>
  <si>
    <t>E33149364_3_20251110T094510Z.jpg</t>
  </si>
  <si>
    <t>10 Сушилка навес\E33149364_3_20251110T094510Z.jpg</t>
  </si>
  <si>
    <t>пн 10.11.2025 — 09:45:10</t>
  </si>
  <si>
    <t>E33149364_3_20251110T100407Z.jpg</t>
  </si>
  <si>
    <t>10 Сушилка навес\E33149364_3_20251110T100407Z.jpg</t>
  </si>
  <si>
    <t>пн 10.11.2025 — 10:04:07</t>
  </si>
  <si>
    <t>E33149364_3_20251110T100538Z.jpg</t>
  </si>
  <si>
    <t>10 Сушилка навес\E33149364_3_20251110T100538Z.jpg</t>
  </si>
  <si>
    <t>пн 10.11.2025 — 10:05:38</t>
  </si>
  <si>
    <t>E33149364_3_20251110T100704Z.jpg</t>
  </si>
  <si>
    <t>10 Сушилка навес\E33149364_3_20251110T100704Z.jpg</t>
  </si>
  <si>
    <t>пн 10.11.2025 — 10:07:04</t>
  </si>
  <si>
    <t>E33149364_3_20251110T100712Z.jpg</t>
  </si>
  <si>
    <t>10 Сушилка навес\E33149364_3_20251110T100712Z.jpg</t>
  </si>
  <si>
    <t>пн 10.11.2025 — 10:07:12</t>
  </si>
  <si>
    <t>E33149364_3_20251110T100752Z.jpg</t>
  </si>
  <si>
    <t>10 Сушилка навес\E33149364_3_20251110T100752Z.jpg</t>
  </si>
  <si>
    <t>пн 10.11.2025 — 10:07:52</t>
  </si>
  <si>
    <t>E33149364_3_20251110T101227Z.jpg</t>
  </si>
  <si>
    <t>10 Сушилка навес\E33149364_3_20251110T101227Z.jpg</t>
  </si>
  <si>
    <t>пн 10.11.2025 — 10:12:27</t>
  </si>
  <si>
    <t>E33149364_3_20251110T101342Z.jpg</t>
  </si>
  <si>
    <t>10 Сушилка навес\E33149364_3_20251110T101342Z.jpg</t>
  </si>
  <si>
    <t>пн 10.11.2025 — 10:13:42</t>
  </si>
  <si>
    <t>E33149364_3_20251110T101347Z.jpg</t>
  </si>
  <si>
    <t>10 Сушилка навес\E33149364_3_20251110T101347Z.jpg</t>
  </si>
  <si>
    <t>пн 10.11.2025 — 10:13:47</t>
  </si>
  <si>
    <t>E33149364_3_20251110T102055Z.jpg</t>
  </si>
  <si>
    <t>10 Сушилка навес\E33149364_3_20251110T102055Z.jpg</t>
  </si>
  <si>
    <t>пн 10.11.2025 — 10:20:55</t>
  </si>
  <si>
    <t>E33149364_3_20251110T102119Z.jpg</t>
  </si>
  <si>
    <t>10 Сушилка навес\E33149364_3_20251110T102119Z.jpg</t>
  </si>
  <si>
    <t>пн 10.11.2025 — 10:21:19</t>
  </si>
  <si>
    <t>E33149364_3_20251110T102126Z.jpg</t>
  </si>
  <si>
    <t>10 Сушилка навес\E33149364_3_20251110T102126Z.jpg</t>
  </si>
  <si>
    <t>пн 10.11.2025 — 10:21:26</t>
  </si>
  <si>
    <t>E33149364_3_20251110T102824Z.jpg</t>
  </si>
  <si>
    <t>10 Сушилка навес\E33149364_3_20251110T102824Z.jpg</t>
  </si>
  <si>
    <t>пн 10.11.2025 — 10:28:24</t>
  </si>
  <si>
    <t>E33149364_3_20251110T102830Z.jpg</t>
  </si>
  <si>
    <t>10 Сушилка навес\E33149364_3_20251110T102830Z.jpg</t>
  </si>
  <si>
    <t>пн 10.11.2025 — 10:28:30</t>
  </si>
  <si>
    <t>E33149364_3_20251110T102929Z.jpg</t>
  </si>
  <si>
    <t>10 Сушилка навес\E33149364_3_20251110T102929Z.jpg</t>
  </si>
  <si>
    <t>пн 10.11.2025 — 10:29:29</t>
  </si>
  <si>
    <t>E33149364_3_20251110T104728Z.jpg</t>
  </si>
  <si>
    <t>10 Сушилка навес\E33149364_3_20251110T104728Z.jpg</t>
  </si>
  <si>
    <t>пн 10.11.2025 — 10:47:28</t>
  </si>
  <si>
    <t>E33149364_3_20251110T105914Z.jpg</t>
  </si>
  <si>
    <t>10 Сушилка навес\E33149364_3_20251110T105914Z.jpg</t>
  </si>
  <si>
    <t>пн 10.11.2025 — 10:59:14</t>
  </si>
  <si>
    <t>E33149364_3_20251110T114149Z.jpg</t>
  </si>
  <si>
    <t>10 Сушилка навес\E33149364_3_20251110T114149Z.jpg</t>
  </si>
  <si>
    <t>пн 10.11.2025 — 11:41:49</t>
  </si>
  <si>
    <t>E33149364_3_20251110T114703Z.jpg</t>
  </si>
  <si>
    <t>10 Сушилка навес\E33149364_3_20251110T114703Z.jpg</t>
  </si>
  <si>
    <t>пн 10.11.2025 — 11:47:03</t>
  </si>
  <si>
    <t>E33149364_3_20251110T114706Z.jpg</t>
  </si>
  <si>
    <t>10 Сушилка навес\E33149364_3_20251110T114706Z.jpg</t>
  </si>
  <si>
    <t>пн 10.11.2025 — 11:47:06</t>
  </si>
  <si>
    <t>E33149364_3_20251110T120345Z.jpg</t>
  </si>
  <si>
    <t>10 Сушилка навес\E33149364_3_20251110T120345Z.jpg</t>
  </si>
  <si>
    <t>пн 10.11.2025 — 12:03:45</t>
  </si>
  <si>
    <t>E33149364_3_20251110T122223Z.jpg</t>
  </si>
  <si>
    <t>10 Сушилка навес\E33149364_3_20251110T122223Z.jpg</t>
  </si>
  <si>
    <t>пн 10.11.2025 — 12:22:23</t>
  </si>
  <si>
    <t>E33149364_3_20251110T122230Z.jpg</t>
  </si>
  <si>
    <t>10 Сушилка навес\E33149364_3_20251110T122230Z.jpg</t>
  </si>
  <si>
    <t>пн 10.11.2025 — 12:22:30</t>
  </si>
  <si>
    <t>E33149364_3_20251110T123131Z.jpg</t>
  </si>
  <si>
    <t>10 Сушилка навес\E33149364_3_20251110T123131Z.jpg</t>
  </si>
  <si>
    <t>пн 10.11.2025 — 12:31:31</t>
  </si>
  <si>
    <t>E33149364_3_20251110T123507Z.jpg</t>
  </si>
  <si>
    <t>10 Сушилка навес\E33149364_3_20251110T123507Z.jpg</t>
  </si>
  <si>
    <t>пн 10.11.2025 — 12:35:07</t>
  </si>
  <si>
    <t>E33149364_3_20251110T123510Z.jpg</t>
  </si>
  <si>
    <t>10 Сушилка навес\E33149364_3_20251110T123510Z.jpg</t>
  </si>
  <si>
    <t>пн 10.11.2025 — 12:35:10</t>
  </si>
  <si>
    <t>E33149364_3_20251110T123514Z.jpg</t>
  </si>
  <si>
    <t>10 Сушилка навес\E33149364_3_20251110T123514Z.jpg</t>
  </si>
  <si>
    <t>пн 10.11.2025 — 12:35:14</t>
  </si>
  <si>
    <t>E33149364_3_20251110T124304Z.jpg</t>
  </si>
  <si>
    <t>10 Сушилка навес\E33149364_3_20251110T124304Z.jpg</t>
  </si>
  <si>
    <t>пн 10.11.2025 — 12:43:04</t>
  </si>
  <si>
    <t>E33149364_3_20251110T140519Z.jpg</t>
  </si>
  <si>
    <t>10 Сушилка навес\E33149364_3_20251110T140519Z.jpg</t>
  </si>
  <si>
    <t>пн 10.11.2025 — 14:05:19</t>
  </si>
  <si>
    <t>E33149364_3_20251110T140616Z.jpg</t>
  </si>
  <si>
    <t>10 Сушилка навес\E33149364_3_20251110T140616Z.jpg</t>
  </si>
  <si>
    <t>пн 10.11.2025 — 14:06:16</t>
  </si>
  <si>
    <t>E33149364_3_20251110T141240Z.jpg</t>
  </si>
  <si>
    <t>10 Сушилка навес\E33149364_3_20251110T141240Z.jpg</t>
  </si>
  <si>
    <t>пн 10.11.2025 — 14:12:40</t>
  </si>
  <si>
    <t>E33149364_3_20251110T153119Z.jpg</t>
  </si>
  <si>
    <t>10 Сушилка навес\E33149364_3_20251110T153119Z.jpg</t>
  </si>
  <si>
    <t>пн 10.11.2025 — 15:31:19</t>
  </si>
  <si>
    <t>E33149364_3_20251110T155649Z.jpg</t>
  </si>
  <si>
    <t>E33149364_3_20251110T162806Z.jpg</t>
  </si>
  <si>
    <t>10 Сушилка навес\E33149364_3_20251110T162806Z.jpg</t>
  </si>
  <si>
    <t>пн 10.11.2025 — 16:28:06</t>
  </si>
  <si>
    <t>E33149364_3_20251111T083432Z.jpg</t>
  </si>
  <si>
    <t>10 Сушилка навес\E33149364_3_20251111T083432Z.jpg</t>
  </si>
  <si>
    <t>вт 11.11.2025 — 08:34:32</t>
  </si>
  <si>
    <t>E33149364_3_20251111T105021Z.jpg</t>
  </si>
  <si>
    <t>10 Сушилка навес\E33149364_3_20251111T105021Z.jpg</t>
  </si>
  <si>
    <t>вт 11.11.2025 — 10:50:21</t>
  </si>
  <si>
    <t>E33149364_3_20251111T105425Z.jpg</t>
  </si>
  <si>
    <t>10 Сушилка навес\E33149364_3_20251111T105425Z.jpg</t>
  </si>
  <si>
    <t>вт 11.11.2025 — 10:54:25</t>
  </si>
  <si>
    <t>E33149364_3_20251111T110201Z.jpg</t>
  </si>
  <si>
    <t>10 Сушилка навес\E33149364_3_20251111T110201Z.jpg</t>
  </si>
  <si>
    <t>вт 11.11.2025 — 11:02:01</t>
  </si>
  <si>
    <t>E33149364_3_20251111T110300Z.jpg</t>
  </si>
  <si>
    <t>10 Сушилка навес\E33149364_3_20251111T110300Z.jpg</t>
  </si>
  <si>
    <t>вт 11.11.2025 — 11:03:00</t>
  </si>
  <si>
    <t>E33149364_3_20251111T110552Z.jpg</t>
  </si>
  <si>
    <t>10 Сушилка навес\E33149364_3_20251111T110552Z.jpg</t>
  </si>
  <si>
    <t>вт 11.11.2025 — 11:05:52</t>
  </si>
  <si>
    <t>E33149364_3_20251111T110727Z.jpg</t>
  </si>
  <si>
    <t>10 Сушилка навес\E33149364_3_20251111T110727Z.jpg</t>
  </si>
  <si>
    <t>вт 11.11.2025 — 11:07:27</t>
  </si>
  <si>
    <t>E33149364_3_20251111T111306Z.jpg</t>
  </si>
  <si>
    <t>10 Сушилка навес\E33149364_3_20251111T111306Z.jpg</t>
  </si>
  <si>
    <t>вт 11.11.2025 — 11:13:06</t>
  </si>
  <si>
    <t>E33149364_3_20251111T112824Z.jpg</t>
  </si>
  <si>
    <t>10 Сушилка навес\E33149364_3_20251111T112824Z.jpg</t>
  </si>
  <si>
    <t>вт 11.11.2025 — 11:28:24</t>
  </si>
  <si>
    <t>E33149364_3_20251111T113405Z.jpg</t>
  </si>
  <si>
    <t>10 Сушилка навес\E33149364_3_20251111T113405Z.jpg</t>
  </si>
  <si>
    <t>вт 11.11.2025 — 11:34:05</t>
  </si>
  <si>
    <t>E33149364_3_20251111T113442Z.jpg</t>
  </si>
  <si>
    <t>10 Сушилка навес\E33149364_3_20251111T113442Z.jpg</t>
  </si>
  <si>
    <t>вт 11.11.2025 — 11:34:42</t>
  </si>
  <si>
    <t>E33149364_3_20251111T120530Z.jpg</t>
  </si>
  <si>
    <t>10 Сушилка навес\E33149364_3_20251111T120530Z.jpg</t>
  </si>
  <si>
    <t>вт 11.11.2025 — 12:05:30</t>
  </si>
  <si>
    <t>E33149364_3_20251111T120959Z.jpg</t>
  </si>
  <si>
    <t>10 Сушилка навес\E33149364_3_20251111T120959Z.jpg</t>
  </si>
  <si>
    <t>вт 11.11.2025 — 12:09:59</t>
  </si>
  <si>
    <t>E33149364_3_20251111T121326Z.jpg</t>
  </si>
  <si>
    <t>10 Сушилка навес\E33149364_3_20251111T121326Z.jpg</t>
  </si>
  <si>
    <t>вт 11.11.2025 — 12:13:26</t>
  </si>
  <si>
    <t>E33149364_3_20251111T121937Z.jpg</t>
  </si>
  <si>
    <t>10 Сушилка навес\E33149364_3_20251111T121937Z.jpg</t>
  </si>
  <si>
    <t>вт 11.11.2025 — 12:19:37</t>
  </si>
  <si>
    <t>E33149364_3_20251111T122353Z.jpg</t>
  </si>
  <si>
    <t>10 Сушилка навес\E33149364_3_20251111T122353Z.jpg</t>
  </si>
  <si>
    <t>вт 11.11.2025 — 12:23:53</t>
  </si>
  <si>
    <t>E33149364_3_20251111T124041Z.jpg</t>
  </si>
  <si>
    <t>10 Сушилка навес\E33149364_3_20251111T124041Z.jpg</t>
  </si>
  <si>
    <t>вт 11.11.2025 — 12:40:41</t>
  </si>
  <si>
    <t>E33149364_3_20251111T124105Z.jpg</t>
  </si>
  <si>
    <t>10 Сушилка навес\E33149364_3_20251111T124105Z.jpg</t>
  </si>
  <si>
    <t>вт 11.11.2025 — 12:41:05</t>
  </si>
  <si>
    <t>E33149364_3_20251111T124603Z.jpg</t>
  </si>
  <si>
    <t>10 Сушилка навес\E33149364_3_20251111T124603Z.jpg</t>
  </si>
  <si>
    <t>вт 11.11.2025 — 12:46:03</t>
  </si>
  <si>
    <t>E33149364_3_20251111T125756Z.jpg</t>
  </si>
  <si>
    <t>10 Сушилка навес\E33149364_3_20251111T125756Z.jpg</t>
  </si>
  <si>
    <t>вт 11.11.2025 — 12:57:56</t>
  </si>
  <si>
    <t>E33149364_3_20251111T143608Z.jpg</t>
  </si>
  <si>
    <t>10 Сушилка навес\E33149364_3_20251111T143608Z.jpg</t>
  </si>
  <si>
    <t>вт 11.11.2025 — 14:36:08</t>
  </si>
  <si>
    <t>E33149364_3_20251111T144558Z.jpg</t>
  </si>
  <si>
    <t>10 Сушилка навес\E33149364_3_20251111T144558Z.jpg</t>
  </si>
  <si>
    <t>вт 11.11.2025 — 14:45:58</t>
  </si>
  <si>
    <t>E33149364_3_20251111T145304Z.jpg</t>
  </si>
  <si>
    <t>10 Сушилка навес\E33149364_3_20251111T145304Z.jpg</t>
  </si>
  <si>
    <t>вт 11.11.2025 — 14:53:04</t>
  </si>
  <si>
    <t>E33149364_3_20251111T150132Z.jpg</t>
  </si>
  <si>
    <t>10 Сушилка навес\E33149364_3_20251111T150132Z.jpg</t>
  </si>
  <si>
    <t>вт 11.11.2025 — 15:01:32</t>
  </si>
  <si>
    <t>E33149364_3_20251111T155407Z.jpg</t>
  </si>
  <si>
    <t>10 Сушилка навес\E33149364_3_20251111T155407Z.jpg</t>
  </si>
  <si>
    <t>вт 11.11.2025 — 15:54:07</t>
  </si>
  <si>
    <t>E33149364_3_20251111T170407Z.jpg</t>
  </si>
  <si>
    <t>10 Сушилка навес\E33149364_3_20251111T170407Z.jpg</t>
  </si>
  <si>
    <t>вт 11.11.2025 — 17:04:07</t>
  </si>
  <si>
    <t>E33149364_3_20251112T085357Z.jpg</t>
  </si>
  <si>
    <t>10 Сушилка навес\E33149364_3_20251112T085357Z.jpg</t>
  </si>
  <si>
    <t>ср 12.11.2025 — 08:53:57</t>
  </si>
  <si>
    <t>E33149364_3_20251112T160225Z.jpg</t>
  </si>
  <si>
    <t>10 Сушилка навес\E33149364_3_20251112T160225Z.jpg</t>
  </si>
  <si>
    <t>ср 12.11.2025 — 16:02:25</t>
  </si>
  <si>
    <t>E33149364_3_20251113T090623Z.jpg</t>
  </si>
  <si>
    <t>10 Сушилка навес\E33149364_3_20251113T090623Z.jpg</t>
  </si>
  <si>
    <t>чт 13.11.2025 — 09:06:23</t>
  </si>
  <si>
    <t>E33149364_3_20251113T091445Z.jpg</t>
  </si>
  <si>
    <t>10 Сушилка навес\E33149364_3_20251113T091445Z.jpg</t>
  </si>
  <si>
    <t>чт 13.11.2025 — 09:14:45</t>
  </si>
  <si>
    <t>E33149364_3_20251113T091719Z.jpg</t>
  </si>
  <si>
    <t>10 Сушилка навес\E33149364_3_20251113T091719Z.jpg</t>
  </si>
  <si>
    <t>чт 13.11.2025 — 09:17:19</t>
  </si>
  <si>
    <t>E33149364_3_20251113T095854Z.jpg</t>
  </si>
  <si>
    <t>10 Сушилка навес\E33149364_3_20251113T095854Z.jpg</t>
  </si>
  <si>
    <t>чт 13.11.2025 — 09:58:54</t>
  </si>
  <si>
    <t>E33149364_3_20251113T162627Z.jpg</t>
  </si>
  <si>
    <t>10 Сушилка навес\E33149364_3_20251113T162627Z.jpg</t>
  </si>
  <si>
    <t>чт 13.11.2025 — 16:26:27</t>
  </si>
  <si>
    <t>E33149364_3_20251113T174823Z.jpg</t>
  </si>
  <si>
    <t>10 Сушилка навес\E33149364_3_20251113T174823Z.jpg</t>
  </si>
  <si>
    <t>чт 13.11.2025 — 17:48:23</t>
  </si>
  <si>
    <t>E33149364_3_20251114T090601Z.jpg</t>
  </si>
  <si>
    <t>10 Сушилка навес\E33149364_3_20251114T090601Z.jpg</t>
  </si>
  <si>
    <t>пт 14.11.2025 — 09:06:01</t>
  </si>
  <si>
    <t>E33149364_3_20251114T094021Z.jpg</t>
  </si>
  <si>
    <t>10 Сушилка навес\E33149364_3_20251114T094021Z.jpg</t>
  </si>
  <si>
    <t>пт 14.11.2025 — 09:40:21</t>
  </si>
  <si>
    <t>E33149364_3_20251114T094500Z.jpg</t>
  </si>
  <si>
    <t>10 Сушилка навес\E33149364_3_20251114T094500Z.jpg</t>
  </si>
  <si>
    <t>пт 14.11.2025 — 09:45:00</t>
  </si>
  <si>
    <t>E33149364_3_20251114T100715Z.jpg</t>
  </si>
  <si>
    <t>10 Сушилка навес\E33149364_3_20251114T100715Z.jpg</t>
  </si>
  <si>
    <t>пт 14.11.2025 — 10:07:15</t>
  </si>
  <si>
    <t>E33149364_3_20251114T113401Z.jpg</t>
  </si>
  <si>
    <t>10 Сушилка навес\E33149364_3_20251114T113401Z.jpg</t>
  </si>
  <si>
    <t>пт 14.11.2025 — 11:34:01</t>
  </si>
  <si>
    <t>E33149364_3_20251114T114254Z.jpg</t>
  </si>
  <si>
    <t>10 Сушилка навес\E33149364_3_20251114T114254Z.jpg</t>
  </si>
  <si>
    <t>пт 14.11.2025 — 11:42:54</t>
  </si>
  <si>
    <t>E33149364_3_20251114T115516Z.jpg</t>
  </si>
  <si>
    <t>10 Сушилка навес\E33149364_3_20251114T115516Z.jpg</t>
  </si>
  <si>
    <t>пт 14.11.2025 — 11:55:16</t>
  </si>
  <si>
    <t>E33149364_3_20251114T120736Z.jpg</t>
  </si>
  <si>
    <t>10 Сушилка навес\E33149364_3_20251114T120736Z.jpg</t>
  </si>
  <si>
    <t>пт 14.11.2025 — 12:07:36</t>
  </si>
  <si>
    <t>E33149364_3_20251114T122346Z.jpg</t>
  </si>
  <si>
    <t>10 Сушилка навес\E33149364_3_20251114T122346Z.jpg</t>
  </si>
  <si>
    <t>пт 14.11.2025 — 12:23:46</t>
  </si>
  <si>
    <t>E33149364_3_20251114T124228Z.jpg</t>
  </si>
  <si>
    <t>10 Сушилка навес\E33149364_3_20251114T124228Z.jpg</t>
  </si>
  <si>
    <t>пт 14.11.2025 — 12:42:28</t>
  </si>
  <si>
    <t>E33149364_3_20251114T125921Z.jpg</t>
  </si>
  <si>
    <t>10 Сушилка навес\E33149364_3_20251114T125921Z.jpg</t>
  </si>
  <si>
    <t>пт 14.11.2025 — 12:59:21</t>
  </si>
  <si>
    <t>E33149364_3_20251114T135301Z.jpg</t>
  </si>
  <si>
    <t>10 Сушилка навес\E33149364_3_20251114T135301Z.jpg</t>
  </si>
  <si>
    <t>пт 14.11.2025 — 13:53:01</t>
  </si>
  <si>
    <t>E33149364_3_20251114T171512Z.jpg</t>
  </si>
  <si>
    <t>10 Сушилка навес\E33149364_3_20251114T171512Z.jpg</t>
  </si>
  <si>
    <t>пт 14.11.2025 — 17:15:12</t>
  </si>
  <si>
    <t>E33149364_3_20251115T101948Z.jpg</t>
  </si>
  <si>
    <t>10 Сушилка навес\E33149364_3_20251115T101948Z.jpg</t>
  </si>
  <si>
    <t>сб 15.11.2025 — 10:19:48</t>
  </si>
  <si>
    <t>E33149364_3_20251115T114000Z.jpg</t>
  </si>
  <si>
    <t>10 Сушилка навес\E33149364_3_20251115T114000Z.jpg</t>
  </si>
  <si>
    <t>сб 15.11.2025 — 11:40:00</t>
  </si>
  <si>
    <t>E33149364_3_20251115T124412Z.jpg</t>
  </si>
  <si>
    <t>10 Сушилка навес\E33149364_3_20251115T124412Z.jpg</t>
  </si>
  <si>
    <t>сб 15.11.2025 — 12:44:12</t>
  </si>
  <si>
    <t>E33149364_3_20251115T173413Z.jpg</t>
  </si>
  <si>
    <t>10 Сушилка навес\E33149364_3_20251115T173413Z.jpg</t>
  </si>
  <si>
    <t>сб 15.11.2025 — 17:34:13</t>
  </si>
  <si>
    <t>E33149364_3_20251116T093616Z.jpg</t>
  </si>
  <si>
    <t>10 Сушилка навес\E33149364_3_20251116T093616Z.jpg</t>
  </si>
  <si>
    <t>вс 16.11.2025 — 09:36:16</t>
  </si>
  <si>
    <t>E33149364_3_20251116T102413Z.jpg</t>
  </si>
  <si>
    <t>10 Сушилка навес\E33149364_3_20251116T102413Z.jpg</t>
  </si>
  <si>
    <t>вс 16.11.2025 — 10:24:13</t>
  </si>
  <si>
    <t>E33149364_3_20251116T110727Z.jpg</t>
  </si>
  <si>
    <t>10 Сушилка навес\E33149364_3_20251116T110727Z.jpg</t>
  </si>
  <si>
    <t>вс 16.11.2025 — 11:07:27</t>
  </si>
  <si>
    <t>E33149364_3_20251116T171211Z.jpg</t>
  </si>
  <si>
    <t>10 Сушилка навес\E33149364_3_20251116T171211Z.jpg</t>
  </si>
  <si>
    <t>вс 16.11.2025 — 17:12:11</t>
  </si>
  <si>
    <t>E33149364_3_20251116T182255Z.jpg</t>
  </si>
  <si>
    <t>10 Сушилка навес\E33149364_3_20251116T182255Z.jpg</t>
  </si>
  <si>
    <t>вс 16.11.2025 — 18:22:55</t>
  </si>
  <si>
    <t>Сушилка навес</t>
  </si>
  <si>
    <t>Перемещение из ангара</t>
  </si>
  <si>
    <t>на пилораму</t>
  </si>
  <si>
    <t>Прибытие</t>
  </si>
  <si>
    <t>Сотрудник</t>
  </si>
  <si>
    <t>пустые мешки</t>
  </si>
  <si>
    <t>груженный</t>
  </si>
  <si>
    <t>Сотудники</t>
  </si>
  <si>
    <t>в сушилку</t>
  </si>
  <si>
    <t>в штабель</t>
  </si>
  <si>
    <t>Доски с погрузки</t>
  </si>
  <si>
    <t>Мусорный контейнер</t>
  </si>
  <si>
    <t>Перевозка</t>
  </si>
  <si>
    <t>Погрузка этап</t>
  </si>
  <si>
    <t>доски красные</t>
  </si>
  <si>
    <t>из под навеса</t>
  </si>
  <si>
    <t>металлические уголки</t>
  </si>
  <si>
    <t>из ангара</t>
  </si>
  <si>
    <t>отрезок бревна</t>
  </si>
  <si>
    <t>тюки</t>
  </si>
  <si>
    <t>Работа сушилки</t>
  </si>
  <si>
    <t>Сухие сучья</t>
  </si>
  <si>
    <t>конец дня</t>
  </si>
  <si>
    <t>со второстепенной дороги</t>
  </si>
  <si>
    <t>E33149364_4_20251110T081545Z.jpg</t>
  </si>
  <si>
    <t>C:\ВИДЕОНАБЛЮДЕНИЕ 10-16 ноября\11 С ангара на базу\</t>
  </si>
  <si>
    <t>11 С ангара на базу\E33149364_4_20251110T081545Z.jpg</t>
  </si>
  <si>
    <t>пн 10.11.2025 — 08:15:45</t>
  </si>
  <si>
    <t>E33149364_4_20251110T093042Z.jpg</t>
  </si>
  <si>
    <t>11 С ангара на базу\E33149364_4_20251110T093042Z.jpg</t>
  </si>
  <si>
    <t>пн 10.11.2025 — 09:30:42</t>
  </si>
  <si>
    <t>E33149364_4_20251110T093110Z.jpg</t>
  </si>
  <si>
    <t>11 С ангара на базу\E33149364_4_20251110T093110Z.jpg</t>
  </si>
  <si>
    <t>пн 10.11.2025 — 09:31:10</t>
  </si>
  <si>
    <t>E33149364_4_20251110T093351Z.jpg</t>
  </si>
  <si>
    <t>11 С ангара на базу\E33149364_4_20251110T093351Z.jpg</t>
  </si>
  <si>
    <t>пн 10.11.2025 — 09:33:51</t>
  </si>
  <si>
    <t>E33149364_4_20251110T093412Z.jpg</t>
  </si>
  <si>
    <t>11 С ангара на базу\E33149364_4_20251110T093412Z.jpg</t>
  </si>
  <si>
    <t>пн 10.11.2025 — 09:34:12</t>
  </si>
  <si>
    <t>E33149364_4_20251110T093426Z.jpg</t>
  </si>
  <si>
    <t>11 С ангара на базу\E33149364_4_20251110T093426Z.jpg</t>
  </si>
  <si>
    <t>пн 10.11.2025 — 09:34:26</t>
  </si>
  <si>
    <t>E33149364_4_20251110T093812Z.jpg</t>
  </si>
  <si>
    <t>11 С ангара на базу\E33149364_4_20251110T093812Z.jpg</t>
  </si>
  <si>
    <t>пн 10.11.2025 — 09:38:12</t>
  </si>
  <si>
    <t>E33149364_4_20251110T093833Z.jpg</t>
  </si>
  <si>
    <t>11 С ангара на базу\E33149364_4_20251110T093833Z.jpg</t>
  </si>
  <si>
    <t>пн 10.11.2025 — 09:38:33</t>
  </si>
  <si>
    <t>E33149364_4_20251110T094037Z.jpg</t>
  </si>
  <si>
    <t>11 С ангара на базу\E33149364_4_20251110T094037Z.jpg</t>
  </si>
  <si>
    <t>пн 10.11.2025 — 09:40:37</t>
  </si>
  <si>
    <t>E33149364_4_20251110T094100Z.jpg</t>
  </si>
  <si>
    <t>11 С ангара на базу\E33149364_4_20251110T094100Z.jpg</t>
  </si>
  <si>
    <t>пн 10.11.2025 — 09:41:00</t>
  </si>
  <si>
    <t>E33149364_4_20251110T094115Z.jpg</t>
  </si>
  <si>
    <t>11 С ангара на базу\E33149364_4_20251110T094115Z.jpg</t>
  </si>
  <si>
    <t>пн 10.11.2025 — 09:41:15</t>
  </si>
  <si>
    <t>E33149364_4_20251110T094431Z.jpg</t>
  </si>
  <si>
    <t>11 С ангара на базу\E33149364_4_20251110T094431Z.jpg</t>
  </si>
  <si>
    <t>пн 10.11.2025 — 09:44:31</t>
  </si>
  <si>
    <t>E33149364_4_20251110T094445Z.jpg</t>
  </si>
  <si>
    <t>11 С ангара на базу\E33149364_4_20251110T094445Z.jpg</t>
  </si>
  <si>
    <t>пн 10.11.2025 — 09:44:45</t>
  </si>
  <si>
    <t>E33149364_4_20251110T094854Z.jpg</t>
  </si>
  <si>
    <t>11 С ангара на базу\E33149364_4_20251110T094854Z.jpg</t>
  </si>
  <si>
    <t>пн 10.11.2025 — 09:48:54</t>
  </si>
  <si>
    <t>E33149364_4_20251110T094920Z.jpg</t>
  </si>
  <si>
    <t>11 С ангара на базу\E33149364_4_20251110T094920Z.jpg</t>
  </si>
  <si>
    <t>пн 10.11.2025 — 09:49:20</t>
  </si>
  <si>
    <t>E33149364_4_20251110T100812Z.jpg</t>
  </si>
  <si>
    <t>11 С ангара на базу\E33149364_4_20251110T100812Z.jpg</t>
  </si>
  <si>
    <t>пн 10.11.2025 — 10:08:12</t>
  </si>
  <si>
    <t>E33149364_4_20251110T145801Z.jpg</t>
  </si>
  <si>
    <t>11 С ангара на базу\E33149364_4_20251110T145801Z.jpg</t>
  </si>
  <si>
    <t>пн 10.11.2025 — 14:58:01</t>
  </si>
  <si>
    <t>E33149364_4_20251110T150138Z.jpg</t>
  </si>
  <si>
    <t>11 С ангара на базу\E33149364_4_20251110T150138Z.jpg</t>
  </si>
  <si>
    <t>пн 10.11.2025 — 15:01:38</t>
  </si>
  <si>
    <t>E33149364_4_20251110T150147Z.jpg</t>
  </si>
  <si>
    <t>11 С ангара на базу\E33149364_4_20251110T150147Z.jpg</t>
  </si>
  <si>
    <t>пн 10.11.2025 — 15:01:47</t>
  </si>
  <si>
    <t>E33149364_4_20251110T150257Z.jpg</t>
  </si>
  <si>
    <t>11 С ангара на базу\E33149364_4_20251110T150257Z.jpg</t>
  </si>
  <si>
    <t>пн 10.11.2025 — 15:02:57</t>
  </si>
  <si>
    <t>E33149364_4_20251110T150427Z.jpg</t>
  </si>
  <si>
    <t>11 С ангара на базу\E33149364_4_20251110T150427Z.jpg</t>
  </si>
  <si>
    <t>пн 10.11.2025 — 15:04:27</t>
  </si>
  <si>
    <t>E33149364_4_20251110T150637Z.jpg</t>
  </si>
  <si>
    <t>11 С ангара на базу\E33149364_4_20251110T150637Z.jpg</t>
  </si>
  <si>
    <t>пн 10.11.2025 — 15:06:37</t>
  </si>
  <si>
    <t>E33149364_4_20251110T150725Z.jpg</t>
  </si>
  <si>
    <t>11 С ангара на базу\E33149364_4_20251110T150725Z.jpg</t>
  </si>
  <si>
    <t>пн 10.11.2025 — 15:07:25</t>
  </si>
  <si>
    <t>E33149364_4_20251110T150749Z.jpg</t>
  </si>
  <si>
    <t>11 С ангара на базу\E33149364_4_20251110T150749Z.jpg</t>
  </si>
  <si>
    <t>пн 10.11.2025 — 15:07:49</t>
  </si>
  <si>
    <t>E33149364_4_20251110T150827Z.jpg</t>
  </si>
  <si>
    <t>11 С ангара на базу\E33149364_4_20251110T150827Z.jpg</t>
  </si>
  <si>
    <t>пн 10.11.2025 — 15:08:27</t>
  </si>
  <si>
    <t>E33149364_4_20251110T150845Z.jpg</t>
  </si>
  <si>
    <t>11 С ангара на базу\E33149364_4_20251110T150845Z.jpg</t>
  </si>
  <si>
    <t>пн 10.11.2025 — 15:08:45</t>
  </si>
  <si>
    <t>E33149364_4_20251110T171913Z.jpg</t>
  </si>
  <si>
    <t>11 С ангара на базу\E33149364_4_20251110T171913Z.jpg</t>
  </si>
  <si>
    <t>пн 10.11.2025 — 17:19:13</t>
  </si>
  <si>
    <t>E33149364_4_20251111T082023Z.jpg</t>
  </si>
  <si>
    <t>11 С ангара на базу\E33149364_4_20251111T082023Z.jpg</t>
  </si>
  <si>
    <t>вт 11.11.2025 — 08:20:23</t>
  </si>
  <si>
    <t>E33149364_4_20251111T105534Z.jpg</t>
  </si>
  <si>
    <t>11 С ангара на базу\E33149364_4_20251111T105534Z.jpg</t>
  </si>
  <si>
    <t>вт 11.11.2025 — 10:55:34</t>
  </si>
  <si>
    <t>E33149364_4_20251111T105631Z.jpg</t>
  </si>
  <si>
    <t>11 С ангара на базу\E33149364_4_20251111T105631Z.jpg</t>
  </si>
  <si>
    <t>вт 11.11.2025 — 10:56:31</t>
  </si>
  <si>
    <t>E33149364_4_20251111T113446Z.jpg</t>
  </si>
  <si>
    <t>11 С ангара на базу\E33149364_4_20251111T113446Z.jpg</t>
  </si>
  <si>
    <t>вт 11.11.2025 — 11:34:46</t>
  </si>
  <si>
    <t>E33149364_4_20251111T122242Z.jpg</t>
  </si>
  <si>
    <t>11 С ангара на базу\E33149364_4_20251111T122242Z.jpg</t>
  </si>
  <si>
    <t>вт 11.11.2025 — 12:22:42</t>
  </si>
  <si>
    <t>E33149364_4_20251111T122831Z.jpg</t>
  </si>
  <si>
    <t>11 С ангара на базу\E33149364_4_20251111T122831Z.jpg</t>
  </si>
  <si>
    <t>вт 11.11.2025 — 12:28:31</t>
  </si>
  <si>
    <t>E33149364_4_20251111T123337Z.jpg</t>
  </si>
  <si>
    <t>11 С ангара на базу\E33149364_4_20251111T123337Z.jpg</t>
  </si>
  <si>
    <t>вт 11.11.2025 — 12:33:37</t>
  </si>
  <si>
    <t>E33149364_4_20251111T123340Z.jpg</t>
  </si>
  <si>
    <t>11 С ангара на базу\E33149364_4_20251111T123340Z.jpg</t>
  </si>
  <si>
    <t>вт 11.11.2025 — 12:33:40</t>
  </si>
  <si>
    <t>E33149364_4_20251111T123852Z.jpg</t>
  </si>
  <si>
    <t>11 С ангара на базу\E33149364_4_20251111T123852Z.jpg</t>
  </si>
  <si>
    <t>вт 11.11.2025 — 12:38:52</t>
  </si>
  <si>
    <t>E33149364_4_20251111T124747Z.jpg</t>
  </si>
  <si>
    <t>11 С ангара на базу\E33149364_4_20251111T124747Z.jpg</t>
  </si>
  <si>
    <t>вт 11.11.2025 — 12:47:47</t>
  </si>
  <si>
    <t>E33149364_4_20251111T170429Z.jpg</t>
  </si>
  <si>
    <t>11 С ангара на базу\E33149364_4_20251111T170429Z.jpg</t>
  </si>
  <si>
    <t>вт 11.11.2025 — 17:04:29</t>
  </si>
  <si>
    <t>E33149364_4_20251112T094329Z.jpg</t>
  </si>
  <si>
    <t>11 С ангара на базу\E33149364_4_20251112T094329Z.jpg</t>
  </si>
  <si>
    <t>ср 12.11.2025 — 09:43:29</t>
  </si>
  <si>
    <t>E33149364_4_20251112T094346Z.jpg</t>
  </si>
  <si>
    <t>11 С ангара на базу\E33149364_4_20251112T094346Z.jpg</t>
  </si>
  <si>
    <t>ср 12.11.2025 — 09:43:46</t>
  </si>
  <si>
    <t>E33149364_4_20251112T164218Z.jpg</t>
  </si>
  <si>
    <t>11 С ангара на базу\E33149364_4_20251112T164218Z.jpg</t>
  </si>
  <si>
    <t>ср 12.11.2025 — 16:42:18</t>
  </si>
  <si>
    <t>E33149364_4_20251112T164321Z.jpg</t>
  </si>
  <si>
    <t>11 С ангара на базу\E33149364_4_20251112T164321Z.jpg</t>
  </si>
  <si>
    <t>ср 12.11.2025 — 16:43:21</t>
  </si>
  <si>
    <t>E33149364_4_20251112T170151Z.jpg</t>
  </si>
  <si>
    <t>11 С ангара на базу\E33149364_4_20251112T170151Z.jpg</t>
  </si>
  <si>
    <t>ср 12.11.2025 — 17:01:51</t>
  </si>
  <si>
    <t>E33149364_4_20251112T174816Z.jpg</t>
  </si>
  <si>
    <t>11 С ангара на базу\E33149364_4_20251112T174816Z.jpg</t>
  </si>
  <si>
    <t>ср 12.11.2025 — 17:48:16</t>
  </si>
  <si>
    <t>E33149364_4_20251113T085132Z.jpg</t>
  </si>
  <si>
    <t>11 С ангара на базу\E33149364_4_20251113T085132Z.jpg</t>
  </si>
  <si>
    <t>чт 13.11.2025 — 08:51:32</t>
  </si>
  <si>
    <t>E33149364_4_20251113T091945Z.jpg</t>
  </si>
  <si>
    <t>11 С ангара на базу\E33149364_4_20251113T091945Z.jpg</t>
  </si>
  <si>
    <t>чт 13.11.2025 — 09:19:45</t>
  </si>
  <si>
    <t>E33149364_4_20251113T123707Z.jpg</t>
  </si>
  <si>
    <t>11 С ангара на базу\E33149364_4_20251113T123707Z.jpg</t>
  </si>
  <si>
    <t>чт 13.11.2025 — 12:37:07</t>
  </si>
  <si>
    <t>E33149364_4_20251113T162612Z.jpg</t>
  </si>
  <si>
    <t>11 С ангара на базу\E33149364_4_20251113T162612Z.jpg</t>
  </si>
  <si>
    <t>чт 13.11.2025 — 16:26:12</t>
  </si>
  <si>
    <t>E33149364_4_20251113T175256Z.jpg</t>
  </si>
  <si>
    <t>11 С ангара на базу\E33149364_4_20251113T175256Z.jpg</t>
  </si>
  <si>
    <t>чт 13.11.2025 — 17:52:56</t>
  </si>
  <si>
    <t>E33149364_4_20251114T084522Z.jpg</t>
  </si>
  <si>
    <t>11 С ангара на базу\E33149364_4_20251114T084522Z.jpg</t>
  </si>
  <si>
    <t>пт 14.11.2025 — 08:45:22</t>
  </si>
  <si>
    <t>E33149364_4_20251114T101608Z.jpg</t>
  </si>
  <si>
    <t>11 С ангара на базу\E33149364_4_20251114T101608Z.jpg</t>
  </si>
  <si>
    <t>пт 14.11.2025 — 10:16:08</t>
  </si>
  <si>
    <t>E33149364_4_20251114T101613Z.jpg</t>
  </si>
  <si>
    <t>11 С ангара на базу\E33149364_4_20251114T101613Z.jpg</t>
  </si>
  <si>
    <t>пт 14.11.2025 — 10:16:13</t>
  </si>
  <si>
    <t>E33149364_4_20251114T102706Z.jpg</t>
  </si>
  <si>
    <t>11 С ангара на базу\E33149364_4_20251114T102706Z.jpg</t>
  </si>
  <si>
    <t>пт 14.11.2025 — 10:27:06</t>
  </si>
  <si>
    <t>E33149364_4_20251114T111709Z.jpg</t>
  </si>
  <si>
    <t>11 С ангара на базу\E33149364_4_20251114T111709Z.jpg</t>
  </si>
  <si>
    <t>пт 14.11.2025 — 11:17:09</t>
  </si>
  <si>
    <t>E33149364_4_20251114T120651Z.jpg</t>
  </si>
  <si>
    <t>11 С ангара на базу\E33149364_4_20251114T120651Z.jpg</t>
  </si>
  <si>
    <t>пт 14.11.2025 — 12:06:51</t>
  </si>
  <si>
    <t>E33149364_4_20251114T124152Z.jpg</t>
  </si>
  <si>
    <t>11 С ангара на базу\E33149364_4_20251114T124152Z.jpg</t>
  </si>
  <si>
    <t>пт 14.11.2025 — 12:41:52</t>
  </si>
  <si>
    <t>E33149364_4_20251114T173034Z.jpg</t>
  </si>
  <si>
    <t>11 С ангара на базу\E33149364_4_20251114T173034Z.jpg</t>
  </si>
  <si>
    <t>пт 14.11.2025 — 17:30:34</t>
  </si>
  <si>
    <t>E33149364_4_20251115T082909Z.jpg</t>
  </si>
  <si>
    <t>11 С ангара на базу\E33149364_4_20251115T082909Z.jpg</t>
  </si>
  <si>
    <t>сб 15.11.2025 — 08:29:09</t>
  </si>
  <si>
    <t>E33149364_4_20251115T132329Z.jpg</t>
  </si>
  <si>
    <t>11 С ангара на базу\E33149364_4_20251115T132329Z.jpg</t>
  </si>
  <si>
    <t>сб 15.11.2025 — 13:23:29</t>
  </si>
  <si>
    <t>E33149364_4_20251115T173426Z.jpg</t>
  </si>
  <si>
    <t>11 С ангара на базу\E33149364_4_20251115T173426Z.jpg</t>
  </si>
  <si>
    <t>сб 15.11.2025 — 17:34:26</t>
  </si>
  <si>
    <t>E33149364_4_20251116T084549Z.jpg</t>
  </si>
  <si>
    <t>11 С ангара на базу\E33149364_4_20251116T084549Z.jpg</t>
  </si>
  <si>
    <t>вс 16.11.2025 — 08:45:49</t>
  </si>
  <si>
    <t>E33149364_4_20251116T133309Z.jpg</t>
  </si>
  <si>
    <t>11 С ангара на базу\E33149364_4_20251116T133309Z.jpg</t>
  </si>
  <si>
    <t>вс 16.11.2025 — 13:33:09</t>
  </si>
  <si>
    <t>E33149364_4_20251116T170814Z.jpg</t>
  </si>
  <si>
    <t>11 С ангара на базу\E33149364_4_20251116T170814Z.jpg</t>
  </si>
  <si>
    <t>вс 16.11.2025 — 17:08:14</t>
  </si>
  <si>
    <t>С ангара на базу</t>
  </si>
  <si>
    <t>на разгрузку напротив навеса</t>
  </si>
  <si>
    <t>Проезд этап</t>
  </si>
  <si>
    <t>Разгрузка этап</t>
  </si>
  <si>
    <t>Перемена места</t>
  </si>
  <si>
    <t>для перемещения</t>
  </si>
  <si>
    <t>загрузка досками</t>
  </si>
  <si>
    <t>с землей</t>
  </si>
  <si>
    <t>на разгрузку около пилорамы</t>
  </si>
  <si>
    <t>K07156189_20_20251110T075843Z.jpg</t>
  </si>
  <si>
    <t>12 Площадка 3 кран\K07156189_20_20251110T075843Z.jpg</t>
  </si>
  <si>
    <t>пн 10.11.2025 — 07:58:43</t>
  </si>
  <si>
    <t>K07156189_20_20251110T100947Z.jpg</t>
  </si>
  <si>
    <t>12 Площадка 3 кран\K07156189_20_20251110T100947Z.jpg</t>
  </si>
  <si>
    <t>пн 10.11.2025 — 10:09:47</t>
  </si>
  <si>
    <t>K07156189_20_20251110T103116Z.jpg</t>
  </si>
  <si>
    <t>12 Площадка 3 кран\K07156189_20_20251110T103116Z.jpg</t>
  </si>
  <si>
    <t>пн 10.11.2025 — 10:31:16</t>
  </si>
  <si>
    <t>K07156189_20_20251110T103323Z.jpg</t>
  </si>
  <si>
    <t>12 Площадка 3 кран\K07156189_20_20251110T103323Z.jpg</t>
  </si>
  <si>
    <t>пн 10.11.2025 — 10:33:23</t>
  </si>
  <si>
    <t>K07156189_20_20251110T112924Z.jpg</t>
  </si>
  <si>
    <t>12 Площадка 3 кран\K07156189_20_20251110T112924Z.jpg</t>
  </si>
  <si>
    <t>пн 10.11.2025 — 11:29:24</t>
  </si>
  <si>
    <t>K07156189_20_20251110T121810Z.jpg</t>
  </si>
  <si>
    <t>12 Площадка 3 кран\K07156189_20_20251110T121810Z.jpg</t>
  </si>
  <si>
    <t>пн 10.11.2025 — 12:18:10</t>
  </si>
  <si>
    <t>K07156189_20_20251110T123332Z.jpg</t>
  </si>
  <si>
    <t>12 Площадка 3 кран\K07156189_20_20251110T123332Z.jpg</t>
  </si>
  <si>
    <t>пн 10.11.2025 — 12:33:32</t>
  </si>
  <si>
    <t>K07156189_20_20251110T131903Z.jpg</t>
  </si>
  <si>
    <t>12 Площадка 3 кран\K07156189_20_20251110T131903Z.jpg</t>
  </si>
  <si>
    <t>пн 10.11.2025 — 13:19:03</t>
  </si>
  <si>
    <t>K07156189_20_20251110T144352Z.jpg</t>
  </si>
  <si>
    <t>12 Площадка 3 кран\K07156189_20_20251110T144352Z.jpg</t>
  </si>
  <si>
    <t>пн 10.11.2025 — 14:43:52</t>
  </si>
  <si>
    <t>K07156189_20_20251110T173841Z.jpg</t>
  </si>
  <si>
    <t>12 Площадка 3 кран\K07156189_20_20251110T173841Z.jpg</t>
  </si>
  <si>
    <t>пн 10.11.2025 — 17:38:41</t>
  </si>
  <si>
    <t>K07156189_20_20251110T174844Z.jpg</t>
  </si>
  <si>
    <t>12 Площадка 3 кран\K07156189_20_20251110T174844Z.jpg</t>
  </si>
  <si>
    <t>пн 10.11.2025 — 17:48:44</t>
  </si>
  <si>
    <t>K07156189_20_20251110T180857Z.jpg</t>
  </si>
  <si>
    <t>12 Площадка 3 кран\K07156189_20_20251110T180857Z.jpg</t>
  </si>
  <si>
    <t>пн 10.11.2025 — 18:08:57</t>
  </si>
  <si>
    <t>K07156189_20_20251111T080644Z.jpg</t>
  </si>
  <si>
    <t>12 Площадка 3 кран\K07156189_20_20251111T080644Z.jpg</t>
  </si>
  <si>
    <t>вт 11.11.2025 — 08:06:44</t>
  </si>
  <si>
    <t>K07156189_20_20251111T111650Z.jpg</t>
  </si>
  <si>
    <t>12 Площадка 3 кран\K07156189_20_20251111T111650Z.jpg</t>
  </si>
  <si>
    <t>вт 11.11.2025 — 11:16:50</t>
  </si>
  <si>
    <t>K07156189_20_20251111T152721Z.jpg</t>
  </si>
  <si>
    <t>12 Площадка 3 кран\K07156189_20_20251111T152721Z.jpg</t>
  </si>
  <si>
    <t>вт 11.11.2025 — 15:27:21</t>
  </si>
  <si>
    <t>K07156189_20_20251111T162610Z.jpg</t>
  </si>
  <si>
    <t>12 Площадка 3 кран\K07156189_20_20251111T162610Z.jpg</t>
  </si>
  <si>
    <t>вт 11.11.2025 — 16:26:10</t>
  </si>
  <si>
    <t>K07156189_20_20251111T174852Z.jpg</t>
  </si>
  <si>
    <t>12 Площадка 3 кран\K07156189_20_20251111T174852Z.jpg</t>
  </si>
  <si>
    <t>вт 11.11.2025 — 17:48:52</t>
  </si>
  <si>
    <t>K07156189_20_20251112T100838Z.jpg</t>
  </si>
  <si>
    <t>12 Площадка 3 кран\K07156189_20_20251112T100838Z.jpg</t>
  </si>
  <si>
    <t>ср 12.11.2025 — 10:08:38</t>
  </si>
  <si>
    <t>K07156189_20_20251112T131653Z.jpg</t>
  </si>
  <si>
    <t>12 Площадка 3 кран\K07156189_20_20251112T131653Z.jpg</t>
  </si>
  <si>
    <t>ср 12.11.2025 — 13:16:53</t>
  </si>
  <si>
    <t>K07156189_20_20251112T155305Z.jpg</t>
  </si>
  <si>
    <t>12 Площадка 3 кран\K07156189_20_20251112T155305Z.jpg</t>
  </si>
  <si>
    <t>ср 12.11.2025 — 15:53:05</t>
  </si>
  <si>
    <t>K07156189_20_20251112T162440Z.jpg</t>
  </si>
  <si>
    <t>12 Площадка 3 кран\K07156189_20_20251112T162440Z.jpg</t>
  </si>
  <si>
    <t>ср 12.11.2025 — 16:24:40</t>
  </si>
  <si>
    <t>K07156189_20_20251113T093650Z.jpg</t>
  </si>
  <si>
    <t>12 Площадка 3 кран\K07156189_20_20251113T093650Z.jpg</t>
  </si>
  <si>
    <t>чт 13.11.2025 — 09:36:50</t>
  </si>
  <si>
    <t>K07156189_20_20251113T095401Z.jpg</t>
  </si>
  <si>
    <t>12 Площадка 3 кран\K07156189_20_20251113T095401Z.jpg</t>
  </si>
  <si>
    <t>чт 13.11.2025 — 09:54:01</t>
  </si>
  <si>
    <t>K07156189_20_20251113T142748Z.jpg</t>
  </si>
  <si>
    <t>12 Площадка 3 кран\K07156189_20_20251113T142748Z.jpg</t>
  </si>
  <si>
    <t>чт 13.11.2025 — 14:27:48</t>
  </si>
  <si>
    <t>K07156189_20_20251113T180420Z.jpg</t>
  </si>
  <si>
    <t>12 Площадка 3 кран\K07156189_20_20251113T180420Z.jpg</t>
  </si>
  <si>
    <t>чт 13.11.2025 — 18:04:20</t>
  </si>
  <si>
    <t>K07156189_20_20251114T093138Z.jpg</t>
  </si>
  <si>
    <t>12 Площадка 3 кран\K07156189_20_20251114T093138Z.jpg</t>
  </si>
  <si>
    <t>пт 14.11.2025 — 09:31:38</t>
  </si>
  <si>
    <t>K07156189_20_20251114T112812Z.jpg</t>
  </si>
  <si>
    <t>12 Площадка 3 кран\K07156189_20_20251114T112812Z.jpg</t>
  </si>
  <si>
    <t>пт 14.11.2025 — 11:28:12</t>
  </si>
  <si>
    <t>K07156189_20_20251114T112915Z.jpg</t>
  </si>
  <si>
    <t>12 Площадка 3 кран\K07156189_20_20251114T112915Z.jpg</t>
  </si>
  <si>
    <t>пт 14.11.2025 — 11:29:15</t>
  </si>
  <si>
    <t>K07156189_20_20251114T113837Z.jpg</t>
  </si>
  <si>
    <t>12 Площадка 3 кран\K07156189_20_20251114T113837Z.jpg</t>
  </si>
  <si>
    <t>пт 14.11.2025 — 11:38:37</t>
  </si>
  <si>
    <t>K07156189_20_20251114T113918Z.jpg</t>
  </si>
  <si>
    <t>12 Площадка 3 кран\K07156189_20_20251114T113918Z.jpg</t>
  </si>
  <si>
    <t>пт 14.11.2025 — 11:39:18</t>
  </si>
  <si>
    <t>K07156189_20_20251114T181544Z.jpg</t>
  </si>
  <si>
    <t>12 Площадка 3 кран\K07156189_20_20251114T181544Z.jpg</t>
  </si>
  <si>
    <t>пт 14.11.2025 — 18:15:44</t>
  </si>
  <si>
    <t>K07156189_20_20251115T080936Z.jpg</t>
  </si>
  <si>
    <t>12 Площадка 3 кран\K07156189_20_20251115T080936Z.jpg</t>
  </si>
  <si>
    <t>сб 15.11.2025 — 08:09:36</t>
  </si>
  <si>
    <t>K07156189_20_20251115T175510Z.jpg</t>
  </si>
  <si>
    <t>12 Площадка 3 кран\K07156189_20_20251115T175510Z.jpg</t>
  </si>
  <si>
    <t>сб 15.11.2025 — 17:55:10</t>
  </si>
  <si>
    <t>K07156189_20_20251116T085854Z.jpg</t>
  </si>
  <si>
    <t>12 Площадка 3 кран\K07156189_20_20251116T085854Z.jpg</t>
  </si>
  <si>
    <t>вс 16.11.2025 — 08:58:54</t>
  </si>
  <si>
    <t>K07156189_20_20251116T114000Z.jpg</t>
  </si>
  <si>
    <t>12 Площадка 3 кран\K07156189_20_20251116T114000Z.jpg</t>
  </si>
  <si>
    <t>вс 16.11.2025 — 11:40:00</t>
  </si>
  <si>
    <t>K07156189_20_20251116T124350Z.jpg</t>
  </si>
  <si>
    <t>12 Площадка 3 кран\K07156189_20_20251116T124350Z.jpg</t>
  </si>
  <si>
    <t>вс 16.11.2025 — 12:43:50</t>
  </si>
  <si>
    <t>Площадка 3 кран</t>
  </si>
  <si>
    <t>Территория, трактор</t>
  </si>
  <si>
    <t>Работа с бревнами</t>
  </si>
  <si>
    <t>K07156189_23_20251110T174442Z.jpg</t>
  </si>
  <si>
    <t>13 Склад хол\K07156189_23_20251110T174442Z.jpg</t>
  </si>
  <si>
    <t>пн 10.11.2025 — 17:44:42</t>
  </si>
  <si>
    <t>K07156189_23_20251110T174852Z.jpg</t>
  </si>
  <si>
    <t>13 Склад хол\K07156189_23_20251110T174852Z.jpg</t>
  </si>
  <si>
    <t>пн 10.11.2025 — 17:48:52</t>
  </si>
  <si>
    <t>K07156189_23_20251110T180314Z.jpg</t>
  </si>
  <si>
    <t>13 Склад хол\K07156189_23_20251110T180314Z.jpg</t>
  </si>
  <si>
    <t>пн 10.11.2025 — 18:03:14</t>
  </si>
  <si>
    <t>K07156189_23_20251111T162840Z.jpg</t>
  </si>
  <si>
    <t>13 Склад хол\K07156189_23_20251111T162840Z.jpg</t>
  </si>
  <si>
    <t>вт 11.11.2025 — 16:28:40</t>
  </si>
  <si>
    <t>K07156189_23_20251111T174511Z.jpg</t>
  </si>
  <si>
    <t>13 Склад хол\K07156189_23_20251111T174511Z.jpg</t>
  </si>
  <si>
    <t>вт 11.11.2025 — 17:45:11</t>
  </si>
  <si>
    <t>K07156189_23_20251112T123608Z.jpg</t>
  </si>
  <si>
    <t>13 Склад хол\K07156189_23_20251112T123608Z.jpg</t>
  </si>
  <si>
    <t>ср 12.11.2025 — 12:36:08</t>
  </si>
  <si>
    <t>K07156189_23_20251112T123715Z.jpg</t>
  </si>
  <si>
    <t>13 Склад хол\K07156189_23_20251112T123715Z.jpg</t>
  </si>
  <si>
    <t>ср 12.11.2025 — 12:37:15</t>
  </si>
  <si>
    <t>K07156189_23_20251112T123738Z.jpg</t>
  </si>
  <si>
    <t>13 Склад хол\K07156189_23_20251112T123738Z.jpg</t>
  </si>
  <si>
    <t>ср 12.11.2025 — 12:37:38</t>
  </si>
  <si>
    <t>K07156189_23_20251112T131702Z.jpg</t>
  </si>
  <si>
    <t>13 Склад хол\K07156189_23_20251112T131702Z.jpg</t>
  </si>
  <si>
    <t>ср 12.11.2025 — 13:17:02</t>
  </si>
  <si>
    <t>K07156189_23_20251112T150813Z.jpg</t>
  </si>
  <si>
    <t>13 Склад хол\K07156189_23_20251112T150813Z.jpg</t>
  </si>
  <si>
    <t>ср 12.11.2025 — 15:08:13</t>
  </si>
  <si>
    <t>K07156189_23_20251112T171111Z.jpg</t>
  </si>
  <si>
    <t>13 Склад хол\K07156189_23_20251112T171111Z.jpg</t>
  </si>
  <si>
    <t>ср 12.11.2025 — 17:11:11</t>
  </si>
  <si>
    <t>K07156189_23_20251113T080850Z.jpg</t>
  </si>
  <si>
    <t>13 Склад хол\K07156189_23_20251113T080850Z.jpg</t>
  </si>
  <si>
    <t>чт 13.11.2025 — 08:08:50</t>
  </si>
  <si>
    <t>K07156189_23_20251113T143845Z.jpg</t>
  </si>
  <si>
    <t>13 Склад хол\K07156189_23_20251113T143845Z.jpg</t>
  </si>
  <si>
    <t>чт 13.11.2025 — 14:38:45</t>
  </si>
  <si>
    <t>K07156189_23_20251113T162448Z.jpg</t>
  </si>
  <si>
    <t>13 Склад хол\K07156189_23_20251113T162448Z.jpg</t>
  </si>
  <si>
    <t>чт 13.11.2025 — 16:24:48</t>
  </si>
  <si>
    <t>K07156189_23_20251113T162458Z.jpg</t>
  </si>
  <si>
    <t>13 Склад хол\K07156189_23_20251113T162458Z.jpg</t>
  </si>
  <si>
    <t>чт 13.11.2025 — 16:24:58</t>
  </si>
  <si>
    <t>K07156189_23_20251113T170208Z.jpg</t>
  </si>
  <si>
    <t>13 Склад хол\K07156189_23_20251113T170208Z.jpg</t>
  </si>
  <si>
    <t>чт 13.11.2025 — 17:02:08</t>
  </si>
  <si>
    <t>K07156189_23_20251115T080010Z.jpg</t>
  </si>
  <si>
    <t>13 Склад хол\K07156189_23_20251115T080010Z.jpg</t>
  </si>
  <si>
    <t>сб 15.11.2025 — 08:00:10</t>
  </si>
  <si>
    <t>K07156189_23_20251116T084004Z.jpg</t>
  </si>
  <si>
    <t>13 Склад хол\K07156189_23_20251116T084004Z.jpg</t>
  </si>
  <si>
    <t>вс 16.11.2025 — 08:40:04</t>
  </si>
  <si>
    <t>K07156189_23_20251116T141714Z.jpg</t>
  </si>
  <si>
    <t>13 Склад хол\K07156189_23_20251116T141714Z.jpg</t>
  </si>
  <si>
    <t>вс 16.11.2025 — 14:17:14</t>
  </si>
  <si>
    <t>K07156189_23_20251116T174255Z.jpg</t>
  </si>
  <si>
    <t>13 Склад хол\K07156189_23_20251116T174255Z.jpg</t>
  </si>
  <si>
    <t>вс 16.11.2025 — 17:42:55</t>
  </si>
  <si>
    <t>Склад хол</t>
  </si>
  <si>
    <t>металлические листы</t>
  </si>
  <si>
    <t>Загрузка этап</t>
  </si>
  <si>
    <t>какой-то агрегат</t>
  </si>
  <si>
    <t>Трактор желтый</t>
  </si>
  <si>
    <t>Легковая сторонняя</t>
  </si>
  <si>
    <t>E33149364_6_20251115T151813Z.jpg</t>
  </si>
  <si>
    <t>без событий</t>
  </si>
  <si>
    <t>Территория, работа трактора</t>
  </si>
  <si>
    <t>начало работы</t>
  </si>
  <si>
    <t>окончание работы</t>
  </si>
  <si>
    <t>рядом с отрезками бревен</t>
  </si>
  <si>
    <t>начало дня</t>
  </si>
  <si>
    <t>агрегат</t>
  </si>
  <si>
    <t>с легковой с прицепом</t>
  </si>
  <si>
    <t>Перемещение этап</t>
  </si>
  <si>
    <t>Переезд для загрузки</t>
  </si>
  <si>
    <t>нет дневных записей</t>
  </si>
  <si>
    <t>826398429_1_20251115T085931Z.jpg</t>
  </si>
  <si>
    <t>6 Площадка 1 общага\826398429_1_20251115T085931Z.jpg</t>
  </si>
  <si>
    <t>сб 15.11.2025 — 08:59:31</t>
  </si>
  <si>
    <t>826398429_1_20251115T172033Z.jpg</t>
  </si>
  <si>
    <t>6 Площадка 1 общага\826398429_1_20251115T172033Z.jpg</t>
  </si>
  <si>
    <t>сб 15.11.2025 — 17:20:33</t>
  </si>
  <si>
    <t>826398429_1_20251116T170326Z.jpg</t>
  </si>
  <si>
    <t>6 Площадка 1 общага\826398429_1_20251116T170326Z.jpg</t>
  </si>
  <si>
    <t>вс 16.11.2025 — 17:03:26</t>
  </si>
  <si>
    <t>Работа станка</t>
  </si>
  <si>
    <t>E33149364_7_20251117T174635Z.jpg</t>
  </si>
  <si>
    <t>2 Пилорама поката\E33149364_7_20251117T174635Z.jpg</t>
  </si>
  <si>
    <t>пн 17.11.2025 — 17:46:35</t>
  </si>
  <si>
    <t>E33149364_7_20251118T112350Z.jpg</t>
  </si>
  <si>
    <t>2 Пилорама поката\E33149364_7_20251118T112350Z.jpg</t>
  </si>
  <si>
    <t>вт 18.11.2025 — 11:23:50</t>
  </si>
  <si>
    <t>E33149364_7_20251119T170240Z.jpg</t>
  </si>
  <si>
    <t>2 Пилорама поката\E33149364_7_20251119T170240Z.jpg</t>
  </si>
  <si>
    <t>ср 19.11.2025 — 17:02:40</t>
  </si>
  <si>
    <t>E33149364_7_20251120T162323Z.jpg</t>
  </si>
  <si>
    <t>2 Пилорама поката\E33149364_7_20251120T162323Z.jpg</t>
  </si>
  <si>
    <t>чт 20.11.2025 — 16:23:23</t>
  </si>
  <si>
    <t>E33149364_7_20251120T165633Z.jpg</t>
  </si>
  <si>
    <t>2 Пилорама поката\E33149364_7_20251120T165633Z.jpg</t>
  </si>
  <si>
    <t>чт 20.11.2025 — 16:56:33</t>
  </si>
  <si>
    <t>E33149364_7_20251121T174307Z.jpg</t>
  </si>
  <si>
    <t>2 Пилорама поката\E33149364_7_20251121T174307Z.jpg</t>
  </si>
  <si>
    <t>пт 21.11.2025 — 17:43:07</t>
  </si>
  <si>
    <t>E33149364_7_20251122T173238Z.jpg</t>
  </si>
  <si>
    <t>2 Пилорама поката\E33149364_7_20251122T173238Z.jpg</t>
  </si>
  <si>
    <t>сб 22.11.2025 — 17:32:38</t>
  </si>
  <si>
    <t>E33149364_7_20251123T171909Z.jpg</t>
  </si>
  <si>
    <t>2 Пилорама поката\E33149364_7_20251123T171909Z.jpg</t>
  </si>
  <si>
    <t>вс 23.11.2025 — 17:19:09</t>
  </si>
  <si>
    <t>E33149364_6_20251117T173330Z.jpg</t>
  </si>
  <si>
    <t>E33149364_6_20251118T090558Z.jpg</t>
  </si>
  <si>
    <t>E33149364_6_20251118T094148Z.jpg</t>
  </si>
  <si>
    <t>E33149364_6_20251118T102134Z.jpg</t>
  </si>
  <si>
    <t>E33149364_6_20251118T102612Z.jpg</t>
  </si>
  <si>
    <t>E33149364_6_20251118T143628Z.jpg</t>
  </si>
  <si>
    <t>E33149364_6_20251119T105917Z.jpg</t>
  </si>
  <si>
    <t>E33149364_6_20251119T113819Z.jpg</t>
  </si>
  <si>
    <t>E33149364_6_20251119T114703Z.jpg</t>
  </si>
  <si>
    <t>E33149364_6_20251119T115240Z.jpg</t>
  </si>
  <si>
    <t>E33149364_6_20251120T164933Z.jpg</t>
  </si>
  <si>
    <t>E33149364_6_20251121T105828Z.jpg</t>
  </si>
  <si>
    <t>E33149364_6_20251121T110048Z.jpg</t>
  </si>
  <si>
    <t>E33149364_6_20251122T135731Z.jpg</t>
  </si>
  <si>
    <t>E33149364_6_20251123T154552Z.jpg</t>
  </si>
  <si>
    <t>E33149364_8_20251117T172418Z.jpg</t>
  </si>
  <si>
    <t>3 Въезд на базу\E33149364_8_20251117T172418Z.jpg</t>
  </si>
  <si>
    <t>пн 17.11.2025 — 17:24:18</t>
  </si>
  <si>
    <t>E33149364_8_20251118T090052Z.jpg</t>
  </si>
  <si>
    <t>3 Въезд на базу\E33149364_8_20251118T090052Z.jpg</t>
  </si>
  <si>
    <t>вт 18.11.2025 — 09:00:52</t>
  </si>
  <si>
    <t>E33149364_8_20251118T135928Z.jpg</t>
  </si>
  <si>
    <t>3 Въезд на базу\E33149364_8_20251118T135928Z.jpg</t>
  </si>
  <si>
    <t>вт 18.11.2025 — 13:59:28</t>
  </si>
  <si>
    <t>E33149364_8_20251119T114812Z.jpg</t>
  </si>
  <si>
    <t>3 Въезд на базу\E33149364_8_20251119T114812Z.jpg</t>
  </si>
  <si>
    <t>ср 19.11.2025 — 11:48:12</t>
  </si>
  <si>
    <t>E33149364_8_20251120T142609Z.jpg</t>
  </si>
  <si>
    <t>3 Въезд на базу\E33149364_8_20251120T142609Z.jpg</t>
  </si>
  <si>
    <t>чт 20.11.2025 — 14:26:09</t>
  </si>
  <si>
    <t>E33149364_8_20251120T171848Z.jpg</t>
  </si>
  <si>
    <t>3 Въезд на базу\E33149364_8_20251120T171848Z.jpg</t>
  </si>
  <si>
    <t>чт 20.11.2025 — 17:18:48</t>
  </si>
  <si>
    <t>E33149364_8_20251121T103406Z.jpg</t>
  </si>
  <si>
    <t>3 Въезд на базу\E33149364_8_20251121T103406Z.jpg</t>
  </si>
  <si>
    <t>пт 21.11.2025 — 10:34:06</t>
  </si>
  <si>
    <t>E33149364_8_20251121T172500Z.jpg</t>
  </si>
  <si>
    <t>3 Въезд на базу\E33149364_8_20251121T172500Z.jpg</t>
  </si>
  <si>
    <t>пт 21.11.2025 — 17:25:00</t>
  </si>
  <si>
    <t>E33149364_8_20251122T172018Z.jpg</t>
  </si>
  <si>
    <t>3 Въезд на базу\E33149364_8_20251122T172018Z.jpg</t>
  </si>
  <si>
    <t>сб 22.11.2025 — 17:20:18</t>
  </si>
  <si>
    <t>E33149364_8_20251123T161608Z.jpg</t>
  </si>
  <si>
    <t>3 Въезд на базу\E33149364_8_20251123T161608Z.jpg</t>
  </si>
  <si>
    <t>вс 23.11.2025 — 16:16:08</t>
  </si>
  <si>
    <t>K07156189_22_20251117T173809Z.jpg</t>
  </si>
  <si>
    <t>5 Крыльцо общага\K07156189_22_20251117T173809Z.jpg</t>
  </si>
  <si>
    <t>пн 17.11.2025 — 17:38:09</t>
  </si>
  <si>
    <t>K07156189_22_20251118T102546Z.jpg</t>
  </si>
  <si>
    <t>5 Крыльцо общага\K07156189_22_20251118T102546Z.jpg</t>
  </si>
  <si>
    <t>вт 18.11.2025 — 10:25:46</t>
  </si>
  <si>
    <t>K07156189_22_20251119T112125Z.jpg</t>
  </si>
  <si>
    <t>5 Крыльцо общага\K07156189_22_20251119T112125Z.jpg</t>
  </si>
  <si>
    <t>ср 19.11.2025 — 11:21:25</t>
  </si>
  <si>
    <t>K07156189_22_20251120T084555Z.jpg</t>
  </si>
  <si>
    <t>5 Крыльцо общага\K07156189_22_20251120T084555Z.jpg</t>
  </si>
  <si>
    <t>чт 20.11.2025 — 08:45:55</t>
  </si>
  <si>
    <t>K07156189_22_20251121T172102Z.jpg</t>
  </si>
  <si>
    <t>5 Крыльцо общага\K07156189_22_20251121T172102Z.jpg</t>
  </si>
  <si>
    <t>пт 21.11.2025 — 17:21:02</t>
  </si>
  <si>
    <t>K07156189_22_20251122T171807Z.jpg</t>
  </si>
  <si>
    <t>5 Крыльцо общага\K07156189_22_20251122T171807Z.jpg</t>
  </si>
  <si>
    <t>сб 22.11.2025 — 17:18:07</t>
  </si>
  <si>
    <t>K07156189_22_20251123T101525Z.jpg</t>
  </si>
  <si>
    <t>5 Крыльцо общага\K07156189_22_20251123T101525Z.jpg</t>
  </si>
  <si>
    <t>вс 23.11.2025 — 10:15:25</t>
  </si>
  <si>
    <t>826398429_1_20251117T165749Z.jpg</t>
  </si>
  <si>
    <t>6 Площадка 1 общага\826398429_1_20251117T165749Z.jpg</t>
  </si>
  <si>
    <t>пн 17.11.2025 — 16:57:49</t>
  </si>
  <si>
    <t>826398429_1_20251119T170415Z.jpg</t>
  </si>
  <si>
    <t>6 Площадка 1 общага\826398429_1_20251119T170415Z.jpg</t>
  </si>
  <si>
    <t>ср 19.11.2025 — 17:04:15</t>
  </si>
  <si>
    <t>826398429_1_20251120T172509Z.jpg</t>
  </si>
  <si>
    <t>6 Площадка 1 общага\826398429_1_20251120T172509Z.jpg</t>
  </si>
  <si>
    <t>чт 20.11.2025 — 17:25:09</t>
  </si>
  <si>
    <t>826398429_1_20251121T141627Z.jpg</t>
  </si>
  <si>
    <t>6 Площадка 1 общага\826398429_1_20251121T141627Z.jpg</t>
  </si>
  <si>
    <t>пт 21.11.2025 — 14:16:27</t>
  </si>
  <si>
    <t>826398429_1_20251122T164927Z.jpg</t>
  </si>
  <si>
    <t>6 Площадка 1 общага\826398429_1_20251122T164927Z.jpg</t>
  </si>
  <si>
    <t>сб 22.11.2025 — 16:49:27</t>
  </si>
  <si>
    <t>826398429_1_20251123T160916Z.jpg</t>
  </si>
  <si>
    <t>6 Площадка 1 общага\826398429_1_20251123T160916Z.jpg</t>
  </si>
  <si>
    <t>вс 23.11.2025 — 16:09:16</t>
  </si>
  <si>
    <t>K07156189_21_20251117T173647Z.jpg</t>
  </si>
  <si>
    <t>4 Крыльцо офиса\K07156189_21_20251117T173647Z.jpg</t>
  </si>
  <si>
    <t>пн 17.11.2025 — 17:36:47</t>
  </si>
  <si>
    <t>K07156189_21_20251118T141331Z.jpg</t>
  </si>
  <si>
    <t>4 Крыльцо офиса\K07156189_21_20251118T141331Z.jpg</t>
  </si>
  <si>
    <t>вт 18.11.2025 — 14:13:31</t>
  </si>
  <si>
    <t>K07156189_21_20251120T100409Z.jpg</t>
  </si>
  <si>
    <t>4 Крыльцо офиса\K07156189_21_20251120T100409Z.jpg</t>
  </si>
  <si>
    <t>чт 20.11.2025 — 10:04:09</t>
  </si>
  <si>
    <t>K07156189_21_20251120T172754Z.jpg</t>
  </si>
  <si>
    <t>4 Крыльцо офиса\K07156189_21_20251120T172754Z.jpg</t>
  </si>
  <si>
    <t>чт 20.11.2025 — 17:27:54</t>
  </si>
  <si>
    <t>K07156189_21_20251121T172534Z.jpg</t>
  </si>
  <si>
    <t>4 Крыльцо офиса\K07156189_21_20251121T172534Z.jpg</t>
  </si>
  <si>
    <t>пт 21.11.2025 — 17:25:34</t>
  </si>
  <si>
    <t>K07156189_21_20251122T173302Z.jpg</t>
  </si>
  <si>
    <t>4 Крыльцо офиса\K07156189_21_20251122T173302Z.jpg</t>
  </si>
  <si>
    <t>сб 22.11.2025 — 17:33:02</t>
  </si>
  <si>
    <t>K07156189_21_20251123T170927Z.jpg</t>
  </si>
  <si>
    <t>4 Крыльцо офиса\K07156189_21_20251123T170927Z.jpg</t>
  </si>
  <si>
    <t>вс 23.11.2025 — 17:09:27</t>
  </si>
  <si>
    <t>K07156189_18_20251117T101936Z.jpg</t>
  </si>
  <si>
    <t>7 Площадка 2 бетонщики\K07156189_18_20251117T101936Z.jpg</t>
  </si>
  <si>
    <t>пн 17.11.2025 — 10:19:36</t>
  </si>
  <si>
    <t>K07156189_18_20251117T111048Z.jpg</t>
  </si>
  <si>
    <t>7 Площадка 2 бетонщики\K07156189_18_20251117T111048Z.jpg</t>
  </si>
  <si>
    <t>пн 17.11.2025 — 11:10:48</t>
  </si>
  <si>
    <t>K07156189_18_20251117T114833Z.jpg</t>
  </si>
  <si>
    <t>7 Площадка 2 бетонщики\K07156189_18_20251117T114833Z.jpg</t>
  </si>
  <si>
    <t>пн 17.11.2025 — 11:48:33</t>
  </si>
  <si>
    <t>K07156189_18_20251117T121506Z.jpg</t>
  </si>
  <si>
    <t>7 Площадка 2 бетонщики\K07156189_18_20251117T121506Z.jpg</t>
  </si>
  <si>
    <t>пн 17.11.2025 — 12:15:06</t>
  </si>
  <si>
    <t>K07156189_18_20251117T122144Z.jpg</t>
  </si>
  <si>
    <t>7 Площадка 2 бетонщики\K07156189_18_20251117T122144Z.jpg</t>
  </si>
  <si>
    <t>пн 17.11.2025 — 12:21:44</t>
  </si>
  <si>
    <t>K07156189_18_20251117T122805Z.jpg</t>
  </si>
  <si>
    <t>7 Площадка 2 бетонщики\K07156189_18_20251117T122805Z.jpg</t>
  </si>
  <si>
    <t>пн 17.11.2025 — 12:28:05</t>
  </si>
  <si>
    <t>K07156189_18_20251117T141527Z.jpg</t>
  </si>
  <si>
    <t>7 Площадка 2 бетонщики\K07156189_18_20251117T141527Z.jpg</t>
  </si>
  <si>
    <t>пн 17.11.2025 — 14:15:27</t>
  </si>
  <si>
    <t>K07156189_18_20251117T155547Z.jpg</t>
  </si>
  <si>
    <t>7 Площадка 2 бетонщики\K07156189_18_20251117T155547Z.jpg</t>
  </si>
  <si>
    <t>пн 17.11.2025 — 15:55:47</t>
  </si>
  <si>
    <t>K07156189_18_20251117T163718Z.jpg</t>
  </si>
  <si>
    <t>7 Площадка 2 бетонщики\K07156189_18_20251117T163718Z.jpg</t>
  </si>
  <si>
    <t>пн 17.11.2025 — 16:37:18</t>
  </si>
  <si>
    <t>K07156189_18_20251117T165840Z.jpg</t>
  </si>
  <si>
    <t>7 Площадка 2 бетонщики\K07156189_18_20251117T165840Z.jpg</t>
  </si>
  <si>
    <t>пн 17.11.2025 — 16:58:40</t>
  </si>
  <si>
    <t>K07156189_18_20251118T093720Z.jpg</t>
  </si>
  <si>
    <t>7 Площадка 2 бетонщики\K07156189_18_20251118T093720Z.jpg</t>
  </si>
  <si>
    <t>вт 18.11.2025 — 09:37:20</t>
  </si>
  <si>
    <t>K07156189_18_20251118T094139Z.jpg</t>
  </si>
  <si>
    <t>7 Площадка 2 бетонщики\K07156189_18_20251118T094139Z.jpg</t>
  </si>
  <si>
    <t>вт 18.11.2025 — 09:41:39</t>
  </si>
  <si>
    <t>K07156189_18_20251118T095817Z.jpg</t>
  </si>
  <si>
    <t>7 Площадка 2 бетонщики\K07156189_18_20251118T095817Z.jpg</t>
  </si>
  <si>
    <t>вт 18.11.2025 — 09:58:17</t>
  </si>
  <si>
    <t>K07156189_18_20251118T101015Z.jpg</t>
  </si>
  <si>
    <t>7 Площадка 2 бетонщики\K07156189_18_20251118T101015Z.jpg</t>
  </si>
  <si>
    <t>вт 18.11.2025 — 10:10:15</t>
  </si>
  <si>
    <t>K07156189_18_20251118T104839Z.jpg</t>
  </si>
  <si>
    <t>7 Площадка 2 бетонщики\K07156189_18_20251118T104839Z.jpg</t>
  </si>
  <si>
    <t>вт 18.11.2025 — 10:48:39</t>
  </si>
  <si>
    <t>K07156189_18_20251118T110826Z.jpg</t>
  </si>
  <si>
    <t>7 Площадка 2 бетонщики\K07156189_18_20251118T110826Z.jpg</t>
  </si>
  <si>
    <t>вт 18.11.2025 — 11:08:26</t>
  </si>
  <si>
    <t>K07156189_18_20251118T111740Z.jpg</t>
  </si>
  <si>
    <t>7 Площадка 2 бетонщики\K07156189_18_20251118T111740Z.jpg</t>
  </si>
  <si>
    <t>вт 18.11.2025 — 11:17:40</t>
  </si>
  <si>
    <t>K07156189_18_20251118T140423Z.jpg</t>
  </si>
  <si>
    <t>7 Площадка 2 бетонщики\K07156189_18_20251118T140423Z.jpg</t>
  </si>
  <si>
    <t>вт 18.11.2025 — 14:04:23</t>
  </si>
  <si>
    <t>K07156189_18_20251118T142101Z.jpg</t>
  </si>
  <si>
    <t>7 Площадка 2 бетонщики\K07156189_18_20251118T142101Z.jpg</t>
  </si>
  <si>
    <t>вт 18.11.2025 — 14:21:01</t>
  </si>
  <si>
    <t>K07156189_18_20251118T143941Z.jpg</t>
  </si>
  <si>
    <t>7 Площадка 2 бетонщики\K07156189_18_20251118T143941Z.jpg</t>
  </si>
  <si>
    <t>вт 18.11.2025 — 14:39:41</t>
  </si>
  <si>
    <t>K07156189_18_20251118T150212Z.jpg</t>
  </si>
  <si>
    <t>7 Площадка 2 бетонщики\K07156189_18_20251118T150212Z.jpg</t>
  </si>
  <si>
    <t>вт 18.11.2025 — 15:02:12</t>
  </si>
  <si>
    <t>K07156189_18_20251118T150725Z.jpg</t>
  </si>
  <si>
    <t>7 Площадка 2 бетонщики\K07156189_18_20251118T150725Z.jpg</t>
  </si>
  <si>
    <t>вт 18.11.2025 — 15:07:25</t>
  </si>
  <si>
    <t>K07156189_18_20251118T151923Z.jpg</t>
  </si>
  <si>
    <t>7 Площадка 2 бетонщики\K07156189_18_20251118T151923Z.jpg</t>
  </si>
  <si>
    <t>вт 18.11.2025 — 15:19:23</t>
  </si>
  <si>
    <t>K07156189_18_20251118T165354Z.jpg</t>
  </si>
  <si>
    <t>7 Площадка 2 бетонщики\K07156189_18_20251118T165354Z.jpg</t>
  </si>
  <si>
    <t>вт 18.11.2025 — 16:53:54</t>
  </si>
  <si>
    <t>K07156189_18_20251119T150627Z.jpg</t>
  </si>
  <si>
    <t>7 Площадка 2 бетонщики\K07156189_18_20251119T150627Z.jpg</t>
  </si>
  <si>
    <t>ср 19.11.2025 — 15:06:27</t>
  </si>
  <si>
    <t>K07156189_18_20251120T170828Z.jpg</t>
  </si>
  <si>
    <t>7 Площадка 2 бетонщики\K07156189_18_20251120T170828Z.jpg</t>
  </si>
  <si>
    <t>чт 20.11.2025 — 17:08:28</t>
  </si>
  <si>
    <t>E33149364_2_20251117T093650Z.jpg</t>
  </si>
  <si>
    <t>8 Рейсмус\E33149364_2_20251117T093650Z.jpg</t>
  </si>
  <si>
    <t>пн 17.11.2025 — 09:36:50</t>
  </si>
  <si>
    <t>E33149364_2_20251117T095908Z.jpg</t>
  </si>
  <si>
    <t>8 Рейсмус\E33149364_2_20251117T095908Z.jpg</t>
  </si>
  <si>
    <t>пн 17.11.2025 — 09:59:08</t>
  </si>
  <si>
    <t>E33149364_2_20251117T103145Z.jpg</t>
  </si>
  <si>
    <t>8 Рейсмус\E33149364_2_20251117T103145Z.jpg</t>
  </si>
  <si>
    <t>пн 17.11.2025 — 10:31:45</t>
  </si>
  <si>
    <t>E33149364_2_20251117T105328Z.jpg</t>
  </si>
  <si>
    <t>8 Рейсмус\E33149364_2_20251117T105328Z.jpg</t>
  </si>
  <si>
    <t>пн 17.11.2025 — 10:53:28</t>
  </si>
  <si>
    <t>E33149364_2_20251117T112145Z.jpg</t>
  </si>
  <si>
    <t>8 Рейсмус\E33149364_2_20251117T112145Z.jpg</t>
  </si>
  <si>
    <t>пн 17.11.2025 — 11:21:45</t>
  </si>
  <si>
    <t>E33149364_2_20251117T120242Z.jpg</t>
  </si>
  <si>
    <t>8 Рейсмус\E33149364_2_20251117T120242Z.jpg</t>
  </si>
  <si>
    <t>пн 17.11.2025 — 12:02:42</t>
  </si>
  <si>
    <t>E33149364_2_20251117T145438Z.jpg</t>
  </si>
  <si>
    <t>8 Рейсмус\E33149364_2_20251117T145438Z.jpg</t>
  </si>
  <si>
    <t>пн 17.11.2025 — 14:54:38</t>
  </si>
  <si>
    <t>E33149364_2_20251117T150140Z.jpg</t>
  </si>
  <si>
    <t>8 Рейсмус\E33149364_2_20251117T150140Z.jpg</t>
  </si>
  <si>
    <t>пн 17.11.2025 — 15:01:40</t>
  </si>
  <si>
    <t>E33149364_2_20251117T175832Z.jpg</t>
  </si>
  <si>
    <t>8 Рейсмус\E33149364_2_20251117T175832Z.jpg</t>
  </si>
  <si>
    <t>пн 17.11.2025 — 17:58:32</t>
  </si>
  <si>
    <t>E33149364_2_20251117T191752Z.jpg</t>
  </si>
  <si>
    <t>8 Рейсмус\E33149364_2_20251117T191752Z.jpg</t>
  </si>
  <si>
    <t>пн 17.11.2025 — 19:17:52</t>
  </si>
  <si>
    <t>E33149364_2_20251117T195004Z.jpg</t>
  </si>
  <si>
    <t>8 Рейсмус\E33149364_2_20251117T195004Z.jpg</t>
  </si>
  <si>
    <t>пн 17.11.2025 — 19:50:04</t>
  </si>
  <si>
    <t>E33149364_2_20251117T232551Z.jpg</t>
  </si>
  <si>
    <t>8 Рейсмус\E33149364_2_20251117T232551Z.jpg</t>
  </si>
  <si>
    <t>пн 17.11.2025 — 23:25:51</t>
  </si>
  <si>
    <t>E33149364_2_20251118T174713Z.jpg</t>
  </si>
  <si>
    <t>8 Рейсмус\E33149364_2_20251118T174713Z.jpg</t>
  </si>
  <si>
    <t>вт 18.11.2025 — 17:47:13</t>
  </si>
  <si>
    <t>E33149364_2_20251118T180626Z.jpg</t>
  </si>
  <si>
    <t>8 Рейсмус\E33149364_2_20251118T180626Z.jpg</t>
  </si>
  <si>
    <t>вт 18.11.2025 — 18:06:26</t>
  </si>
  <si>
    <t>E33149364_2_20251118T194838Z.jpg</t>
  </si>
  <si>
    <t>8 Рейсмус\E33149364_2_20251118T194838Z.jpg</t>
  </si>
  <si>
    <t>вт 18.11.2025 — 19:48:38</t>
  </si>
  <si>
    <t>E33149364_2_20251118T200958Z.jpg</t>
  </si>
  <si>
    <t>8 Рейсмус\E33149364_2_20251118T200958Z.jpg</t>
  </si>
  <si>
    <t>вт 18.11.2025 — 20:09:58</t>
  </si>
  <si>
    <t>E33149364_2_20251118T201419Z.jpg</t>
  </si>
  <si>
    <t>8 Рейсмус\E33149364_2_20251118T201419Z.jpg</t>
  </si>
  <si>
    <t>вт 18.11.2025 — 20:14:19</t>
  </si>
  <si>
    <t>E33149364_2_20251118T201937Z.jpg</t>
  </si>
  <si>
    <t>8 Рейсмус\E33149364_2_20251118T201937Z.jpg</t>
  </si>
  <si>
    <t>вт 18.11.2025 — 20:19:37</t>
  </si>
  <si>
    <t>E33149364_2_20251118T212359Z.jpg</t>
  </si>
  <si>
    <t>8 Рейсмус\E33149364_2_20251118T212359Z.jpg</t>
  </si>
  <si>
    <t>вт 18.11.2025 — 21:23:59</t>
  </si>
  <si>
    <t>E33149364_2_20251119T004850Z.jpg</t>
  </si>
  <si>
    <t>8 Рейсмус\E33149364_2_20251119T004850Z.jpg</t>
  </si>
  <si>
    <t>ср 19.11.2025 — 00:48:50</t>
  </si>
  <si>
    <t>E33149364_2_20251119T110703Z.jpg</t>
  </si>
  <si>
    <t>8 Рейсмус\E33149364_2_20251119T110703Z.jpg</t>
  </si>
  <si>
    <t>ср 19.11.2025 — 11:07:03</t>
  </si>
  <si>
    <t>E33149364_2_20251119T111802Z.jpg</t>
  </si>
  <si>
    <t>8 Рейсмус\E33149364_2_20251119T111802Z.jpg</t>
  </si>
  <si>
    <t>ср 19.11.2025 — 11:18:02</t>
  </si>
  <si>
    <t>E33149364_2_20251119T113041Z.jpg</t>
  </si>
  <si>
    <t>8 Рейсмус\E33149364_2_20251119T113041Z.jpg</t>
  </si>
  <si>
    <t>ср 19.11.2025 — 11:30:41</t>
  </si>
  <si>
    <t>E33149364_2_20251119T124710Z.jpg</t>
  </si>
  <si>
    <t>8 Рейсмус\E33149364_2_20251119T124710Z.jpg</t>
  </si>
  <si>
    <t>ср 19.11.2025 — 12:47:10</t>
  </si>
  <si>
    <t>E33149364_2_20251119T130002Z.jpg</t>
  </si>
  <si>
    <t>8 Рейсмус\E33149364_2_20251119T130002Z.jpg</t>
  </si>
  <si>
    <t>ср 19.11.2025 — 13:00:02</t>
  </si>
  <si>
    <t>E33149364_2_20251119T130111Z.jpg</t>
  </si>
  <si>
    <t>8 Рейсмус\E33149364_2_20251119T130111Z.jpg</t>
  </si>
  <si>
    <t>ср 19.11.2025 — 13:01:11</t>
  </si>
  <si>
    <t>E33149364_2_20251120T121058Z.jpg</t>
  </si>
  <si>
    <t>8 Рейсмус\E33149364_2_20251120T121058Z.jpg</t>
  </si>
  <si>
    <t>чт 20.11.2025 — 12:10:58</t>
  </si>
  <si>
    <t>E33149364_2_20251121T094507Z.jpg</t>
  </si>
  <si>
    <t>8 Рейсмус\E33149364_2_20251121T094507Z.jpg</t>
  </si>
  <si>
    <t>пт 21.11.2025 — 09:45:07</t>
  </si>
  <si>
    <t>E33149364_2_20251121T150110Z.jpg</t>
  </si>
  <si>
    <t>8 Рейсмус\E33149364_2_20251121T150110Z.jpg</t>
  </si>
  <si>
    <t>пт 21.11.2025 — 15:01:10</t>
  </si>
  <si>
    <t>E33149364_2_20251121T150740Z.jpg</t>
  </si>
  <si>
    <t>8 Рейсмус\E33149364_2_20251121T150740Z.jpg</t>
  </si>
  <si>
    <t>пт 21.11.2025 — 15:07:40</t>
  </si>
  <si>
    <t>E33149364_2_20251121T154717Z.jpg</t>
  </si>
  <si>
    <t>8 Рейсмус\E33149364_2_20251121T154717Z.jpg</t>
  </si>
  <si>
    <t>пт 21.11.2025 — 15:47:17</t>
  </si>
  <si>
    <t>E33149364_2_20251121T155525Z.jpg</t>
  </si>
  <si>
    <t>8 Рейсмус\E33149364_2_20251121T155525Z.jpg</t>
  </si>
  <si>
    <t>пт 21.11.2025 — 15:55:25</t>
  </si>
  <si>
    <t>E33149364_2_20251121T160844Z.jpg</t>
  </si>
  <si>
    <t>8 Рейсмус\E33149364_2_20251121T160844Z.jpg</t>
  </si>
  <si>
    <t>пт 21.11.2025 — 16:08:44</t>
  </si>
  <si>
    <t>E33149364_2_20251121T161653Z.jpg</t>
  </si>
  <si>
    <t>8 Рейсмус\E33149364_2_20251121T161653Z.jpg</t>
  </si>
  <si>
    <t>пт 21.11.2025 — 16:16:53</t>
  </si>
  <si>
    <t>E33149364_2_20251122T131756Z.jpg</t>
  </si>
  <si>
    <t>8 Рейсмус\E33149364_2_20251122T131756Z.jpg</t>
  </si>
  <si>
    <t>сб 22.11.2025 — 13:17:56</t>
  </si>
  <si>
    <t>E33149364_2_20251123T155739Z.jpg</t>
  </si>
  <si>
    <t>8 Рейсмус\E33149364_2_20251123T155739Z.jpg</t>
  </si>
  <si>
    <t>вс 23.11.2025 — 15:57:39</t>
  </si>
  <si>
    <t>E33149364_1_20251117T093100Z.jpg</t>
  </si>
  <si>
    <t>9 Ангар пилорама\E33149364_1_20251117T093100Z.jpg</t>
  </si>
  <si>
    <t>пн 17.11.2025 — 09:31:00</t>
  </si>
  <si>
    <t>E33149364_1_20251117T113206Z.jpg</t>
  </si>
  <si>
    <t>9 Ангар пилорама\E33149364_1_20251117T113206Z.jpg</t>
  </si>
  <si>
    <t>пн 17.11.2025 — 11:32:06</t>
  </si>
  <si>
    <t>E33149364_1_20251117T141554Z.jpg</t>
  </si>
  <si>
    <t>9 Ангар пилорама\E33149364_1_20251117T141554Z.jpg</t>
  </si>
  <si>
    <t>пн 17.11.2025 — 14:15:54</t>
  </si>
  <si>
    <t>E33149364_1_20251117T150453Z.jpg</t>
  </si>
  <si>
    <t>9 Ангар пилорама\E33149364_1_20251117T150453Z.jpg</t>
  </si>
  <si>
    <t>пн 17.11.2025 — 15:04:53</t>
  </si>
  <si>
    <t>E33149364_1_20251117T154207Z.jpg</t>
  </si>
  <si>
    <t>9 Ангар пилорама\E33149364_1_20251117T154207Z.jpg</t>
  </si>
  <si>
    <t>пн 17.11.2025 — 15:42:07</t>
  </si>
  <si>
    <t>E33149364_1_20251117T170011Z.jpg</t>
  </si>
  <si>
    <t>9 Ангар пилорама\E33149364_1_20251117T170011Z.jpg</t>
  </si>
  <si>
    <t>пн 17.11.2025 — 17:00:11</t>
  </si>
  <si>
    <t>E33149364_1_20251117T170216Z.jpg</t>
  </si>
  <si>
    <t>9 Ангар пилорама\E33149364_1_20251117T170216Z.jpg</t>
  </si>
  <si>
    <t>пн 17.11.2025 — 17:02:16</t>
  </si>
  <si>
    <t>E33149364_1_20251117T170438Z.jpg</t>
  </si>
  <si>
    <t>9 Ангар пилорама\E33149364_1_20251117T170438Z.jpg</t>
  </si>
  <si>
    <t>пн 17.11.2025 — 17:04:38</t>
  </si>
  <si>
    <t>E33149364_1_20251117T170523Z.jpg</t>
  </si>
  <si>
    <t>9 Ангар пилорама\E33149364_1_20251117T170523Z.jpg</t>
  </si>
  <si>
    <t>пн 17.11.2025 — 17:05:23</t>
  </si>
  <si>
    <t>E33149364_1_20251117T170655Z.jpg</t>
  </si>
  <si>
    <t>9 Ангар пилорама\E33149364_1_20251117T170655Z.jpg</t>
  </si>
  <si>
    <t>пн 17.11.2025 — 17:06:55</t>
  </si>
  <si>
    <t>E33149364_1_20251117T170726Z.jpg</t>
  </si>
  <si>
    <t>9 Ангар пилорама\E33149364_1_20251117T170726Z.jpg</t>
  </si>
  <si>
    <t>пн 17.11.2025 — 17:07:26</t>
  </si>
  <si>
    <t>E33149364_1_20251117T170918Z.jpg</t>
  </si>
  <si>
    <t>9 Ангар пилорама\E33149364_1_20251117T170918Z.jpg</t>
  </si>
  <si>
    <t>пн 17.11.2025 — 17:09:18</t>
  </si>
  <si>
    <t>E33149364_1_20251117T170930Z.jpg</t>
  </si>
  <si>
    <t>9 Ангар пилорама\E33149364_1_20251117T170930Z.jpg</t>
  </si>
  <si>
    <t>пн 17.11.2025 — 17:09:30</t>
  </si>
  <si>
    <t>E33149364_1_20251117T171002Z.jpg</t>
  </si>
  <si>
    <t>9 Ангар пилорама\E33149364_1_20251117T171002Z.jpg</t>
  </si>
  <si>
    <t>пн 17.11.2025 — 17:10:02</t>
  </si>
  <si>
    <t>E33149364_1_20251117T175920Z.jpg</t>
  </si>
  <si>
    <t>9 Ангар пилорама\E33149364_1_20251117T175920Z.jpg</t>
  </si>
  <si>
    <t>пн 17.11.2025 — 17:59:20</t>
  </si>
  <si>
    <t>E33149364_1_20251117T184627Z.jpg</t>
  </si>
  <si>
    <t>9 Ангар пилорама\E33149364_1_20251117T184627Z.jpg</t>
  </si>
  <si>
    <t>пн 17.11.2025 — 18:46:27</t>
  </si>
  <si>
    <t>E33149364_1_20251117T192802Z.jpg</t>
  </si>
  <si>
    <t>9 Ангар пилорама\E33149364_1_20251117T192802Z.jpg</t>
  </si>
  <si>
    <t>пн 17.11.2025 — 19:28:02</t>
  </si>
  <si>
    <t>E33149364_1_20251117T195222Z.jpg</t>
  </si>
  <si>
    <t>9 Ангар пилорама\E33149364_1_20251117T195222Z.jpg</t>
  </si>
  <si>
    <t>пн 17.11.2025 — 19:52:22</t>
  </si>
  <si>
    <t>E33149364_1_20251117T232754Z.jpg</t>
  </si>
  <si>
    <t>9 Ангар пилорама\E33149364_1_20251117T232754Z.jpg</t>
  </si>
  <si>
    <t>пн 17.11.2025 — 23:27:54</t>
  </si>
  <si>
    <t>E33149364_1_20251118T090755Z.jpg</t>
  </si>
  <si>
    <t>9 Ангар пилорама\E33149364_1_20251118T090755Z.jpg</t>
  </si>
  <si>
    <t>вт 18.11.2025 — 09:07:55</t>
  </si>
  <si>
    <t>E33149364_1_20251118T090815Z.jpg</t>
  </si>
  <si>
    <t>9 Ангар пилорама\E33149364_1_20251118T090815Z.jpg</t>
  </si>
  <si>
    <t>вт 18.11.2025 — 09:08:15</t>
  </si>
  <si>
    <t>E33149364_1_20251118T090827Z.jpg</t>
  </si>
  <si>
    <t>9 Ангар пилорама\E33149364_1_20251118T090827Z.jpg</t>
  </si>
  <si>
    <t>вт 18.11.2025 — 09:08:27</t>
  </si>
  <si>
    <t>E33149364_1_20251118T090837Z.jpg</t>
  </si>
  <si>
    <t>9 Ангар пилорама\E33149364_1_20251118T090837Z.jpg</t>
  </si>
  <si>
    <t>вт 18.11.2025 — 09:08:37</t>
  </si>
  <si>
    <t>E33149364_1_20251118T090916Z.jpg</t>
  </si>
  <si>
    <t>9 Ангар пилорама\E33149364_1_20251118T090916Z.jpg</t>
  </si>
  <si>
    <t>вт 18.11.2025 — 09:09:16</t>
  </si>
  <si>
    <t>E33149364_1_20251118T091554Z.jpg</t>
  </si>
  <si>
    <t>9 Ангар пилорама\E33149364_1_20251118T091554Z.jpg</t>
  </si>
  <si>
    <t>вт 18.11.2025 — 09:15:54</t>
  </si>
  <si>
    <t>E33149364_1_20251118T091750Z.jpg</t>
  </si>
  <si>
    <t>9 Ангар пилорама\E33149364_1_20251118T091750Z.jpg</t>
  </si>
  <si>
    <t>вт 18.11.2025 — 09:17:50</t>
  </si>
  <si>
    <t>E33149364_1_20251118T091848Z.jpg</t>
  </si>
  <si>
    <t>9 Ангар пилорама\E33149364_1_20251118T091848Z.jpg</t>
  </si>
  <si>
    <t>вт 18.11.2025 — 09:18:48</t>
  </si>
  <si>
    <t>E33149364_1_20251118T092024Z.jpg</t>
  </si>
  <si>
    <t>9 Ангар пилорама\E33149364_1_20251118T092024Z.jpg</t>
  </si>
  <si>
    <t>вт 18.11.2025 — 09:20:24</t>
  </si>
  <si>
    <t>E33149364_1_20251118T094915Z.jpg</t>
  </si>
  <si>
    <t>9 Ангар пилорама\E33149364_1_20251118T094915Z.jpg</t>
  </si>
  <si>
    <t>вт 18.11.2025 — 09:49:15</t>
  </si>
  <si>
    <t>E33149364_1_20251118T100247Z.jpg</t>
  </si>
  <si>
    <t>9 Ангар пилорама\E33149364_1_20251118T100247Z.jpg</t>
  </si>
  <si>
    <t>вт 18.11.2025 — 10:02:47</t>
  </si>
  <si>
    <t>E33149364_1_20251118T101453Z.jpg</t>
  </si>
  <si>
    <t>9 Ангар пилорама\E33149364_1_20251118T101453Z.jpg</t>
  </si>
  <si>
    <t>вт 18.11.2025 — 10:14:53</t>
  </si>
  <si>
    <t>E33149364_1_20251118T121112Z.jpg</t>
  </si>
  <si>
    <t>9 Ангар пилорама\E33149364_1_20251118T121112Z.jpg</t>
  </si>
  <si>
    <t>вт 18.11.2025 — 12:11:12</t>
  </si>
  <si>
    <t>E33149364_1_20251118T175931Z.jpg</t>
  </si>
  <si>
    <t>9 Ангар пилорама\E33149364_1_20251118T175931Z.jpg</t>
  </si>
  <si>
    <t>вт 18.11.2025 — 17:59:31</t>
  </si>
  <si>
    <t>E33149364_1_20251118T181738Z.jpg</t>
  </si>
  <si>
    <t>9 Ангар пилорама\E33149364_1_20251118T181738Z.jpg</t>
  </si>
  <si>
    <t>вт 18.11.2025 — 18:17:38</t>
  </si>
  <si>
    <t>E33149364_1_20251118T201728Z.jpg</t>
  </si>
  <si>
    <t>9 Ангар пилорама\E33149364_1_20251118T201728Z.jpg</t>
  </si>
  <si>
    <t>вт 18.11.2025 — 20:17:28</t>
  </si>
  <si>
    <t>E33149364_1_20251118T212708Z.jpg</t>
  </si>
  <si>
    <t>9 Ангар пилорама\E33149364_1_20251118T212708Z.jpg</t>
  </si>
  <si>
    <t>вт 18.11.2025 — 21:27:08</t>
  </si>
  <si>
    <t>E33149364_1_20251118T220158Z.jpg</t>
  </si>
  <si>
    <t>9 Ангар пилорама\E33149364_1_20251118T220158Z.jpg</t>
  </si>
  <si>
    <t>вт 18.11.2025 — 22:01:58</t>
  </si>
  <si>
    <t>E33149364_1_20251119T005052Z.jpg</t>
  </si>
  <si>
    <t>9 Ангар пилорама\E33149364_1_20251119T005052Z.jpg</t>
  </si>
  <si>
    <t>ср 19.11.2025 — 00:50:52</t>
  </si>
  <si>
    <t>E33149364_1_20251119T110004Z.jpg</t>
  </si>
  <si>
    <t>9 Ангар пилорама\E33149364_1_20251119T110004Z.jpg</t>
  </si>
  <si>
    <t>ср 19.11.2025 — 11:00:04</t>
  </si>
  <si>
    <t>E33149364_1_20251119T110537Z.jpg</t>
  </si>
  <si>
    <t>9 Ангар пилорама\E33149364_1_20251119T110537Z.jpg</t>
  </si>
  <si>
    <t>ср 19.11.2025 — 11:05:37</t>
  </si>
  <si>
    <t>E33149364_1_20251119T111257Z.jpg</t>
  </si>
  <si>
    <t>9 Ангар пилорама\E33149364_1_20251119T111257Z.jpg</t>
  </si>
  <si>
    <t>ср 19.11.2025 — 11:12:57</t>
  </si>
  <si>
    <t>E33149364_1_20251119T111900Z.jpg</t>
  </si>
  <si>
    <t>9 Ангар пилорама\E33149364_1_20251119T111900Z.jpg</t>
  </si>
  <si>
    <t>ср 19.11.2025 — 11:19:00</t>
  </si>
  <si>
    <t>E33149364_1_20251119T113032Z.jpg</t>
  </si>
  <si>
    <t>9 Ангар пилорама\E33149364_1_20251119T113032Z.jpg</t>
  </si>
  <si>
    <t>ср 19.11.2025 — 11:30:32</t>
  </si>
  <si>
    <t>E33149364_1_20251119T124143Z.jpg</t>
  </si>
  <si>
    <t>9 Ангар пилорама\E33149364_1_20251119T124143Z.jpg</t>
  </si>
  <si>
    <t>ср 19.11.2025 — 12:41:43</t>
  </si>
  <si>
    <t>E33149364_1_20251119T124525Z.jpg</t>
  </si>
  <si>
    <t>9 Ангар пилорама\E33149364_1_20251119T124525Z.jpg</t>
  </si>
  <si>
    <t>ср 19.11.2025 — 12:45:25</t>
  </si>
  <si>
    <t>E33149364_1_20251119T124638Z.jpg</t>
  </si>
  <si>
    <t>9 Ангар пилорама\E33149364_1_20251119T124638Z.jpg</t>
  </si>
  <si>
    <t>ср 19.11.2025 — 12:46:38</t>
  </si>
  <si>
    <t>E33149364_1_20251119T124816Z.jpg</t>
  </si>
  <si>
    <t>9 Ангар пилорама\E33149364_1_20251119T124816Z.jpg</t>
  </si>
  <si>
    <t>ср 19.11.2025 — 12:48:16</t>
  </si>
  <si>
    <t>E33149364_1_20251119T125427Z.jpg</t>
  </si>
  <si>
    <t>9 Ангар пилорама\E33149364_1_20251119T125427Z.jpg</t>
  </si>
  <si>
    <t>ср 19.11.2025 — 12:54:27</t>
  </si>
  <si>
    <t>E33149364_1_20251119T130117Z.jpg</t>
  </si>
  <si>
    <t>9 Ангар пилорама\E33149364_1_20251119T130117Z.jpg</t>
  </si>
  <si>
    <t>ср 19.11.2025 — 13:01:17</t>
  </si>
  <si>
    <t>E33149364_1_20251120T113713Z.jpg</t>
  </si>
  <si>
    <t>9 Ангар пилорама\E33149364_1_20251120T113713Z.jpg</t>
  </si>
  <si>
    <t>чт 20.11.2025 — 11:37:13</t>
  </si>
  <si>
    <t>E33149364_1_20251120T142732Z.jpg</t>
  </si>
  <si>
    <t>9 Ангар пилорама\E33149364_1_20251120T142732Z.jpg</t>
  </si>
  <si>
    <t>чт 20.11.2025 — 14:27:32</t>
  </si>
  <si>
    <t>E33149364_1_20251120T165735Z.jpg</t>
  </si>
  <si>
    <t>9 Ангар пилорама\E33149364_1_20251120T165735Z.jpg</t>
  </si>
  <si>
    <t>чт 20.11.2025 — 16:57:35</t>
  </si>
  <si>
    <t>E33149364_1_20251121T090117Z.jpg</t>
  </si>
  <si>
    <t>9 Ангар пилорама\E33149364_1_20251121T090117Z.jpg</t>
  </si>
  <si>
    <t>пт 21.11.2025 — 09:01:17</t>
  </si>
  <si>
    <t>E33149364_1_20251121T090807Z.jpg</t>
  </si>
  <si>
    <t>9 Ангар пилорама\E33149364_1_20251121T090807Z.jpg</t>
  </si>
  <si>
    <t>пт 21.11.2025 — 09:08:07</t>
  </si>
  <si>
    <t>E33149364_1_20251121T091525Z.jpg</t>
  </si>
  <si>
    <t>9 Ангар пилорама\E33149364_1_20251121T091525Z.jpg</t>
  </si>
  <si>
    <t>пт 21.11.2025 — 09:15:25</t>
  </si>
  <si>
    <t>E33149364_1_20251121T144920Z.jpg</t>
  </si>
  <si>
    <t>9 Ангар пилорама\E33149364_1_20251121T144920Z.jpg</t>
  </si>
  <si>
    <t>пт 21.11.2025 — 14:49:20</t>
  </si>
  <si>
    <t>E33149364_1_20251121T145604Z.jpg</t>
  </si>
  <si>
    <t>9 Ангар пилорама\E33149364_1_20251121T145604Z.jpg</t>
  </si>
  <si>
    <t>пт 21.11.2025 — 14:56:04</t>
  </si>
  <si>
    <t>E33149364_1_20251121T150758Z.jpg</t>
  </si>
  <si>
    <t>9 Ангар пилорама\E33149364_1_20251121T150758Z.jpg</t>
  </si>
  <si>
    <t>пт 21.11.2025 — 15:07:58</t>
  </si>
  <si>
    <t>E33149364_1_20251121T161222Z.jpg</t>
  </si>
  <si>
    <t>9 Ангар пилорама\E33149364_1_20251121T161222Z.jpg</t>
  </si>
  <si>
    <t>пт 21.11.2025 — 16:12:22</t>
  </si>
  <si>
    <t>E33149364_1_20251121T162919Z.jpg</t>
  </si>
  <si>
    <t>9 Ангар пилорама\E33149364_1_20251121T162919Z.jpg</t>
  </si>
  <si>
    <t>пт 21.11.2025 — 16:29:19</t>
  </si>
  <si>
    <t>E33149364_1_20251122T164454Z.jpg</t>
  </si>
  <si>
    <t>9 Ангар пилорама\E33149364_1_20251122T164454Z.jpg</t>
  </si>
  <si>
    <t>сб 22.11.2025 — 16:44:54</t>
  </si>
  <si>
    <t>E33149364_1_20251123T155936Z.jpg</t>
  </si>
  <si>
    <t>9 Ангар пилорама\E33149364_1_20251123T155936Z.jpg</t>
  </si>
  <si>
    <t>вс 23.11.2025 — 15:59:36</t>
  </si>
  <si>
    <t>E33149364_4_20251117T155244Z.jpg</t>
  </si>
  <si>
    <t>11 С ангара на базу\E33149364_4_20251117T155244Z.jpg</t>
  </si>
  <si>
    <t>пн 17.11.2025 — 15:52:44</t>
  </si>
  <si>
    <t>E33149364_4_20251117T170635Z.jpg</t>
  </si>
  <si>
    <t>11 С ангара на базу\E33149364_4_20251117T170635Z.jpg</t>
  </si>
  <si>
    <t>пн 17.11.2025 — 17:06:35</t>
  </si>
  <si>
    <t>E33149364_4_20251118T102320Z.jpg</t>
  </si>
  <si>
    <t>11 С ангара на базу\E33149364_4_20251118T102320Z.jpg</t>
  </si>
  <si>
    <t>вт 18.11.2025 — 10:23:20</t>
  </si>
  <si>
    <t>E33149364_4_20251118T102337Z.jpg</t>
  </si>
  <si>
    <t>11 С ангара на базу\E33149364_4_20251118T102337Z.jpg</t>
  </si>
  <si>
    <t>вт 18.11.2025 — 10:23:37</t>
  </si>
  <si>
    <t>E33149364_4_20251118T102353Z.jpg</t>
  </si>
  <si>
    <t>11 С ангара на базу\E33149364_4_20251118T102353Z.jpg</t>
  </si>
  <si>
    <t>вт 18.11.2025 — 10:23:53</t>
  </si>
  <si>
    <t>E33149364_4_20251118T102407Z.jpg</t>
  </si>
  <si>
    <t>11 С ангара на базу\E33149364_4_20251118T102407Z.jpg</t>
  </si>
  <si>
    <t>вт 18.11.2025 — 10:24:07</t>
  </si>
  <si>
    <t>E33149364_4_20251118T102419Z.jpg</t>
  </si>
  <si>
    <t>11 С ангара на базу\E33149364_4_20251118T102419Z.jpg</t>
  </si>
  <si>
    <t>вт 18.11.2025 — 10:24:19</t>
  </si>
  <si>
    <t>E33149364_4_20251118T102435Z.jpg</t>
  </si>
  <si>
    <t>11 С ангара на базу\E33149364_4_20251118T102435Z.jpg</t>
  </si>
  <si>
    <t>вт 18.11.2025 — 10:24:35</t>
  </si>
  <si>
    <t>E33149364_4_20251118T102446Z.jpg</t>
  </si>
  <si>
    <t>11 С ангара на базу\E33149364_4_20251118T102446Z.jpg</t>
  </si>
  <si>
    <t>вт 18.11.2025 — 10:24:46</t>
  </si>
  <si>
    <t>E33149364_4_20251118T102531Z.jpg</t>
  </si>
  <si>
    <t>11 С ангара на базу\E33149364_4_20251118T102531Z.jpg</t>
  </si>
  <si>
    <t>вт 18.11.2025 — 10:25:31</t>
  </si>
  <si>
    <t>E33149364_4_20251118T103759Z.jpg</t>
  </si>
  <si>
    <t>11 С ангара на базу\E33149364_4_20251118T103759Z.jpg</t>
  </si>
  <si>
    <t>вт 18.11.2025 — 10:37:59</t>
  </si>
  <si>
    <t>E33149364_4_20251118T132218Z.jpg</t>
  </si>
  <si>
    <t>11 С ангара на базу\E33149364_4_20251118T132218Z.jpg</t>
  </si>
  <si>
    <t>вт 18.11.2025 — 13:22:18</t>
  </si>
  <si>
    <t>E33149364_4_20251118T132428Z.jpg</t>
  </si>
  <si>
    <t>11 С ангара на базу\E33149364_4_20251118T132428Z.jpg</t>
  </si>
  <si>
    <t>вт 18.11.2025 — 13:24:28</t>
  </si>
  <si>
    <t>E33149364_4_20251119T085741Z.jpg</t>
  </si>
  <si>
    <t>11 С ангара на базу\E33149364_4_20251119T085741Z.jpg</t>
  </si>
  <si>
    <t>ср 19.11.2025 — 08:57:41</t>
  </si>
  <si>
    <t>E33149364_4_20251119T173340Z.jpg</t>
  </si>
  <si>
    <t>11 С ангара на базу\E33149364_4_20251119T173340Z.jpg</t>
  </si>
  <si>
    <t>ср 19.11.2025 — 17:33:40</t>
  </si>
  <si>
    <t>E33149364_4_20251120T110648Z.jpg</t>
  </si>
  <si>
    <t>11 С ангара на базу\E33149364_4_20251120T110648Z.jpg</t>
  </si>
  <si>
    <t>чт 20.11.2025 — 11:06:48</t>
  </si>
  <si>
    <t>E33149364_4_20251120T170340Z.jpg</t>
  </si>
  <si>
    <t>11 С ангара на базу\E33149364_4_20251120T170340Z.jpg</t>
  </si>
  <si>
    <t>чт 20.11.2025 — 17:03:40</t>
  </si>
  <si>
    <t>E33149364_4_20251121T144550Z.jpg</t>
  </si>
  <si>
    <t>11 С ангара на базу\E33149364_4_20251121T144550Z.jpg</t>
  </si>
  <si>
    <t>пт 21.11.2025 — 14:45:50</t>
  </si>
  <si>
    <t>E33149364_4_20251122T090357Z.jpg</t>
  </si>
  <si>
    <t>11 С ангара на базу\E33149364_4_20251122T090357Z.jpg</t>
  </si>
  <si>
    <t>сб 22.11.2025 — 09:03:57</t>
  </si>
  <si>
    <t>E33149364_4_20251122T171847Z.jpg</t>
  </si>
  <si>
    <t>11 С ангара на базу\E33149364_4_20251122T171847Z.jpg</t>
  </si>
  <si>
    <t>сб 22.11.2025 — 17:18:47</t>
  </si>
  <si>
    <t>E33149364_4_20251123T161920Z.jpg</t>
  </si>
  <si>
    <t>11 С ангара на базу\E33149364_4_20251123T161920Z.jpg</t>
  </si>
  <si>
    <t>вс 23.11.2025 — 16:19:20</t>
  </si>
  <si>
    <t>K07156189_20_20251117T114252Z.jpg</t>
  </si>
  <si>
    <t>12 Площадка 3 кран\K07156189_20_20251117T114252Z.jpg</t>
  </si>
  <si>
    <t>пн 17.11.2025 — 11:42:52</t>
  </si>
  <si>
    <t>K07156189_20_20251118T094207Z.jpg</t>
  </si>
  <si>
    <t>12 Площадка 3 кран\K07156189_20_20251118T094207Z.jpg</t>
  </si>
  <si>
    <t>вт 18.11.2025 — 09:42:07</t>
  </si>
  <si>
    <t>K07156189_20_20251118T112602Z.jpg</t>
  </si>
  <si>
    <t>12 Площадка 3 кран\K07156189_20_20251118T112602Z.jpg</t>
  </si>
  <si>
    <t>вт 18.11.2025 — 11:26:02</t>
  </si>
  <si>
    <t>K07156189_20_20251118T112641Z.jpg</t>
  </si>
  <si>
    <t>12 Площадка 3 кран\K07156189_20_20251118T112641Z.jpg</t>
  </si>
  <si>
    <t>вт 18.11.2025 — 11:26:41</t>
  </si>
  <si>
    <t>K07156189_20_20251118T142256Z.jpg</t>
  </si>
  <si>
    <t>12 Площадка 3 кран\K07156189_20_20251118T142256Z.jpg</t>
  </si>
  <si>
    <t>вт 18.11.2025 — 14:22:56</t>
  </si>
  <si>
    <t>K07156189_20_20251119T102549Z.jpg</t>
  </si>
  <si>
    <t>12 Площадка 3 кран\K07156189_20_20251119T102549Z.jpg</t>
  </si>
  <si>
    <t>ср 19.11.2025 — 10:25:49</t>
  </si>
  <si>
    <t>K07156189_20_20251120T101538Z.jpg</t>
  </si>
  <si>
    <t>12 Площадка 3 кран\K07156189_20_20251120T101538Z.jpg</t>
  </si>
  <si>
    <t>чт 20.11.2025 — 10:15:38</t>
  </si>
  <si>
    <t>K07156189_20_20251120T133859Z.jpg</t>
  </si>
  <si>
    <t>12 Площадка 3 кран\K07156189_20_20251120T133859Z.jpg</t>
  </si>
  <si>
    <t>чт 20.11.2025 — 13:38:59</t>
  </si>
  <si>
    <t>K07156189_20_20251121T081734Z.jpg</t>
  </si>
  <si>
    <t>12 Площадка 3 кран\K07156189_20_20251121T081734Z.jpg</t>
  </si>
  <si>
    <t>пт 21.11.2025 — 08:17:34</t>
  </si>
  <si>
    <t>K07156189_20_20251121T175452Z.jpg</t>
  </si>
  <si>
    <t>12 Площадка 3 кран\K07156189_20_20251121T175452Z.jpg</t>
  </si>
  <si>
    <t>пт 21.11.2025 — 17:54:52</t>
  </si>
  <si>
    <t>K07156189_20_20251122T094230Z.jpg</t>
  </si>
  <si>
    <t>12 Площадка 3 кран\K07156189_20_20251122T094230Z.jpg</t>
  </si>
  <si>
    <t>сб 22.11.2025 — 09:42:30</t>
  </si>
  <si>
    <t>K07156189_20_20251122T174734Z.jpg</t>
  </si>
  <si>
    <t>12 Площадка 3 кран\K07156189_20_20251122T174734Z.jpg</t>
  </si>
  <si>
    <t>сб 22.11.2025 — 17:47:34</t>
  </si>
  <si>
    <t>K07156189_20_20251123T093513Z.jpg</t>
  </si>
  <si>
    <t>12 Площадка 3 кран\K07156189_20_20251123T093513Z.jpg</t>
  </si>
  <si>
    <t>вс 23.11.2025 — 09:35:13</t>
  </si>
  <si>
    <t>K07156189_20_20251123T172521Z.jpg</t>
  </si>
  <si>
    <t>12 Площадка 3 кран\K07156189_20_20251123T172521Z.jpg</t>
  </si>
  <si>
    <t>вс 23.11.2025 — 17:25:21</t>
  </si>
  <si>
    <t>E33149364_3_20251117T084817Z.jpg</t>
  </si>
  <si>
    <t>10 Сушилка навес\E33149364_3_20251117T084817Z.jpg</t>
  </si>
  <si>
    <t>пн 17.11.2025 — 08:48:17</t>
  </si>
  <si>
    <t>E33149364_3_20251117T085845Z.jpg</t>
  </si>
  <si>
    <t>10 Сушилка навес\E33149364_3_20251117T085845Z.jpg</t>
  </si>
  <si>
    <t>пн 17.11.2025 — 08:58:45</t>
  </si>
  <si>
    <t>E33149364_3_20251117T153504Z.jpg</t>
  </si>
  <si>
    <t>10 Сушилка навес\E33149364_3_20251117T153504Z.jpg</t>
  </si>
  <si>
    <t>пн 17.11.2025 — 15:35:04</t>
  </si>
  <si>
    <t>E33149364_3_20251117T155233Z.jpg</t>
  </si>
  <si>
    <t>10 Сушилка навес\E33149364_3_20251117T155233Z.jpg</t>
  </si>
  <si>
    <t>пн 17.11.2025 — 15:52:33</t>
  </si>
  <si>
    <t>E33149364_3_20251117T162349Z.jpg</t>
  </si>
  <si>
    <t>10 Сушилка навес\E33149364_3_20251117T162349Z.jpg</t>
  </si>
  <si>
    <t>пн 17.11.2025 — 16:23:49</t>
  </si>
  <si>
    <t>E33149364_3_20251117T162525Z.jpg</t>
  </si>
  <si>
    <t>10 Сушилка навес\E33149364_3_20251117T162525Z.jpg</t>
  </si>
  <si>
    <t>пн 17.11.2025 — 16:25:25</t>
  </si>
  <si>
    <t>E33149364_3_20251117T170003Z.jpg</t>
  </si>
  <si>
    <t>10 Сушилка навес\E33149364_3_20251117T170003Z.jpg</t>
  </si>
  <si>
    <t>пн 17.11.2025 — 17:00:03</t>
  </si>
  <si>
    <t>E33149364_3_20251118T083947Z.jpg</t>
  </si>
  <si>
    <t>10 Сушилка навес\E33149364_3_20251118T083947Z.jpg</t>
  </si>
  <si>
    <t>вт 18.11.2025 — 08:39:47</t>
  </si>
  <si>
    <t>E33149364_3_20251118T090753Z.jpg</t>
  </si>
  <si>
    <t>10 Сушилка навес\E33149364_3_20251118T090753Z.jpg</t>
  </si>
  <si>
    <t>вт 18.11.2025 — 09:07:53</t>
  </si>
  <si>
    <t>E33149364_3_20251118T090833Z.jpg</t>
  </si>
  <si>
    <t>10 Сушилка навес\E33149364_3_20251118T090833Z.jpg</t>
  </si>
  <si>
    <t>вт 18.11.2025 — 09:08:33</t>
  </si>
  <si>
    <t>E33149364_3_20251118T090841Z.jpg</t>
  </si>
  <si>
    <t>10 Сушилка навес\E33149364_3_20251118T090841Z.jpg</t>
  </si>
  <si>
    <t>вт 18.11.2025 — 09:08:41</t>
  </si>
  <si>
    <t>E33149364_3_20251118T090849Z.jpg</t>
  </si>
  <si>
    <t>10 Сушилка навес\E33149364_3_20251118T090849Z.jpg</t>
  </si>
  <si>
    <t>вт 18.11.2025 — 09:08:49</t>
  </si>
  <si>
    <t>E33149364_3_20251118T090921Z.jpg</t>
  </si>
  <si>
    <t>10 Сушилка навес\E33149364_3_20251118T090921Z.jpg</t>
  </si>
  <si>
    <t>вт 18.11.2025 — 09:09:21</t>
  </si>
  <si>
    <t>E33149364_3_20251118T091647Z.jpg</t>
  </si>
  <si>
    <t>10 Сушилка навес\E33149364_3_20251118T091647Z.jpg</t>
  </si>
  <si>
    <t>вт 18.11.2025 — 09:16:47</t>
  </si>
  <si>
    <t>E33149364_3_20251118T091813Z.jpg</t>
  </si>
  <si>
    <t>10 Сушилка навес\E33149364_3_20251118T091813Z.jpg</t>
  </si>
  <si>
    <t>вт 18.11.2025 — 09:18:13</t>
  </si>
  <si>
    <t>E33149364_3_20251118T091853Z.jpg</t>
  </si>
  <si>
    <t>10 Сушилка навес\E33149364_3_20251118T091853Z.jpg</t>
  </si>
  <si>
    <t>вт 18.11.2025 — 09:18:53</t>
  </si>
  <si>
    <t>E33149364_3_20251118T092006Z.jpg</t>
  </si>
  <si>
    <t>10 Сушилка навес\E33149364_3_20251118T092006Z.jpg</t>
  </si>
  <si>
    <t>вт 18.11.2025 — 09:20:06</t>
  </si>
  <si>
    <t>E33149364_3_20251118T092036Z.jpg</t>
  </si>
  <si>
    <t>10 Сушилка навес\E33149364_3_20251118T092036Z.jpg</t>
  </si>
  <si>
    <t>вт 18.11.2025 — 09:20:36</t>
  </si>
  <si>
    <t>E33149364_3_20251118T094925Z.jpg</t>
  </si>
  <si>
    <t>10 Сушилка навес\E33149364_3_20251118T094925Z.jpg</t>
  </si>
  <si>
    <t>вт 18.11.2025 — 09:49:25</t>
  </si>
  <si>
    <t>E33149364_3_20251118T094937Z.jpg</t>
  </si>
  <si>
    <t>10 Сушилка навес\E33149364_3_20251118T094937Z.jpg</t>
  </si>
  <si>
    <t>вт 18.11.2025 — 09:49:37</t>
  </si>
  <si>
    <t>E33149364_3_20251118T102216Z.jpg</t>
  </si>
  <si>
    <t>10 Сушилка навес\E33149364_3_20251118T102216Z.jpg</t>
  </si>
  <si>
    <t>вт 18.11.2025 — 10:22:16</t>
  </si>
  <si>
    <t>E33149364_3_20251118T102249Z.jpg</t>
  </si>
  <si>
    <t>10 Сушилка навес\E33149364_3_20251118T102249Z.jpg</t>
  </si>
  <si>
    <t>вт 18.11.2025 — 10:22:49</t>
  </si>
  <si>
    <t>E33149364_3_20251118T102320Z.jpg</t>
  </si>
  <si>
    <t>10 Сушилка навес\E33149364_3_20251118T102320Z.jpg</t>
  </si>
  <si>
    <t>E33149364_3_20251118T102419Z.jpg</t>
  </si>
  <si>
    <t>10 Сушилка навес\E33149364_3_20251118T102419Z.jpg</t>
  </si>
  <si>
    <t>E33149364_3_20251118T102444Z.jpg</t>
  </si>
  <si>
    <t>10 Сушилка навес\E33149364_3_20251118T102444Z.jpg</t>
  </si>
  <si>
    <t>вт 18.11.2025 — 10:24:44</t>
  </si>
  <si>
    <t>E33149364_3_20251118T103716Z.jpg</t>
  </si>
  <si>
    <t>10 Сушилка навес\E33149364_3_20251118T103716Z.jpg</t>
  </si>
  <si>
    <t>вт 18.11.2025 — 10:37:16</t>
  </si>
  <si>
    <t>E33149364_3_20251118T103753Z.jpg</t>
  </si>
  <si>
    <t>10 Сушилка навес\E33149364_3_20251118T103753Z.jpg</t>
  </si>
  <si>
    <t>вт 18.11.2025 — 10:37:53</t>
  </si>
  <si>
    <t>E33149364_3_20251118T132413Z.jpg</t>
  </si>
  <si>
    <t>10 Сушилка навес\E33149364_3_20251118T132413Z.jpg</t>
  </si>
  <si>
    <t>вт 18.11.2025 — 13:24:13</t>
  </si>
  <si>
    <t>E33149364_3_20251118T155340Z.jpg</t>
  </si>
  <si>
    <t>10 Сушилка навес\E33149364_3_20251118T155340Z.jpg</t>
  </si>
  <si>
    <t>вт 18.11.2025 — 15:53:40</t>
  </si>
  <si>
    <t>E33149364_3_20251119T090847Z.jpg</t>
  </si>
  <si>
    <t>10 Сушилка навес\E33149364_3_20251119T090847Z.jpg</t>
  </si>
  <si>
    <t>ср 19.11.2025 — 09:08:47</t>
  </si>
  <si>
    <t>E33149364_3_20251119T091934Z.jpg</t>
  </si>
  <si>
    <t>10 Сушилка навес\E33149364_3_20251119T091934Z.jpg</t>
  </si>
  <si>
    <t>ср 19.11.2025 — 09:19:34</t>
  </si>
  <si>
    <t>E33149364_3_20251119T091940Z.jpg</t>
  </si>
  <si>
    <t>10 Сушилка навес\E33149364_3_20251119T091940Z.jpg</t>
  </si>
  <si>
    <t>ср 19.11.2025 — 09:19:40</t>
  </si>
  <si>
    <t>E33149364_3_20251119T091955Z.jpg</t>
  </si>
  <si>
    <t>10 Сушилка навес\E33149364_3_20251119T091955Z.jpg</t>
  </si>
  <si>
    <t>ср 19.11.2025 — 09:19:55</t>
  </si>
  <si>
    <t>E33149364_3_20251119T110313Z.jpg</t>
  </si>
  <si>
    <t>10 Сушилка навес\E33149364_3_20251119T110313Z.jpg</t>
  </si>
  <si>
    <t>ср 19.11.2025 — 11:03:13</t>
  </si>
  <si>
    <t>E33149364_3_20251119T110457Z.jpg</t>
  </si>
  <si>
    <t>10 Сушилка навес\E33149364_3_20251119T110457Z.jpg</t>
  </si>
  <si>
    <t>ср 19.11.2025 — 11:04:57</t>
  </si>
  <si>
    <t>E33149364_3_20251119T110522Z.jpg</t>
  </si>
  <si>
    <t>10 Сушилка навес\E33149364_3_20251119T110522Z.jpg</t>
  </si>
  <si>
    <t>ср 19.11.2025 — 11:05:22</t>
  </si>
  <si>
    <t>E33149364_3_20251119T110720Z.jpg</t>
  </si>
  <si>
    <t>10 Сушилка навес\E33149364_3_20251119T110720Z.jpg</t>
  </si>
  <si>
    <t>ср 19.11.2025 — 11:07:20</t>
  </si>
  <si>
    <t>E33149364_3_20251119T110929Z.jpg</t>
  </si>
  <si>
    <t>10 Сушилка навес\E33149364_3_20251119T110929Z.jpg</t>
  </si>
  <si>
    <t>ср 19.11.2025 — 11:09:29</t>
  </si>
  <si>
    <t>E33149364_3_20251119T111154Z.jpg</t>
  </si>
  <si>
    <t>10 Сушилка навес\E33149364_3_20251119T111154Z.jpg</t>
  </si>
  <si>
    <t>ср 19.11.2025 — 11:11:54</t>
  </si>
  <si>
    <t>E33149364_3_20251119T111206Z.jpg</t>
  </si>
  <si>
    <t>10 Сушилка навес\E33149364_3_20251119T111206Z.jpg</t>
  </si>
  <si>
    <t>ср 19.11.2025 — 11:12:06</t>
  </si>
  <si>
    <t>E33149364_3_20251119T111219Z.jpg</t>
  </si>
  <si>
    <t>10 Сушилка навес\E33149364_3_20251119T111219Z.jpg</t>
  </si>
  <si>
    <t>ср 19.11.2025 — 11:12:19</t>
  </si>
  <si>
    <t>E33149364_3_20251119T111317Z.jpg</t>
  </si>
  <si>
    <t>10 Сушилка навес\E33149364_3_20251119T111317Z.jpg</t>
  </si>
  <si>
    <t>ср 19.11.2025 — 11:13:17</t>
  </si>
  <si>
    <t>E33149364_3_20251119T111627Z.jpg</t>
  </si>
  <si>
    <t>10 Сушилка навес\E33149364_3_20251119T111627Z.jpg</t>
  </si>
  <si>
    <t>ср 19.11.2025 — 11:16:27</t>
  </si>
  <si>
    <t>E33149364_3_20251119T111859Z.jpg</t>
  </si>
  <si>
    <t>10 Сушилка навес\E33149364_3_20251119T111859Z.jpg</t>
  </si>
  <si>
    <t>ср 19.11.2025 — 11:18:59</t>
  </si>
  <si>
    <t>E33149364_3_20251119T112221Z.jpg</t>
  </si>
  <si>
    <t>10 Сушилка навес\E33149364_3_20251119T112221Z.jpg</t>
  </si>
  <si>
    <t>ср 19.11.2025 — 11:22:21</t>
  </si>
  <si>
    <t>E33149364_3_20251119T112324Z.jpg</t>
  </si>
  <si>
    <t>10 Сушилка навес\E33149364_3_20251119T112324Z.jpg</t>
  </si>
  <si>
    <t>ср 19.11.2025 — 11:23:24</t>
  </si>
  <si>
    <t>E33149364_3_20251119T112501Z.jpg</t>
  </si>
  <si>
    <t>10 Сушилка навес\E33149364_3_20251119T112501Z.jpg</t>
  </si>
  <si>
    <t>ср 19.11.2025 — 11:25:01</t>
  </si>
  <si>
    <t>E33149364_3_20251119T112514Z.jpg</t>
  </si>
  <si>
    <t>10 Сушилка навес\E33149364_3_20251119T112514Z.jpg</t>
  </si>
  <si>
    <t>ср 19.11.2025 — 11:25:14</t>
  </si>
  <si>
    <t>E33149364_3_20251119T112814Z.jpg</t>
  </si>
  <si>
    <t>10 Сушилка навес\E33149364_3_20251119T112814Z.jpg</t>
  </si>
  <si>
    <t>ср 19.11.2025 — 11:28:14</t>
  </si>
  <si>
    <t>E33149364_3_20251119T112915Z.jpg</t>
  </si>
  <si>
    <t>10 Сушилка навес\E33149364_3_20251119T112915Z.jpg</t>
  </si>
  <si>
    <t>ср 19.11.2025 — 11:29:15</t>
  </si>
  <si>
    <t>E33149364_3_20251119T112936Z.jpg</t>
  </si>
  <si>
    <t>10 Сушилка навес\E33149364_3_20251119T112936Z.jpg</t>
  </si>
  <si>
    <t>ср 19.11.2025 — 11:29:36</t>
  </si>
  <si>
    <t>E33149364_3_20251119T112951Z.jpg</t>
  </si>
  <si>
    <t>10 Сушилка навес\E33149364_3_20251119T112951Z.jpg</t>
  </si>
  <si>
    <t>ср 19.11.2025 — 11:29:51</t>
  </si>
  <si>
    <t>E33149364_3_20251119T113021Z.jpg</t>
  </si>
  <si>
    <t>10 Сушилка навес\E33149364_3_20251119T113021Z.jpg</t>
  </si>
  <si>
    <t>ср 19.11.2025 — 11:30:21</t>
  </si>
  <si>
    <t>E33149364_3_20251119T113029Z.jpg</t>
  </si>
  <si>
    <t>10 Сушилка навес\E33149364_3_20251119T113029Z.jpg</t>
  </si>
  <si>
    <t>ср 19.11.2025 — 11:30:29</t>
  </si>
  <si>
    <t>E33149364_3_20251119T113035Z.jpg</t>
  </si>
  <si>
    <t>10 Сушилка навес\E33149364_3_20251119T113035Z.jpg</t>
  </si>
  <si>
    <t>ср 19.11.2025 — 11:30:35</t>
  </si>
  <si>
    <t>E33149364_3_20251119T113057Z.jpg</t>
  </si>
  <si>
    <t>10 Сушилка навес\E33149364_3_20251119T113057Z.jpg</t>
  </si>
  <si>
    <t>ср 19.11.2025 — 11:30:57</t>
  </si>
  <si>
    <t>E33149364_3_20251119T130126Z.jpg</t>
  </si>
  <si>
    <t>10 Сушилка навес\E33149364_3_20251119T130126Z.jpg</t>
  </si>
  <si>
    <t>ср 19.11.2025 — 13:01:26</t>
  </si>
  <si>
    <t>E33149364_3_20251119T130134Z.jpg</t>
  </si>
  <si>
    <t>10 Сушилка навес\E33149364_3_20251119T130134Z.jpg</t>
  </si>
  <si>
    <t>ср 19.11.2025 — 13:01:34</t>
  </si>
  <si>
    <t>E33149364_3_20251119T130252Z.jpg</t>
  </si>
  <si>
    <t>10 Сушилка навес\E33149364_3_20251119T130252Z.jpg</t>
  </si>
  <si>
    <t>ср 19.11.2025 — 13:02:52</t>
  </si>
  <si>
    <t>E33149364_3_20251119T145623Z.jpg</t>
  </si>
  <si>
    <t>10 Сушилка навес\E33149364_3_20251119T145623Z.jpg</t>
  </si>
  <si>
    <t>ср 19.11.2025 — 14:56:23</t>
  </si>
  <si>
    <t>E33149364_3_20251119T173319Z.jpg</t>
  </si>
  <si>
    <t>10 Сушилка навес\E33149364_3_20251119T173319Z.jpg</t>
  </si>
  <si>
    <t>ср 19.11.2025 — 17:33:19</t>
  </si>
  <si>
    <t>E33149364_3_20251119T173328Z.jpg</t>
  </si>
  <si>
    <t>10 Сушилка навес\E33149364_3_20251119T173328Z.jpg</t>
  </si>
  <si>
    <t>ср 19.11.2025 — 17:33:28</t>
  </si>
  <si>
    <t>E33149364_3_20251119T173332Z.jpg</t>
  </si>
  <si>
    <t>10 Сушилка навес\E33149364_3_20251119T173332Z.jpg</t>
  </si>
  <si>
    <t>ср 19.11.2025 — 17:33:32</t>
  </si>
  <si>
    <t>E33149364_3_20251120T113929Z.jpg</t>
  </si>
  <si>
    <t>10 Сушилка навес\E33149364_3_20251120T113929Z.jpg</t>
  </si>
  <si>
    <t>чт 20.11.2025 — 11:39:29</t>
  </si>
  <si>
    <t>E33149364_3_20251120T113930Z.jpg</t>
  </si>
  <si>
    <t>10 Сушилка навес\E33149364_3_20251120T113930Z.jpg</t>
  </si>
  <si>
    <t>чт 20.11.2025 — 11:39:30</t>
  </si>
  <si>
    <t>E33149364_3_20251120T121213Z.jpg</t>
  </si>
  <si>
    <t>10 Сушилка навес\E33149364_3_20251120T121213Z.jpg</t>
  </si>
  <si>
    <t>чт 20.11.2025 — 12:12:13</t>
  </si>
  <si>
    <t>E33149364_3_20251120T142709Z.jpg</t>
  </si>
  <si>
    <t>10 Сушилка навес\E33149364_3_20251120T142709Z.jpg</t>
  </si>
  <si>
    <t>чт 20.11.2025 — 14:27:09</t>
  </si>
  <si>
    <t>E33149364_3_20251120T142718Z.jpg</t>
  </si>
  <si>
    <t>10 Сушилка навес\E33149364_3_20251120T142718Z.jpg</t>
  </si>
  <si>
    <t>чт 20.11.2025 — 14:27:18</t>
  </si>
  <si>
    <t>E33149364_3_20251120T144153Z.jpg</t>
  </si>
  <si>
    <t>10 Сушилка навес\E33149364_3_20251120T144153Z.jpg</t>
  </si>
  <si>
    <t>чт 20.11.2025 — 14:41:53</t>
  </si>
  <si>
    <t>E33149364_3_20251120T145648Z.jpg</t>
  </si>
  <si>
    <t>10 Сушилка навес\E33149364_3_20251120T145648Z.jpg</t>
  </si>
  <si>
    <t>чт 20.11.2025 — 14:56:48</t>
  </si>
  <si>
    <t>E33149364_3_20251120T153513Z.jpg</t>
  </si>
  <si>
    <t>10 Сушилка навес\E33149364_3_20251120T153513Z.jpg</t>
  </si>
  <si>
    <t>чт 20.11.2025 — 15:35:13</t>
  </si>
  <si>
    <t>E33149364_3_20251121T085615Z.jpg</t>
  </si>
  <si>
    <t>10 Сушилка навес\E33149364_3_20251121T085615Z.jpg</t>
  </si>
  <si>
    <t>пт 21.11.2025 — 08:56:15</t>
  </si>
  <si>
    <t>E33149364_3_20251121T090229Z.jpg</t>
  </si>
  <si>
    <t>10 Сушилка навес\E33149364_3_20251121T090229Z.jpg</t>
  </si>
  <si>
    <t>пт 21.11.2025 — 09:02:29</t>
  </si>
  <si>
    <t>E33149364_3_20251121T091506Z.jpg</t>
  </si>
  <si>
    <t>10 Сушилка навес\E33149364_3_20251121T091506Z.jpg</t>
  </si>
  <si>
    <t>пт 21.11.2025 — 09:15:06</t>
  </si>
  <si>
    <t>E33149364_3_20251121T095429Z.jpg</t>
  </si>
  <si>
    <t>10 Сушилка навес\E33149364_3_20251121T095429Z.jpg</t>
  </si>
  <si>
    <t>пт 21.11.2025 — 09:54:29</t>
  </si>
  <si>
    <t>E33149364_3_20251121T102434Z.jpg</t>
  </si>
  <si>
    <t>10 Сушилка навес\E33149364_3_20251121T102434Z.jpg</t>
  </si>
  <si>
    <t>пт 21.11.2025 — 10:24:34</t>
  </si>
  <si>
    <t>E33149364_3_20251121T103222Z.jpg</t>
  </si>
  <si>
    <t>10 Сушилка навес\E33149364_3_20251121T103222Z.jpg</t>
  </si>
  <si>
    <t>пт 21.11.2025 — 10:32:22</t>
  </si>
  <si>
    <t>E33149364_3_20251121T103230Z.jpg</t>
  </si>
  <si>
    <t>10 Сушилка навес\E33149364_3_20251121T103230Z.jpg</t>
  </si>
  <si>
    <t>пт 21.11.2025 — 10:32:30</t>
  </si>
  <si>
    <t>E33149364_3_20251121T144436Z.jpg</t>
  </si>
  <si>
    <t>10 Сушилка навес\E33149364_3_20251121T144436Z.jpg</t>
  </si>
  <si>
    <t>пт 21.11.2025 — 14:44:36</t>
  </si>
  <si>
    <t>E33149364_3_20251121T144454Z.jpg</t>
  </si>
  <si>
    <t>10 Сушилка навес\E33149364_3_20251121T144454Z.jpg</t>
  </si>
  <si>
    <t>пт 21.11.2025 — 14:44:54</t>
  </si>
  <si>
    <t>E33149364_3_20251121T144516Z.jpg</t>
  </si>
  <si>
    <t>10 Сушилка навес\E33149364_3_20251121T144516Z.jpg</t>
  </si>
  <si>
    <t>пт 21.11.2025 — 14:45:16</t>
  </si>
  <si>
    <t>E33149364_3_20251121T145109Z.jpg</t>
  </si>
  <si>
    <t>10 Сушилка навес\E33149364_3_20251121T145109Z.jpg</t>
  </si>
  <si>
    <t>пт 21.11.2025 — 14:51:09</t>
  </si>
  <si>
    <t>E33149364_3_20251121T160914Z.jpg</t>
  </si>
  <si>
    <t>10 Сушилка навес\E33149364_3_20251121T160914Z.jpg</t>
  </si>
  <si>
    <t>пт 21.11.2025 — 16:09:14</t>
  </si>
  <si>
    <t>E33149364_3_20251121T160958Z.jpg</t>
  </si>
  <si>
    <t>10 Сушилка навес\E33149364_3_20251121T160958Z.jpg</t>
  </si>
  <si>
    <t>пт 21.11.2025 — 16:09:58</t>
  </si>
  <si>
    <t>E33149364_3_20251121T161126Z.jpg</t>
  </si>
  <si>
    <t>10 Сушилка навес\E33149364_3_20251121T161126Z.jpg</t>
  </si>
  <si>
    <t>пт 21.11.2025 — 16:11:26</t>
  </si>
  <si>
    <t>E33149364_3_20251122T100845Z.jpg</t>
  </si>
  <si>
    <t>10 Сушилка навес\E33149364_3_20251122T100845Z.jpg</t>
  </si>
  <si>
    <t>сб 22.11.2025 — 10:08:45</t>
  </si>
  <si>
    <t>E33149364_3_20251122T172943Z.jpg</t>
  </si>
  <si>
    <t>10 Сушилка навес\E33149364_3_20251122T172943Z.jpg</t>
  </si>
  <si>
    <t>сб 22.11.2025 — 17:29:43</t>
  </si>
  <si>
    <t>E33149364_3_20251123T104452Z.jpg</t>
  </si>
  <si>
    <t>10 Сушилка навес\E33149364_3_20251123T104452Z.jpg</t>
  </si>
  <si>
    <t>вс 23.11.2025 — 10:44:52</t>
  </si>
  <si>
    <t>E33149364_3_20251123T155953Z.jpg</t>
  </si>
  <si>
    <t>10 Сушилка навес\E33149364_3_20251123T155953Z.jpg</t>
  </si>
  <si>
    <t>вс 23.11.2025 — 15:59:53</t>
  </si>
  <si>
    <t>K07156189_23_20251118T103814Z.jpg</t>
  </si>
  <si>
    <t>13 Склад хол\K07156189_23_20251118T103814Z.jpg</t>
  </si>
  <si>
    <t>вт 18.11.2025 — 10:38:14</t>
  </si>
  <si>
    <t>K07156189_23_20251118T103825Z.jpg</t>
  </si>
  <si>
    <t>13 Склад хол\K07156189_23_20251118T103825Z.jpg</t>
  </si>
  <si>
    <t>вт 18.11.2025 — 10:38:25</t>
  </si>
  <si>
    <t>K07156189_23_20251118T103836Z.jpg</t>
  </si>
  <si>
    <t>13 Склад хол\K07156189_23_20251118T103836Z.jpg</t>
  </si>
  <si>
    <t>вт 18.11.2025 — 10:38:36</t>
  </si>
  <si>
    <t>K07156189_23_20251119T173408Z.jpg</t>
  </si>
  <si>
    <t>13 Склад хол\K07156189_23_20251119T173408Z.jpg</t>
  </si>
  <si>
    <t>ср 19.11.2025 — 17:34:08</t>
  </si>
  <si>
    <t>K07156189_23_20251120T161757Z.jpg</t>
  </si>
  <si>
    <t>13 Склад хол\K07156189_23_20251120T161757Z.jpg</t>
  </si>
  <si>
    <t>чт 20.11.2025 — 16:17:57</t>
  </si>
  <si>
    <t>K07156189_23_20251121T074207Z.jpg</t>
  </si>
  <si>
    <t>13 Склад хол\K07156189_23_20251121T074207Z.jpg</t>
  </si>
  <si>
    <t>пт 21.11.2025 — 07:42:07</t>
  </si>
  <si>
    <t>K07156189_23_20251122T173609Z.jpg</t>
  </si>
  <si>
    <t>13 Склад хол\K07156189_23_20251122T173609Z.jpg</t>
  </si>
  <si>
    <t>сб 22.11.2025 — 17:36:09</t>
  </si>
  <si>
    <t>K07156189_23_20251123T170403Z.jpg</t>
  </si>
  <si>
    <t>13 Склад хол\K07156189_23_20251123T170403Z.jpg</t>
  </si>
  <si>
    <t>вс 23.11.2025 — 17:04:03</t>
  </si>
  <si>
    <t>Грузовая бортовая</t>
  </si>
  <si>
    <t>металлические балки</t>
  </si>
  <si>
    <t>доски, металлические балки</t>
  </si>
  <si>
    <t xml:space="preserve">Легковая </t>
  </si>
  <si>
    <t>без погрузки</t>
  </si>
  <si>
    <t>Камера</t>
  </si>
  <si>
    <t>Очистка места для выгрузки бревен</t>
  </si>
  <si>
    <t>Легковая</t>
  </si>
  <si>
    <t>на крыше</t>
  </si>
  <si>
    <t>доска</t>
  </si>
  <si>
    <t>бакажник</t>
  </si>
  <si>
    <t>утрамбовка щебня</t>
  </si>
  <si>
    <t>работа крана</t>
  </si>
  <si>
    <t>вт 18.11.2025 — 12:02:34</t>
  </si>
  <si>
    <t>826398429_1_20251118T120234Z.jpg</t>
  </si>
  <si>
    <t>6 Площадка 1 общага\826398429_1_20251118T120234Z.jpg</t>
  </si>
  <si>
    <t>динамика</t>
  </si>
  <si>
    <t>Выемка мешка</t>
  </si>
  <si>
    <t>опилки</t>
  </si>
  <si>
    <t>Перенос с улицы</t>
  </si>
  <si>
    <t>Два сотрудника</t>
  </si>
  <si>
    <t>на кромкорез</t>
  </si>
  <si>
    <t>для погрузки</t>
  </si>
  <si>
    <t>Отрезка материала от рулона</t>
  </si>
  <si>
    <t>брус</t>
  </si>
  <si>
    <t>Замер доски</t>
  </si>
  <si>
    <t>Распиловка доски пилой</t>
  </si>
  <si>
    <t>Гуппа сотрудников</t>
  </si>
  <si>
    <t>из сушилки</t>
  </si>
  <si>
    <t>в ангар</t>
  </si>
  <si>
    <t>отрез материала</t>
  </si>
  <si>
    <t>старый поролон</t>
  </si>
  <si>
    <t>рулон чего-то</t>
  </si>
  <si>
    <t>Окончание погрузки, убытие</t>
  </si>
  <si>
    <t>под навес</t>
  </si>
  <si>
    <t>для погрузки у навеса</t>
  </si>
  <si>
    <t>ангар</t>
  </si>
  <si>
    <t>навес</t>
  </si>
  <si>
    <t>на территорию</t>
  </si>
  <si>
    <t>E33149364_3_20251118T155148Z.jpg</t>
  </si>
  <si>
    <t>10 Сушилка навес\E33149364_3_20251118T155148Z.jpg</t>
  </si>
  <si>
    <t>вт 18.11.2025 — 15:51:48</t>
  </si>
  <si>
    <t>рейки</t>
  </si>
  <si>
    <t>сушилка</t>
  </si>
  <si>
    <t>рейка</t>
  </si>
  <si>
    <t>Работа под навесом</t>
  </si>
  <si>
    <t>Перенос этап</t>
  </si>
  <si>
    <t>динамика - нет записи перемещения этих досок</t>
  </si>
  <si>
    <t>со склада хол</t>
  </si>
  <si>
    <t>E33149364_4_20251121T115217Z.jpg</t>
  </si>
  <si>
    <t>11 С ангара на базу\E33149364_4_20251121T115217Z.jpg</t>
  </si>
  <si>
    <t>пт 21.11.2025 — 11:52:17</t>
  </si>
  <si>
    <t>E33149364_4_20251121T135542Z.jpg</t>
  </si>
  <si>
    <t>11 С ангара на базу\E33149364_4_20251121T135542Z.jpg</t>
  </si>
  <si>
    <t>пт 21.11.2025 — 13:55:42</t>
  </si>
  <si>
    <t>динамика (доски справа)</t>
  </si>
  <si>
    <t>K07156189_23_20251117T104259Z.jpg</t>
  </si>
  <si>
    <t>13 Склад хол\K07156189_23_20251117T104259Z.jpg</t>
  </si>
  <si>
    <t>пн 17.11.2025 — 10:42:59</t>
  </si>
  <si>
    <t>на сруб</t>
  </si>
  <si>
    <t>Загрузка (другой ракурс)</t>
  </si>
  <si>
    <t>C:\ВИДЕОНАБЛЮДЕНИЕ\1 Ангар Склад 2 въезд\</t>
  </si>
  <si>
    <t>C:\ВИДЕОНАБЛЮДЕНИЕ\5 Крыльцо общага\</t>
  </si>
  <si>
    <t>C:\ВИДЕОНАБЛЮДЕНИЕ\6 Площадка 1 общага\</t>
  </si>
  <si>
    <t>C:\ВИДЕОНАБЛЮДЕНИЕ\7 Площадка 2 бетонщики\</t>
  </si>
  <si>
    <t>C:\ВИДЕОНАБЛЮДЕНИЕ\10 Сушилка навес\</t>
  </si>
  <si>
    <t>C:\ВИДЕОНАБЛЮДЕНИЕ\11 С ангара на базу\</t>
  </si>
  <si>
    <t>C:\ВИДЕОНАБЛЮДЕНИЕ\12 Площадка 3 кран\</t>
  </si>
  <si>
    <t>C:\ВИДЕОНАБЛЮДЕНИЕ\13 Склад хол\</t>
  </si>
  <si>
    <t>C:\ВИДЕОНАБЛЮДЕНИЕ\2 Пилорама поката\</t>
  </si>
  <si>
    <t>C:\ВИДЕОНАБЛЮДЕНИЕ\3 Въезд на базу\</t>
  </si>
  <si>
    <t>C:\ВИДЕОНАБЛЮДЕНИЕ\4 Крыльцо офиса\</t>
  </si>
  <si>
    <t>C:\ВИДЕОНАБЛЮДЕНИЕ\8 Рейсмус\</t>
  </si>
  <si>
    <t>C:\ВИДЕОНАБЛЮДЕНИЕ\9 Ангар пилорама\</t>
  </si>
  <si>
    <t>E33149364_6_20251124T133115Z.jpg</t>
  </si>
  <si>
    <t>1 Ангар Склад 2 въезд\E33149364_6_20251124T133115Z.jpg</t>
  </si>
  <si>
    <t>пн 24.11.2025 — 13:31:15</t>
  </si>
  <si>
    <t>E33149364_6_20251124T134043Z.jpg</t>
  </si>
  <si>
    <t>1 Ангар Склад 2 въезд\E33149364_6_20251124T134043Z.jpg</t>
  </si>
  <si>
    <t>пн 24.11.2025 — 13:40:43</t>
  </si>
  <si>
    <t>E33149364_6_20251124T165934Z.jpg</t>
  </si>
  <si>
    <t>1 Ангар Склад 2 въезд\E33149364_6_20251124T165934Z.jpg</t>
  </si>
  <si>
    <t>пн 24.11.2025 — 16:59:34</t>
  </si>
  <si>
    <t>E33149364_6_20251124T173635Z.jpg</t>
  </si>
  <si>
    <t>1 Ангар Склад 2 въезд\E33149364_6_20251124T173635Z.jpg</t>
  </si>
  <si>
    <t>пн 24.11.2025 — 17:36:35</t>
  </si>
  <si>
    <t>E33149364_6_20251124T181141Z.jpg</t>
  </si>
  <si>
    <t>1 Ангар Склад 2 въезд\E33149364_6_20251124T181141Z.jpg</t>
  </si>
  <si>
    <t>пн 24.11.2025 — 18:11:41</t>
  </si>
  <si>
    <t>E33149364_6_20251125T152935Z.jpg</t>
  </si>
  <si>
    <t>1 Ангар Склад 2 въезд\E33149364_6_20251125T152935Z.jpg</t>
  </si>
  <si>
    <t>вт 25.11.2025 — 15:29:35</t>
  </si>
  <si>
    <t>E33149364_6_20251125T153508Z.jpg</t>
  </si>
  <si>
    <t>1 Ангар Склад 2 въезд\E33149364_6_20251125T153508Z.jpg</t>
  </si>
  <si>
    <t>вт 25.11.2025 — 15:35:08</t>
  </si>
  <si>
    <t>E33149364_6_20251125T153528Z.jpg</t>
  </si>
  <si>
    <t>1 Ангар Склад 2 въезд\E33149364_6_20251125T153528Z.jpg</t>
  </si>
  <si>
    <t>вт 25.11.2025 — 15:35:28</t>
  </si>
  <si>
    <t>Выход с территории</t>
  </si>
  <si>
    <t>Задний ход, выезд с территории</t>
  </si>
  <si>
    <t>E33149364_7_20251124T143854Z.jpg</t>
  </si>
  <si>
    <t>2 Пилорама поката\E33149364_7_20251124T143854Z.jpg</t>
  </si>
  <si>
    <t>пн 24.11.2025 — 14:38:54</t>
  </si>
  <si>
    <t>E33149364_7_20251124T144037Z.jpg</t>
  </si>
  <si>
    <t>2 Пилорама поката\E33149364_7_20251124T144037Z.jpg</t>
  </si>
  <si>
    <t>пн 24.11.2025 — 14:40:37</t>
  </si>
  <si>
    <t>E33149364_7_20251124T144256Z.jpg</t>
  </si>
  <si>
    <t>2 Пилорама поката\E33149364_7_20251124T144256Z.jpg</t>
  </si>
  <si>
    <t>пн 24.11.2025 — 14:42:56</t>
  </si>
  <si>
    <t>E33149364_7_20251124T144328Z.jpg</t>
  </si>
  <si>
    <t>2 Пилорама поката\E33149364_7_20251124T144328Z.jpg</t>
  </si>
  <si>
    <t>пн 24.11.2025 — 14:43:28</t>
  </si>
  <si>
    <t>E33149364_7_20251124T165640Z.jpg</t>
  </si>
  <si>
    <t>2 Пилорама поката\E33149364_7_20251124T165640Z.jpg</t>
  </si>
  <si>
    <t>пн 24.11.2025 — 16:56:40</t>
  </si>
  <si>
    <t>E33149364_7_20251125T102613Z.jpg</t>
  </si>
  <si>
    <t>2 Пилорама поката\E33149364_7_20251125T102613Z.jpg</t>
  </si>
  <si>
    <t>вт 25.11.2025 — 10:26:13</t>
  </si>
  <si>
    <t>E33149364_7_20251125T102635Z.jpg</t>
  </si>
  <si>
    <t>2 Пилорама поката\E33149364_7_20251125T102635Z.jpg</t>
  </si>
  <si>
    <t>вт 25.11.2025 — 10:26:35</t>
  </si>
  <si>
    <t>E33149364_7_20251125T104144Z.jpg</t>
  </si>
  <si>
    <t>2 Пилорама поката\E33149364_7_20251125T104144Z.jpg</t>
  </si>
  <si>
    <t>вт 25.11.2025 — 10:41:44</t>
  </si>
  <si>
    <t>E33149364_7_20251125T104224Z.jpg</t>
  </si>
  <si>
    <t>2 Пилорама поката\E33149364_7_20251125T104224Z.jpg</t>
  </si>
  <si>
    <t>вт 25.11.2025 — 10:42:24</t>
  </si>
  <si>
    <t>E33149364_7_20251125T105445Z.jpg</t>
  </si>
  <si>
    <t>2 Пилорама поката\E33149364_7_20251125T105445Z.jpg</t>
  </si>
  <si>
    <t>вт 25.11.2025 — 10:54:45</t>
  </si>
  <si>
    <t>E33149364_7_20251125T105508Z.jpg</t>
  </si>
  <si>
    <t>2 Пилорама поката\E33149364_7_20251125T105508Z.jpg</t>
  </si>
  <si>
    <t>вт 25.11.2025 — 10:55:08</t>
  </si>
  <si>
    <t>E33149364_7_20251125T121855Z.jpg</t>
  </si>
  <si>
    <t>2 Пилорама поката\E33149364_7_20251125T121855Z.jpg</t>
  </si>
  <si>
    <t>вт 25.11.2025 — 12:18:55</t>
  </si>
  <si>
    <t>E33149364_7_20251125T121942Z.jpg</t>
  </si>
  <si>
    <t>2 Пилорама поката\E33149364_7_20251125T121942Z.jpg</t>
  </si>
  <si>
    <t>вт 25.11.2025 — 12:19:42</t>
  </si>
  <si>
    <t>E33149364_7_20251125T122059Z.jpg</t>
  </si>
  <si>
    <t>2 Пилорама поката\E33149364_7_20251125T122059Z.jpg</t>
  </si>
  <si>
    <t>вт 25.11.2025 — 12:20:59</t>
  </si>
  <si>
    <t>E33149364_7_20251125T122130Z.jpg</t>
  </si>
  <si>
    <t>2 Пилорама поката\E33149364_7_20251125T122130Z.jpg</t>
  </si>
  <si>
    <t>вт 25.11.2025 — 12:21:30</t>
  </si>
  <si>
    <t>E33149364_7_20251125T122935Z.jpg</t>
  </si>
  <si>
    <t>2 Пилорама поката\E33149364_7_20251125T122935Z.jpg</t>
  </si>
  <si>
    <t>вт 25.11.2025 — 12:29:35</t>
  </si>
  <si>
    <t>E33149364_7_20251125T162523Z.jpg</t>
  </si>
  <si>
    <t>2 Пилорама поката\E33149364_7_20251125T162523Z.jpg</t>
  </si>
  <si>
    <t>вт 25.11.2025 — 16:25:23</t>
  </si>
  <si>
    <t>отходы распиловки</t>
  </si>
  <si>
    <t>около окна приема бревен</t>
  </si>
  <si>
    <t>Выгрузка</t>
  </si>
  <si>
    <t>за кадром</t>
  </si>
  <si>
    <t>окно приема бревен</t>
  </si>
  <si>
    <t>мешок опилок</t>
  </si>
  <si>
    <t>около второго ангара</t>
  </si>
  <si>
    <t>в конце дня</t>
  </si>
  <si>
    <t>K07156189_22_20251124T160809Z.jpg</t>
  </si>
  <si>
    <t>5 Крыльцо общага\K07156189_22_20251124T160809Z.jpg</t>
  </si>
  <si>
    <t>пн 24.11.2025 — 16:08:09</t>
  </si>
  <si>
    <t>K07156189_22_20251124T163410Z.jpg</t>
  </si>
  <si>
    <t>5 Крыльцо общага\K07156189_22_20251124T163410Z.jpg</t>
  </si>
  <si>
    <t>пн 24.11.2025 — 16:34:10</t>
  </si>
  <si>
    <t>K07156189_22_20251125T144045Z.jpg</t>
  </si>
  <si>
    <t>5 Крыльцо общага\K07156189_22_20251125T144045Z.jpg</t>
  </si>
  <si>
    <t>вт 25.11.2025 — 14:40:45</t>
  </si>
  <si>
    <t>K07156189_22_20251125T170245Z.jpg</t>
  </si>
  <si>
    <t>5 Крыльцо общага\K07156189_22_20251125T170245Z.jpg</t>
  </si>
  <si>
    <t>вт 25.11.2025 — 17:02:45</t>
  </si>
  <si>
    <t>K07156189_22_20251126T095445Z.jpg</t>
  </si>
  <si>
    <t>5 Крыльцо общага\K07156189_22_20251126T095445Z.jpg</t>
  </si>
  <si>
    <t>ср 26.11.2025 — 09:54:45</t>
  </si>
  <si>
    <t>K07156189_22_20251127T152324Z.jpg</t>
  </si>
  <si>
    <t>5 Крыльцо общага\K07156189_22_20251127T152324Z.jpg</t>
  </si>
  <si>
    <t>чт 27.11.2025 — 15:23:24</t>
  </si>
  <si>
    <t>K07156189_22_20251128T170347Z.jpg</t>
  </si>
  <si>
    <t>5 Крыльцо общага\K07156189_22_20251128T170347Z.jpg</t>
  </si>
  <si>
    <t>пт 28.11.2025 — 17:03:47</t>
  </si>
  <si>
    <t>K07156189_22_20251129T113716Z.jpg</t>
  </si>
  <si>
    <t>5 Крыльцо общага\K07156189_22_20251129T113716Z.jpg</t>
  </si>
  <si>
    <t>сб 29.11.2025 — 11:37:16</t>
  </si>
  <si>
    <t>1 Ангар Склад 2 въезд\E33149364_6_20251110T115231Z.jpg</t>
  </si>
  <si>
    <t>пн 10.11.2025 — 11:52:31</t>
  </si>
  <si>
    <t>1 Ангар Склад 2 въезд\E33149364_6_20251110T120047Z.jpg</t>
  </si>
  <si>
    <t>пн 10.11.2025 — 12:00:47</t>
  </si>
  <si>
    <t>1 Ангар Склад 2 въезд\E33149364_6_20251110T120052Z.jpg</t>
  </si>
  <si>
    <t>пн 10.11.2025 — 12:00:52</t>
  </si>
  <si>
    <t>1 Ангар Склад 2 въезд\E33149364_6_20251110T122835Z.jpg</t>
  </si>
  <si>
    <t>пн 10.11.2025 — 12:28:35</t>
  </si>
  <si>
    <t>1 Ангар Склад 2 въезд\E33149364_6_20251110T134029Z.jpg</t>
  </si>
  <si>
    <t>пн 10.11.2025 — 13:40:29</t>
  </si>
  <si>
    <t>1 Ангар Склад 2 въезд\E33149364_6_20251110T134540Z.jpg</t>
  </si>
  <si>
    <t>пн 10.11.2025 — 13:45:40</t>
  </si>
  <si>
    <t>1 Ангар Склад 2 въезд\E33149364_6_20251110T143236Z.jpg</t>
  </si>
  <si>
    <t>пн 10.11.2025 — 14:32:36</t>
  </si>
  <si>
    <t>1 Ангар Склад 2 въезд\E33149364_6_20251111T092327Z.jpg</t>
  </si>
  <si>
    <t>вт 11.11.2025 — 09:23:27</t>
  </si>
  <si>
    <t>1 Ангар Склад 2 въезд\E33149364_6_20251111T104437Z.jpg</t>
  </si>
  <si>
    <t>вт 11.11.2025 — 10:44:37</t>
  </si>
  <si>
    <t>1 Ангар Склад 2 въезд\E33149364_6_20251111T104712Z.jpg</t>
  </si>
  <si>
    <t>вт 11.11.2025 — 10:47:12</t>
  </si>
  <si>
    <t>1 Ангар Склад 2 въезд\E33149364_6_20251111T104942Z.jpg</t>
  </si>
  <si>
    <t>вт 11.11.2025 — 10:49:42</t>
  </si>
  <si>
    <t>1 Ангар Склад 2 въезд\E33149364_6_20251111T104958Z.jpg</t>
  </si>
  <si>
    <t>вт 11.11.2025 — 10:49:58</t>
  </si>
  <si>
    <t>1 Ангар Склад 2 въезд\E33149364_6_20251111T113804Z.jpg</t>
  </si>
  <si>
    <t>вт 11.11.2025 — 11:38:04</t>
  </si>
  <si>
    <t>1 Ангар Склад 2 въезд\E33149364_6_20251111T125226Z.jpg</t>
  </si>
  <si>
    <t>вт 11.11.2025 — 12:52:26</t>
  </si>
  <si>
    <t>1 Ангар Склад 2 въезд\E33149364_6_20251111T154349Z.jpg</t>
  </si>
  <si>
    <t>вт 11.11.2025 — 15:43:49</t>
  </si>
  <si>
    <t>1 Ангар Склад 2 въезд\E33149364_6_20251112T161438Z.jpg</t>
  </si>
  <si>
    <t>ср 12.11.2025 — 16:14:38</t>
  </si>
  <si>
    <t>1 Ангар Склад 2 въезд\E33149364_6_20251112T170242Z.jpg</t>
  </si>
  <si>
    <t>ср 12.11.2025 — 17:02:42</t>
  </si>
  <si>
    <t>1 Ангар Склад 2 въезд\E33149364_6_20251113T084904Z.jpg</t>
  </si>
  <si>
    <t>чт 13.11.2025 — 08:49:04</t>
  </si>
  <si>
    <t>1 Ангар Склад 2 въезд\E33149364_6_20251113T085509Z.jpg</t>
  </si>
  <si>
    <t>чт 13.11.2025 — 08:55:09</t>
  </si>
  <si>
    <t>1 Ангар Склад 2 въезд\E33149364_6_20251113T090456Z.jpg</t>
  </si>
  <si>
    <t>чт 13.11.2025 — 09:04:56</t>
  </si>
  <si>
    <t>1 Ангар Склад 2 въезд\E33149364_6_20251113T090500Z.jpg</t>
  </si>
  <si>
    <t>чт 13.11.2025 — 09:05:00</t>
  </si>
  <si>
    <t>1 Ангар Склад 2 въезд\E33149364_6_20251113T092918Z.jpg</t>
  </si>
  <si>
    <t>чт 13.11.2025 — 09:29:18</t>
  </si>
  <si>
    <t>1 Ангар Склад 2 въезд\E33149364_6_20251113T093428Z.jpg</t>
  </si>
  <si>
    <t>чт 13.11.2025 — 09:34:28</t>
  </si>
  <si>
    <t>1 Ангар Склад 2 въезд\E33149364_6_20251113T123446Z.jpg</t>
  </si>
  <si>
    <t>чт 13.11.2025 — 12:34:46</t>
  </si>
  <si>
    <t>1 Ангар Склад 2 въезд\E33149364_6_20251114T084700Z.jpg</t>
  </si>
  <si>
    <t>пт 14.11.2025 — 08:47:00</t>
  </si>
  <si>
    <t>1 Ангар Склад 2 въезд\E33149364_6_20251114T124506Z.jpg</t>
  </si>
  <si>
    <t>пт 14.11.2025 — 12:45:06</t>
  </si>
  <si>
    <t>1 Ангар Склад 2 въезд\E33149364_6_20251114T125035Z.jpg</t>
  </si>
  <si>
    <t>пт 14.11.2025 — 12:50:35</t>
  </si>
  <si>
    <t>1 Ангар Склад 2 въезд\E33149364_6_20251114T125414Z.jpg</t>
  </si>
  <si>
    <t>пт 14.11.2025 — 12:54:14</t>
  </si>
  <si>
    <t>1 Ангар Склад 2 въезд\E33149364_6_20251114T125702Z.jpg</t>
  </si>
  <si>
    <t>пт 14.11.2025 — 12:57:02</t>
  </si>
  <si>
    <t>1 Ангар Склад 2 въезд\E33149364_6_20251114T125754Z.jpg</t>
  </si>
  <si>
    <t>пт 14.11.2025 — 12:57:54</t>
  </si>
  <si>
    <t>1 Ангар Склад 2 въезд\E33149364_6_20251114T130033Z.jpg</t>
  </si>
  <si>
    <t>пт 14.11.2025 — 13:00:33</t>
  </si>
  <si>
    <t>1 Ангар Склад 2 въезд\E33149364_6_20251114T131318Z.jpg</t>
  </si>
  <si>
    <t>пт 14.11.2025 — 13:13:18</t>
  </si>
  <si>
    <t>1 Ангар Склад 2 въезд\E33149364_6_20251114T131619Z.jpg</t>
  </si>
  <si>
    <t>пт 14.11.2025 — 13:16:19</t>
  </si>
  <si>
    <t>1 Ангар Склад 2 въезд\E33149364_6_20251114T132811Z.jpg</t>
  </si>
  <si>
    <t>пт 14.11.2025 — 13:28:11</t>
  </si>
  <si>
    <t>1 Ангар Склад 2 въезд\E33149364_6_20251114T133038Z.jpg</t>
  </si>
  <si>
    <t>пт 14.11.2025 — 13:30:38</t>
  </si>
  <si>
    <t>1 Ангар Склад 2 въезд\E33149364_6_20251114T134227Z.jpg</t>
  </si>
  <si>
    <t>пт 14.11.2025 — 13:42:27</t>
  </si>
  <si>
    <t>1 Ангар Склад 2 въезд\E33149364_6_20251114T134639Z.jpg</t>
  </si>
  <si>
    <t>пт 14.11.2025 — 13:46:39</t>
  </si>
  <si>
    <t>1 Ангар Склад 2 въезд\E33149364_6_20251114T142453Z.jpg</t>
  </si>
  <si>
    <t>пт 14.11.2025 — 14:24:53</t>
  </si>
  <si>
    <t>1 Ангар Склад 2 въезд\E33149364_6_20251115T102817Z.jpg</t>
  </si>
  <si>
    <t>сб 15.11.2025 — 10:28:17</t>
  </si>
  <si>
    <t>1 Ангар Склад 2 въезд\E33149364_6_20251115T103838Z.jpg</t>
  </si>
  <si>
    <t>сб 15.11.2025 — 10:38:38</t>
  </si>
  <si>
    <t>1 Ангар Склад 2 въезд\E33149364_6_20251115T111407Z.jpg</t>
  </si>
  <si>
    <t>сб 15.11.2025 — 11:14:07</t>
  </si>
  <si>
    <t>1 Ангар Склад 2 въезд\E33149364_6_20251115T115633Z.jpg</t>
  </si>
  <si>
    <t>сб 15.11.2025 — 11:56:33</t>
  </si>
  <si>
    <t>1 Ангар Склад 2 въезд\E33149364_6_20251115T145651Z.jpg</t>
  </si>
  <si>
    <t>сб 15.11.2025 — 14:56:51</t>
  </si>
  <si>
    <t>1 Ангар Склад 2 въезд\E33149364_6_20251115T150734Z.jpg</t>
  </si>
  <si>
    <t>сб 15.11.2025 — 15:07:34</t>
  </si>
  <si>
    <t>1 Ангар Склад 2 въезд\E33149364_6_20251115T152654Z.jpg</t>
  </si>
  <si>
    <t>сб 15.11.2025 — 15:26:54</t>
  </si>
  <si>
    <t>1 Ангар Склад 2 въезд\E33149364_6_20251115T151813Z.jpg</t>
  </si>
  <si>
    <t>сб 15.11.2025 — 15:18:13</t>
  </si>
  <si>
    <t>1 Ангар Склад 2 въезд\E33149364_6_20251117T173330Z.jpg</t>
  </si>
  <si>
    <t>пн 17.11.2025 — 17:33:30</t>
  </si>
  <si>
    <t>1 Ангар Склад 2 въезд\E33149364_6_20251118T090558Z.jpg</t>
  </si>
  <si>
    <t>вт 18.11.2025 — 09:05:58</t>
  </si>
  <si>
    <t>1 Ангар Склад 2 въезд\E33149364_6_20251118T094148Z.jpg</t>
  </si>
  <si>
    <t>вт 18.11.2025 — 09:41:48</t>
  </si>
  <si>
    <t>1 Ангар Склад 2 въезд\E33149364_6_20251118T102134Z.jpg</t>
  </si>
  <si>
    <t>вт 18.11.2025 — 10:21:34</t>
  </si>
  <si>
    <t>1 Ангар Склад 2 въезд\E33149364_6_20251118T102612Z.jpg</t>
  </si>
  <si>
    <t>вт 18.11.2025 — 10:26:12</t>
  </si>
  <si>
    <t>1 Ангар Склад 2 въезд\E33149364_6_20251118T143628Z.jpg</t>
  </si>
  <si>
    <t>вт 18.11.2025 — 14:36:28</t>
  </si>
  <si>
    <t>1 Ангар Склад 2 въезд\E33149364_6_20251119T105917Z.jpg</t>
  </si>
  <si>
    <t>ср 19.11.2025 — 10:59:17</t>
  </si>
  <si>
    <t>1 Ангар Склад 2 въезд\E33149364_6_20251119T113819Z.jpg</t>
  </si>
  <si>
    <t>ср 19.11.2025 — 11:38:19</t>
  </si>
  <si>
    <t>1 Ангар Склад 2 въезд\E33149364_6_20251119T114703Z.jpg</t>
  </si>
  <si>
    <t>ср 19.11.2025 — 11:47:03</t>
  </si>
  <si>
    <t>1 Ангар Склад 2 въезд\E33149364_6_20251119T115240Z.jpg</t>
  </si>
  <si>
    <t>ср 19.11.2025 — 11:52:40</t>
  </si>
  <si>
    <t>1 Ангар Склад 2 въезд\E33149364_6_20251120T164933Z.jpg</t>
  </si>
  <si>
    <t>чт 20.11.2025 — 16:49:33</t>
  </si>
  <si>
    <t>1 Ангар Склад 2 въезд\E33149364_6_20251121T105828Z.jpg</t>
  </si>
  <si>
    <t>пт 21.11.2025 — 10:58:28</t>
  </si>
  <si>
    <t>1 Ангар Склад 2 въезд\E33149364_6_20251121T110048Z.jpg</t>
  </si>
  <si>
    <t>пт 21.11.2025 — 11:00:48</t>
  </si>
  <si>
    <t>1 Ангар Склад 2 въезд\E33149364_6_20251122T135731Z.jpg</t>
  </si>
  <si>
    <t>сб 22.11.2025 — 13:57:31</t>
  </si>
  <si>
    <t>1 Ангар Склад 2 въезд\E33149364_6_20251123T154552Z.jpg</t>
  </si>
  <si>
    <t>вс 23.11.2025 — 15:45:52</t>
  </si>
  <si>
    <t>E33149364_6_20251126T102402Z.jpg</t>
  </si>
  <si>
    <t>1 Ангар Склад 2 въезд\E33149364_6_20251126T102402Z.jpg</t>
  </si>
  <si>
    <t>ср 26.11.2025 — 10:24:02</t>
  </si>
  <si>
    <t>E33149364_6_20251126T105128Z.jpg</t>
  </si>
  <si>
    <t>1 Ангар Склад 2 въезд\E33149364_6_20251126T105128Z.jpg</t>
  </si>
  <si>
    <t>ср 26.11.2025 — 10:51:28</t>
  </si>
  <si>
    <t>E33149364_6_20251126T105132Z.jpg</t>
  </si>
  <si>
    <t>1 Ангар Склад 2 въезд\E33149364_6_20251126T105132Z.jpg</t>
  </si>
  <si>
    <t>ср 26.11.2025 — 10:51:32</t>
  </si>
  <si>
    <t>E33149364_6_20251126T105446Z.jpg</t>
  </si>
  <si>
    <t>1 Ангар Склад 2 въезд\E33149364_6_20251126T105446Z.jpg</t>
  </si>
  <si>
    <t>ср 26.11.2025 — 10:54:46</t>
  </si>
  <si>
    <t>E33149364_6_20251127T120210Z.jpg</t>
  </si>
  <si>
    <t>1 Ангар Склад 2 въезд\E33149364_6_20251127T120210Z.jpg</t>
  </si>
  <si>
    <t>чт 27.11.2025 — 12:02:10</t>
  </si>
  <si>
    <t>E33149364_6_20251127T130109Z.jpg</t>
  </si>
  <si>
    <t>1 Ангар Склад 2 въезд\E33149364_6_20251127T130109Z.jpg</t>
  </si>
  <si>
    <t>чт 27.11.2025 — 13:01:09</t>
  </si>
  <si>
    <t>E33149364_6_20251128T105521Z.jpg</t>
  </si>
  <si>
    <t>1 Ангар Склад 2 въезд\E33149364_6_20251128T105521Z.jpg</t>
  </si>
  <si>
    <t>пт 28.11.2025 — 10:55:21</t>
  </si>
  <si>
    <t>E33149364_6_20251128T121005Z.jpg</t>
  </si>
  <si>
    <t>1 Ангар Склад 2 въезд\E33149364_6_20251128T121005Z.jpg</t>
  </si>
  <si>
    <t>пт 28.11.2025 — 12:10:05</t>
  </si>
  <si>
    <t>E33149364_6_20251129T125411Z.jpg</t>
  </si>
  <si>
    <t>1 Ангар Склад 2 въезд\E33149364_6_20251129T125411Z.jpg</t>
  </si>
  <si>
    <t>сб 29.11.2025 — 12:54:11</t>
  </si>
  <si>
    <t>E33149364_6_20251129T153400Z.jpg</t>
  </si>
  <si>
    <t>1 Ангар Склад 2 въезд\E33149364_6_20251129T153400Z.jpg</t>
  </si>
  <si>
    <t>сб 29.11.2025 — 15:34:00</t>
  </si>
  <si>
    <t>E33149364_6_20251129T165257Z.jpg</t>
  </si>
  <si>
    <t>1 Ангар Склад 2 въезд\E33149364_6_20251129T165257Z.jpg</t>
  </si>
  <si>
    <t>сб 29.11.2025 — 16:52:57</t>
  </si>
  <si>
    <t>E33149364_6_20251129T173803Z.jpg</t>
  </si>
  <si>
    <t>1 Ангар Склад 2 въезд\E33149364_6_20251129T173803Z.jpg</t>
  </si>
  <si>
    <t>сб 29.11.2025 — 17:38:03</t>
  </si>
  <si>
    <t>E33149364_7_20251126T102620Z.jpg</t>
  </si>
  <si>
    <t>2 Пилорама поката\E33149364_7_20251126T102620Z.jpg</t>
  </si>
  <si>
    <t>ср 26.11.2025 — 10:26:20</t>
  </si>
  <si>
    <t>E33149364_7_20251126T104938Z.jpg</t>
  </si>
  <si>
    <t>2 Пилорама поката\E33149364_7_20251126T104938Z.jpg</t>
  </si>
  <si>
    <t>ср 26.11.2025 — 10:49:38</t>
  </si>
  <si>
    <t>E33149364_7_20251126T115114Z.jpg</t>
  </si>
  <si>
    <t>2 Пилорама поката\E33149364_7_20251126T115114Z.jpg</t>
  </si>
  <si>
    <t>ср 26.11.2025 — 11:51:14</t>
  </si>
  <si>
    <t>E33149364_7_20251126T143547Z.jpg</t>
  </si>
  <si>
    <t>2 Пилорама поката\E33149364_7_20251126T143547Z.jpg</t>
  </si>
  <si>
    <t>ср 26.11.2025 — 14:35:47</t>
  </si>
  <si>
    <t>E33149364_7_20251126T143600Z.jpg</t>
  </si>
  <si>
    <t>2 Пилорама поката\E33149364_7_20251126T143600Z.jpg</t>
  </si>
  <si>
    <t>ср 26.11.2025 — 14:36:00</t>
  </si>
  <si>
    <t>E33149364_7_20251126T150432Z.jpg</t>
  </si>
  <si>
    <t>2 Пилорама поката\E33149364_7_20251126T150432Z.jpg</t>
  </si>
  <si>
    <t>ср 26.11.2025 — 15:04:32</t>
  </si>
  <si>
    <t>E33149364_7_20251126T160122Z.jpg</t>
  </si>
  <si>
    <t>2 Пилорама поката\E33149364_7_20251126T160122Z.jpg</t>
  </si>
  <si>
    <t>ср 26.11.2025 — 16:01:22</t>
  </si>
  <si>
    <t>E33149364_7_20251126T164903Z.jpg</t>
  </si>
  <si>
    <t>2 Пилорама поката\E33149364_7_20251126T164903Z.jpg</t>
  </si>
  <si>
    <t>ср 26.11.2025 — 16:49:03</t>
  </si>
  <si>
    <t>E33149364_7_20251127T092418Z.jpg</t>
  </si>
  <si>
    <t>2 Пилорама поката\E33149364_7_20251127T092418Z.jpg</t>
  </si>
  <si>
    <t>чт 27.11.2025 — 09:24:18</t>
  </si>
  <si>
    <t>E33149364_7_20251127T104741Z.jpg</t>
  </si>
  <si>
    <t>2 Пилорама поката\E33149364_7_20251127T104741Z.jpg</t>
  </si>
  <si>
    <t>чт 27.11.2025 — 10:47:41</t>
  </si>
  <si>
    <t>E33149364_7_20251127T145048Z.jpg</t>
  </si>
  <si>
    <t>2 Пилорама поката\E33149364_7_20251127T145048Z.jpg</t>
  </si>
  <si>
    <t>чт 27.11.2025 — 14:50:48</t>
  </si>
  <si>
    <t>E33149364_7_20251127T152630Z.jpg</t>
  </si>
  <si>
    <t>2 Пилорама поката\E33149364_7_20251127T152630Z.jpg</t>
  </si>
  <si>
    <t>чт 27.11.2025 — 15:26:30</t>
  </si>
  <si>
    <t>E33149364_7_20251127T162626Z.jpg</t>
  </si>
  <si>
    <t>2 Пилорама поката\E33149364_7_20251127T162626Z.jpg</t>
  </si>
  <si>
    <t>чт 27.11.2025 — 16:26:26</t>
  </si>
  <si>
    <t>E33149364_7_20251127T162714Z.jpg</t>
  </si>
  <si>
    <t>2 Пилорама поката\E33149364_7_20251127T162714Z.jpg</t>
  </si>
  <si>
    <t>чт 27.11.2025 — 16:27:14</t>
  </si>
  <si>
    <t>E33149364_7_20251128T092726Z.jpg</t>
  </si>
  <si>
    <t>2 Пилорама поката\E33149364_7_20251128T092726Z.jpg</t>
  </si>
  <si>
    <t>пт 28.11.2025 — 09:27:26</t>
  </si>
  <si>
    <t>E33149364_7_20251128T092800Z.jpg</t>
  </si>
  <si>
    <t>2 Пилорама поката\E33149364_7_20251128T092800Z.jpg</t>
  </si>
  <si>
    <t>пт 28.11.2025 — 09:28:00</t>
  </si>
  <si>
    <t>E33149364_7_20251128T094254Z.jpg</t>
  </si>
  <si>
    <t>2 Пилорама поката\E33149364_7_20251128T094254Z.jpg</t>
  </si>
  <si>
    <t>пт 28.11.2025 — 09:42:54</t>
  </si>
  <si>
    <t>E33149364_7_20251128T094326Z.jpg</t>
  </si>
  <si>
    <t>2 Пилорама поката\E33149364_7_20251128T094326Z.jpg</t>
  </si>
  <si>
    <t>пт 28.11.2025 — 09:43:26</t>
  </si>
  <si>
    <t>E33149364_7_20251128T095852Z.jpg</t>
  </si>
  <si>
    <t>2 Пилорама поката\E33149364_7_20251128T095852Z.jpg</t>
  </si>
  <si>
    <t>пт 28.11.2025 — 09:58:52</t>
  </si>
  <si>
    <t>E33149364_7_20251128T102200Z.jpg</t>
  </si>
  <si>
    <t>2 Пилорама поката\E33149364_7_20251128T102200Z.jpg</t>
  </si>
  <si>
    <t>пт 28.11.2025 — 10:22:00</t>
  </si>
  <si>
    <t>E33149364_7_20251128T105602Z.jpg</t>
  </si>
  <si>
    <t>2 Пилорама поката\E33149364_7_20251128T105602Z.jpg</t>
  </si>
  <si>
    <t>пт 28.11.2025 — 10:56:02</t>
  </si>
  <si>
    <t>E33149364_7_20251128T105625Z.jpg</t>
  </si>
  <si>
    <t>2 Пилорама поката\E33149364_7_20251128T105625Z.jpg</t>
  </si>
  <si>
    <t>пт 28.11.2025 — 10:56:25</t>
  </si>
  <si>
    <t>E33149364_7_20251128T115751Z.jpg</t>
  </si>
  <si>
    <t>2 Пилорама поката\E33149364_7_20251128T115751Z.jpg</t>
  </si>
  <si>
    <t>пт 28.11.2025 — 11:57:51</t>
  </si>
  <si>
    <t>E33149364_7_20251128T120923Z.jpg</t>
  </si>
  <si>
    <t>2 Пилорама поката\E33149364_7_20251128T120923Z.jpg</t>
  </si>
  <si>
    <t>пт 28.11.2025 — 12:09:23</t>
  </si>
  <si>
    <t>E33149364_7_20251129T172021Z.jpg</t>
  </si>
  <si>
    <t>2 Пилорама поката\E33149364_7_20251129T172021Z.jpg</t>
  </si>
  <si>
    <t>сб 29.11.2025 — 17:20:21</t>
  </si>
  <si>
    <t>E33149364_8_20251124T104145Z.jpg</t>
  </si>
  <si>
    <t>3 Въезд на базу\E33149364_8_20251124T104145Z.jpg</t>
  </si>
  <si>
    <t>пн 24.11.2025 — 10:41:45</t>
  </si>
  <si>
    <t>E33149364_8_20251124T133131Z.jpg</t>
  </si>
  <si>
    <t>3 Въезд на базу\E33149364_8_20251124T133131Z.jpg</t>
  </si>
  <si>
    <t>пн 24.11.2025 — 13:31:31</t>
  </si>
  <si>
    <t>E33149364_8_20251124T174021Z.jpg</t>
  </si>
  <si>
    <t>3 Въезд на базу\E33149364_8_20251124T174021Z.jpg</t>
  </si>
  <si>
    <t>пн 24.11.2025 — 17:40:21</t>
  </si>
  <si>
    <t>E33149364_8_20251124T181127Z.jpg</t>
  </si>
  <si>
    <t>3 Въезд на базу\E33149364_8_20251124T181127Z.jpg</t>
  </si>
  <si>
    <t>пн 24.11.2025 — 18:11:27</t>
  </si>
  <si>
    <t>E33149364_8_20251125T121702Z.jpg</t>
  </si>
  <si>
    <t>3 Въезд на базу\E33149364_8_20251125T121702Z.jpg</t>
  </si>
  <si>
    <t>вт 25.11.2025 — 12:17:02</t>
  </si>
  <si>
    <t>E33149364_8_20251125T163640Z.jpg</t>
  </si>
  <si>
    <t>3 Въезд на базу\E33149364_8_20251125T163640Z.jpg</t>
  </si>
  <si>
    <t>вт 25.11.2025 — 16:36:40</t>
  </si>
  <si>
    <t>E33149364_8_20251126T105137Z.jpg</t>
  </si>
  <si>
    <t>3 Въезд на базу\E33149364_8_20251126T105137Z.jpg</t>
  </si>
  <si>
    <t>ср 26.11.2025 — 10:51:37</t>
  </si>
  <si>
    <t>E33149364_8_20251126T122408Z.jpg</t>
  </si>
  <si>
    <t>3 Въезд на базу\E33149364_8_20251126T122408Z.jpg</t>
  </si>
  <si>
    <t>ср 26.11.2025 — 12:24:08</t>
  </si>
  <si>
    <t>E33149364_8_20251127T113135Z.jpg</t>
  </si>
  <si>
    <t>3 Въезд на базу\E33149364_8_20251127T113135Z.jpg</t>
  </si>
  <si>
    <t>чт 27.11.2025 — 11:31:35</t>
  </si>
  <si>
    <t>E33149364_8_20251127T164038Z.jpg</t>
  </si>
  <si>
    <t>3 Въезд на базу\E33149364_8_20251127T164038Z.jpg</t>
  </si>
  <si>
    <t>чт 27.11.2025 — 16:40:38</t>
  </si>
  <si>
    <t>E33149364_8_20251128T111419Z.jpg</t>
  </si>
  <si>
    <t>3 Въезд на базу\E33149364_8_20251128T111419Z.jpg</t>
  </si>
  <si>
    <t>пт 28.11.2025 — 11:14:19</t>
  </si>
  <si>
    <t>E33149364_8_20251128T170013Z.jpg</t>
  </si>
  <si>
    <t>3 Въезд на базу\E33149364_8_20251128T170013Z.jpg</t>
  </si>
  <si>
    <t>пт 28.11.2025 — 17:00:13</t>
  </si>
  <si>
    <t>E33149364_8_20251129T123740Z.jpg</t>
  </si>
  <si>
    <t>3 Въезд на базу\E33149364_8_20251129T123740Z.jpg</t>
  </si>
  <si>
    <t>сб 29.11.2025 — 12:37:40</t>
  </si>
  <si>
    <t>E33149364_8_20251129T153527Z.jpg</t>
  </si>
  <si>
    <t>3 Въезд на базу\E33149364_8_20251129T153527Z.jpg</t>
  </si>
  <si>
    <t>сб 29.11.2025 — 15:35:27</t>
  </si>
  <si>
    <t>E33149364_8_20251129T171034Z.jpg</t>
  </si>
  <si>
    <t>3 Въезд на базу\E33149364_8_20251129T171034Z.jpg</t>
  </si>
  <si>
    <t>сб 29.11.2025 — 17:10:34</t>
  </si>
  <si>
    <t>K07156189_21_20251124T165036Z.jpg</t>
  </si>
  <si>
    <t>4 Крыльцо офиса\K07156189_21_20251124T165036Z.jpg</t>
  </si>
  <si>
    <t>пн 24.11.2025 — 16:50:36</t>
  </si>
  <si>
    <t>K07156189_21_20251124T174241Z.jpg</t>
  </si>
  <si>
    <t>4 Крыльцо офиса\K07156189_21_20251124T174241Z.jpg</t>
  </si>
  <si>
    <t>пн 24.11.2025 — 17:42:41</t>
  </si>
  <si>
    <t>K07156189_21_20251124T180948Z.jpg</t>
  </si>
  <si>
    <t>4 Крыльцо офиса\K07156189_21_20251124T180948Z.jpg</t>
  </si>
  <si>
    <t>пн 24.11.2025 — 18:09:48</t>
  </si>
  <si>
    <t>K07156189_21_20251125T171104Z.jpg</t>
  </si>
  <si>
    <t>4 Крыльцо офиса\K07156189_21_20251125T171104Z.jpg</t>
  </si>
  <si>
    <t>вт 25.11.2025 — 17:11:04</t>
  </si>
  <si>
    <t>K07156189_21_20251126T160427Z.jpg</t>
  </si>
  <si>
    <t>4 Крыльцо офиса\K07156189_21_20251126T160427Z.jpg</t>
  </si>
  <si>
    <t>ср 26.11.2025 — 16:04:27</t>
  </si>
  <si>
    <t>K07156189_21_20251127T133657Z.jpg</t>
  </si>
  <si>
    <t>4 Крыльцо офиса\K07156189_21_20251127T133657Z.jpg</t>
  </si>
  <si>
    <t>чт 27.11.2025 — 13:36:57</t>
  </si>
  <si>
    <t>K07156189_21_20251128T170621Z.jpg</t>
  </si>
  <si>
    <t>4 Крыльцо офиса\K07156189_21_20251128T170621Z.jpg</t>
  </si>
  <si>
    <t>пт 28.11.2025 — 17:06:21</t>
  </si>
  <si>
    <t>K07156189_21_20251129T170857Z.jpg</t>
  </si>
  <si>
    <t>4 Крыльцо офиса\K07156189_21_20251129T170857Z.jpg</t>
  </si>
  <si>
    <t>сб 29.11.2025 — 17:08:57</t>
  </si>
  <si>
    <t>826398429_1_20251124T165225Z.jpg</t>
  </si>
  <si>
    <t>6 Площадка 1 общага\826398429_1_20251124T165225Z.jpg</t>
  </si>
  <si>
    <t>пн 24.11.2025 — 16:52:25</t>
  </si>
  <si>
    <t>826398429_1_20251126T093745Z.jpg</t>
  </si>
  <si>
    <t>6 Площадка 1 общага\826398429_1_20251126T093745Z.jpg</t>
  </si>
  <si>
    <t>ср 26.11.2025 — 09:37:45</t>
  </si>
  <si>
    <t>826398429_1_20251127T133213Z.jpg</t>
  </si>
  <si>
    <t>6 Площадка 1 общага\826398429_1_20251127T133213Z.jpg</t>
  </si>
  <si>
    <t>чт 27.11.2025 — 13:32:13</t>
  </si>
  <si>
    <t>826398429_1_20251127T141845Z.jpg</t>
  </si>
  <si>
    <t>6 Площадка 1 общага\826398429_1_20251127T141845Z.jpg</t>
  </si>
  <si>
    <t>чт 27.11.2025 — 14:18:45</t>
  </si>
  <si>
    <t>826398429_1_20251127T143637Z.jpg</t>
  </si>
  <si>
    <t>6 Площадка 1 общага\826398429_1_20251127T143637Z.jpg</t>
  </si>
  <si>
    <t>чт 27.11.2025 — 14:36:37</t>
  </si>
  <si>
    <t>826398429_1_20251127T144733Z.jpg</t>
  </si>
  <si>
    <t>6 Площадка 1 общага\826398429_1_20251127T144733Z.jpg</t>
  </si>
  <si>
    <t>чт 27.11.2025 — 14:47:33</t>
  </si>
  <si>
    <t>826398429_1_20251127T170357Z.jpg</t>
  </si>
  <si>
    <t>6 Площадка 1 общага\826398429_1_20251127T170357Z.jpg</t>
  </si>
  <si>
    <t>чт 27.11.2025 — 17:03:57</t>
  </si>
  <si>
    <t>826398429_1_20251127T175903Z.jpg</t>
  </si>
  <si>
    <t>6 Площадка 1 общага\826398429_1_20251127T175903Z.jpg</t>
  </si>
  <si>
    <t>чт 27.11.2025 — 17:59:03</t>
  </si>
  <si>
    <t>826398429_1_20251127T181639Z.jpg</t>
  </si>
  <si>
    <t>6 Площадка 1 общага\826398429_1_20251127T181639Z.jpg</t>
  </si>
  <si>
    <t>чт 27.11.2025 — 18:16:39</t>
  </si>
  <si>
    <t>826398429_1_20251127T185009Z.jpg</t>
  </si>
  <si>
    <t>6 Площадка 1 общага\826398429_1_20251127T185009Z.jpg</t>
  </si>
  <si>
    <t>чт 27.11.2025 — 18:50:09</t>
  </si>
  <si>
    <t>826398429_1_20251128T112838Z.jpg</t>
  </si>
  <si>
    <t>6 Площадка 1 общага\826398429_1_20251128T112838Z.jpg</t>
  </si>
  <si>
    <t>пт 28.11.2025 — 11:28:38</t>
  </si>
  <si>
    <t>826398429_1_20251128T123538Z.jpg</t>
  </si>
  <si>
    <t>6 Площадка 1 общага\826398429_1_20251128T123538Z.jpg</t>
  </si>
  <si>
    <t>пт 28.11.2025 — 12:35:38</t>
  </si>
  <si>
    <t>826398429_1_20251128T145445Z.jpg</t>
  </si>
  <si>
    <t>6 Площадка 1 общага\826398429_1_20251128T145445Z.jpg</t>
  </si>
  <si>
    <t>пт 28.11.2025 — 14:54:45</t>
  </si>
  <si>
    <t>826398429_1_20251128T183058Z.jpg</t>
  </si>
  <si>
    <t>6 Площадка 1 общага\826398429_1_20251128T183058Z.jpg</t>
  </si>
  <si>
    <t>пт 28.11.2025 — 18:30:58</t>
  </si>
  <si>
    <t>826398429_1_20251129T100126Z.jpg</t>
  </si>
  <si>
    <t>6 Площадка 1 общага\826398429_1_20251129T100126Z.jpg</t>
  </si>
  <si>
    <t>сб 29.11.2025 — 10:01:26</t>
  </si>
  <si>
    <t>826398429_1_20251129T154708Z.jpg</t>
  </si>
  <si>
    <t>6 Площадка 1 общага\826398429_1_20251129T154708Z.jpg</t>
  </si>
  <si>
    <t>сб 29.11.2025 — 15:47:08</t>
  </si>
  <si>
    <t>826398429_1_20251129T160542Z.jpg</t>
  </si>
  <si>
    <t>6 Площадка 1 общага\826398429_1_20251129T160542Z.jpg</t>
  </si>
  <si>
    <t>сб 29.11.2025 — 16:05:42</t>
  </si>
  <si>
    <t>826398429_1_20251129T161007Z.jpg</t>
  </si>
  <si>
    <t>6 Площадка 1 общага\826398429_1_20251129T161007Z.jpg</t>
  </si>
  <si>
    <t>сб 29.11.2025 — 16:10:07</t>
  </si>
  <si>
    <t>826398429_1_20251129T162332Z.jpg</t>
  </si>
  <si>
    <t>6 Площадка 1 общага\826398429_1_20251129T162332Z.jpg</t>
  </si>
  <si>
    <t>сб 29.11.2025 — 16:23:32</t>
  </si>
  <si>
    <t>826398429_1_20251129T163423Z.jpg</t>
  </si>
  <si>
    <t>6 Площадка 1 общага\826398429_1_20251129T163423Z.jpg</t>
  </si>
  <si>
    <t>сб 29.11.2025 — 16:34:23</t>
  </si>
  <si>
    <t>826398429_1_20251129T170324Z.jpg</t>
  </si>
  <si>
    <t>6 Площадка 1 общага\826398429_1_20251129T170324Z.jpg</t>
  </si>
  <si>
    <t>сб 29.11.2025 — 17:03:24</t>
  </si>
  <si>
    <t>K07156189_18_20251121T132138Z.jpg</t>
  </si>
  <si>
    <t>7 Площадка 2 бетонщики\K07156189_18_20251121T132138Z.jpg</t>
  </si>
  <si>
    <t>пт 21.11.2025 — 13:21:38</t>
  </si>
  <si>
    <t>K07156189_18_20251122T171708Z.jpg</t>
  </si>
  <si>
    <t>7 Площадка 2 бетонщики\K07156189_18_20251122T171708Z.jpg</t>
  </si>
  <si>
    <t>сб 22.11.2025 — 17:17:08</t>
  </si>
  <si>
    <t>K07156189_18_20251123T162831Z.jpg</t>
  </si>
  <si>
    <t>7 Площадка 2 бетонщики\K07156189_18_20251123T162831Z.jpg</t>
  </si>
  <si>
    <t>вс 23.11.2025 — 16:28:31</t>
  </si>
  <si>
    <t>K07156189_18_20251125T165320Z.jpg</t>
  </si>
  <si>
    <t>7 Площадка 2 бетонщики\K07156189_18_20251125T165320Z.jpg</t>
  </si>
  <si>
    <t>вт 25.11.2025 — 16:53:20</t>
  </si>
  <si>
    <t>K07156189_18_20251126T160359Z.jpg</t>
  </si>
  <si>
    <t>7 Площадка 2 бетонщики\K07156189_18_20251126T160359Z.jpg</t>
  </si>
  <si>
    <t>ср 26.11.2025 — 16:03:59</t>
  </si>
  <si>
    <t>K07156189_18_20251127T144735Z.jpg</t>
  </si>
  <si>
    <t>7 Площадка 2 бетонщики\K07156189_18_20251127T144735Z.jpg</t>
  </si>
  <si>
    <t>чт 27.11.2025 — 14:47:35</t>
  </si>
  <si>
    <t>K07156189_18_20251127T150433Z.jpg</t>
  </si>
  <si>
    <t>7 Площадка 2 бетонщики\K07156189_18_20251127T150433Z.jpg</t>
  </si>
  <si>
    <t>чт 27.11.2025 — 15:04:33</t>
  </si>
  <si>
    <t>K07156189_18_20251127T162910Z.jpg</t>
  </si>
  <si>
    <t>7 Площадка 2 бетонщики\K07156189_18_20251127T162910Z.jpg</t>
  </si>
  <si>
    <t>чт 27.11.2025 — 16:29:10</t>
  </si>
  <si>
    <t>K07156189_18_20251127T170508Z.jpg</t>
  </si>
  <si>
    <t>7 Площадка 2 бетонщики\K07156189_18_20251127T170508Z.jpg</t>
  </si>
  <si>
    <t>чт 27.11.2025 — 17:05:08</t>
  </si>
  <si>
    <t>K07156189_18_20251127T172201Z.jpg</t>
  </si>
  <si>
    <t>7 Площадка 2 бетонщики\K07156189_18_20251127T172201Z.jpg</t>
  </si>
  <si>
    <t>чт 27.11.2025 — 17:22:01</t>
  </si>
  <si>
    <t>K07156189_18_20251127T180549Z.jpg</t>
  </si>
  <si>
    <t>7 Площадка 2 бетонщики\K07156189_18_20251127T180549Z.jpg</t>
  </si>
  <si>
    <t>чт 27.11.2025 — 18:05:49</t>
  </si>
  <si>
    <t>K07156189_18_20251127T190116Z.jpg</t>
  </si>
  <si>
    <t>7 Площадка 2 бетонщики\K07156189_18_20251127T190116Z.jpg</t>
  </si>
  <si>
    <t>чт 27.11.2025 — 19:01:16</t>
  </si>
  <si>
    <t>K07156189_18_20251127T191112Z.jpg</t>
  </si>
  <si>
    <t>7 Площадка 2 бетонщики\K07156189_18_20251127T191112Z.jpg</t>
  </si>
  <si>
    <t>чт 27.11.2025 — 19:11:12</t>
  </si>
  <si>
    <t>K07156189_18_20251128T085938Z.jpg</t>
  </si>
  <si>
    <t>7 Площадка 2 бетонщики\K07156189_18_20251128T085938Z.jpg</t>
  </si>
  <si>
    <t>пт 28.11.2025 — 08:59:38</t>
  </si>
  <si>
    <t>K07156189_18_20251128T100123Z.jpg</t>
  </si>
  <si>
    <t>7 Площадка 2 бетонщики\K07156189_18_20251128T100123Z.jpg</t>
  </si>
  <si>
    <t>пт 28.11.2025 — 10:01:23</t>
  </si>
  <si>
    <t>K07156189_18_20251128T110448Z.jpg</t>
  </si>
  <si>
    <t>7 Площадка 2 бетонщики\K07156189_18_20251128T110448Z.jpg</t>
  </si>
  <si>
    <t>пт 28.11.2025 — 11:04:48</t>
  </si>
  <si>
    <t>K07156189_18_20251128T114231Z.jpg</t>
  </si>
  <si>
    <t>7 Площадка 2 бетонщики\K07156189_18_20251128T114231Z.jpg</t>
  </si>
  <si>
    <t>пт 28.11.2025 — 11:42:31</t>
  </si>
  <si>
    <t>K07156189_18_20251128T115657Z.jpg</t>
  </si>
  <si>
    <t>7 Площадка 2 бетонщики\K07156189_18_20251128T115657Z.jpg</t>
  </si>
  <si>
    <t>пт 28.11.2025 — 11:56:57</t>
  </si>
  <si>
    <t>K07156189_18_20251128T120838Z.jpg</t>
  </si>
  <si>
    <t>7 Площадка 2 бетонщики\K07156189_18_20251128T120838Z.jpg</t>
  </si>
  <si>
    <t>пт 28.11.2025 — 12:08:38</t>
  </si>
  <si>
    <t>K07156189_18_20251128T122842Z.jpg</t>
  </si>
  <si>
    <t>7 Площадка 2 бетонщики\K07156189_18_20251128T122842Z.jpg</t>
  </si>
  <si>
    <t>пт 28.11.2025 — 12:28:42</t>
  </si>
  <si>
    <t>K07156189_18_20251128T124212Z.jpg</t>
  </si>
  <si>
    <t>7 Площадка 2 бетонщики\K07156189_18_20251128T124212Z.jpg</t>
  </si>
  <si>
    <t>пт 28.11.2025 — 12:42:12</t>
  </si>
  <si>
    <t>K07156189_18_20251128T125041Z.jpg</t>
  </si>
  <si>
    <t>7 Площадка 2 бетонщики\K07156189_18_20251128T125041Z.jpg</t>
  </si>
  <si>
    <t>пт 28.11.2025 — 12:50:41</t>
  </si>
  <si>
    <t>K07156189_18_20251128T133801Z.jpg</t>
  </si>
  <si>
    <t>7 Площадка 2 бетонщики\K07156189_18_20251128T133801Z.jpg</t>
  </si>
  <si>
    <t>пт 28.11.2025 — 13:38:01</t>
  </si>
  <si>
    <t>K07156189_18_20251128T145313Z.jpg</t>
  </si>
  <si>
    <t>7 Площадка 2 бетонщики\K07156189_18_20251128T145313Z.jpg</t>
  </si>
  <si>
    <t>пт 28.11.2025 — 14:53:13</t>
  </si>
  <si>
    <t>K07156189_18_20251128T151424Z.jpg</t>
  </si>
  <si>
    <t>7 Площадка 2 бетонщики\K07156189_18_20251128T151424Z.jpg</t>
  </si>
  <si>
    <t>пт 28.11.2025 — 15:14:24</t>
  </si>
  <si>
    <t>K07156189_18_20251128T152424Z.jpg</t>
  </si>
  <si>
    <t>7 Площадка 2 бетонщики\K07156189_18_20251128T152424Z.jpg</t>
  </si>
  <si>
    <t>пт 28.11.2025 — 15:24:24</t>
  </si>
  <si>
    <t>K07156189_18_20251128T154922Z.jpg</t>
  </si>
  <si>
    <t>7 Площадка 2 бетонщики\K07156189_18_20251128T154922Z.jpg</t>
  </si>
  <si>
    <t>пт 28.11.2025 — 15:49:22</t>
  </si>
  <si>
    <t>K07156189_18_20251128T162845Z.jpg</t>
  </si>
  <si>
    <t>7 Площадка 2 бетонщики\K07156189_18_20251128T162845Z.jpg</t>
  </si>
  <si>
    <t>пт 28.11.2025 — 16:28:45</t>
  </si>
  <si>
    <t>K07156189_18_20251128T174645Z.jpg</t>
  </si>
  <si>
    <t>7 Площадка 2 бетонщики\K07156189_18_20251128T174645Z.jpg</t>
  </si>
  <si>
    <t>пт 28.11.2025 — 17:46:45</t>
  </si>
  <si>
    <t>K07156189_18_20251128T190100Z.jpg</t>
  </si>
  <si>
    <t>7 Площадка 2 бетонщики\K07156189_18_20251128T190100Z.jpg</t>
  </si>
  <si>
    <t>пт 28.11.2025 — 19:01:00</t>
  </si>
  <si>
    <t>K07156189_18_20251129T100209Z.jpg</t>
  </si>
  <si>
    <t>7 Площадка 2 бетонщики\K07156189_18_20251129T100209Z.jpg</t>
  </si>
  <si>
    <t>сб 29.11.2025 — 10:02:09</t>
  </si>
  <si>
    <t>K07156189_18_20251129T125756Z.jpg</t>
  </si>
  <si>
    <t>7 Площадка 2 бетонщики\K07156189_18_20251129T125756Z.jpg</t>
  </si>
  <si>
    <t>сб 29.11.2025 — 12:57:56</t>
  </si>
  <si>
    <t>K07156189_18_20251129T130603Z.jpg</t>
  </si>
  <si>
    <t>7 Площадка 2 бетонщики\K07156189_18_20251129T130603Z.jpg</t>
  </si>
  <si>
    <t>сб 29.11.2025 — 13:06:03</t>
  </si>
  <si>
    <t>K07156189_18_20251129T131535Z.jpg</t>
  </si>
  <si>
    <t>7 Площадка 2 бетонщики\K07156189_18_20251129T131535Z.jpg</t>
  </si>
  <si>
    <t>сб 29.11.2025 — 13:15:35</t>
  </si>
  <si>
    <t>K07156189_18_20251129T131632Z.jpg</t>
  </si>
  <si>
    <t>7 Площадка 2 бетонщики\K07156189_18_20251129T131632Z.jpg</t>
  </si>
  <si>
    <t>сб 29.11.2025 — 13:16:32</t>
  </si>
  <si>
    <t>K07156189_18_20251129T132448Z.jpg</t>
  </si>
  <si>
    <t>7 Площадка 2 бетонщики\K07156189_18_20251129T132448Z.jpg</t>
  </si>
  <si>
    <t>сб 29.11.2025 — 13:24:48</t>
  </si>
  <si>
    <t>K07156189_18_20251129T132729Z.jpg</t>
  </si>
  <si>
    <t>7 Площадка 2 бетонщики\K07156189_18_20251129T132729Z.jpg</t>
  </si>
  <si>
    <t>сб 29.11.2025 — 13:27:29</t>
  </si>
  <si>
    <t>K07156189_18_20251129T133457Z.jpg</t>
  </si>
  <si>
    <t>7 Площадка 2 бетонщики\K07156189_18_20251129T133457Z.jpg</t>
  </si>
  <si>
    <t>сб 29.11.2025 — 13:34:57</t>
  </si>
  <si>
    <t>K07156189_18_20251129T133835Z.jpg</t>
  </si>
  <si>
    <t>7 Площадка 2 бетонщики\K07156189_18_20251129T133835Z.jpg</t>
  </si>
  <si>
    <t>сб 29.11.2025 — 13:38:35</t>
  </si>
  <si>
    <t>K07156189_18_20251129T134314Z.jpg</t>
  </si>
  <si>
    <t>7 Площадка 2 бетонщики\K07156189_18_20251129T134314Z.jpg</t>
  </si>
  <si>
    <t>сб 29.11.2025 — 13:43:14</t>
  </si>
  <si>
    <t>K07156189_18_20251129T134446Z.jpg</t>
  </si>
  <si>
    <t>7 Площадка 2 бетонщики\K07156189_18_20251129T134446Z.jpg</t>
  </si>
  <si>
    <t>сб 29.11.2025 — 13:44:46</t>
  </si>
  <si>
    <t>K07156189_18_20251129T134716Z.jpg</t>
  </si>
  <si>
    <t>7 Площадка 2 бетонщики\K07156189_18_20251129T134716Z.jpg</t>
  </si>
  <si>
    <t>сб 29.11.2025 — 13:47:16</t>
  </si>
  <si>
    <t>K07156189_18_20251129T135033Z.jpg</t>
  </si>
  <si>
    <t>7 Площадка 2 бетонщики\K07156189_18_20251129T135033Z.jpg</t>
  </si>
  <si>
    <t>сб 29.11.2025 — 13:50:33</t>
  </si>
  <si>
    <t>K07156189_18_20251129T135508Z.jpg</t>
  </si>
  <si>
    <t>7 Площадка 2 бетонщики\K07156189_18_20251129T135508Z.jpg</t>
  </si>
  <si>
    <t>сб 29.11.2025 — 13:55:08</t>
  </si>
  <si>
    <t>K07156189_18_20251129T135816Z.jpg</t>
  </si>
  <si>
    <t>7 Площадка 2 бетонщики\K07156189_18_20251129T135816Z.jpg</t>
  </si>
  <si>
    <t>сб 29.11.2025 — 13:58:16</t>
  </si>
  <si>
    <t>K07156189_18_20251129T135913Z.jpg</t>
  </si>
  <si>
    <t>7 Площадка 2 бетонщики\K07156189_18_20251129T135913Z.jpg</t>
  </si>
  <si>
    <t>сб 29.11.2025 — 13:59:13</t>
  </si>
  <si>
    <t>K07156189_18_20251129T140141Z.jpg</t>
  </si>
  <si>
    <t>7 Площадка 2 бетонщики\K07156189_18_20251129T140141Z.jpg</t>
  </si>
  <si>
    <t>сб 29.11.2025 — 14:01:41</t>
  </si>
  <si>
    <t>K07156189_18_20251129T141259Z.jpg</t>
  </si>
  <si>
    <t>7 Площадка 2 бетонщики\K07156189_18_20251129T141259Z.jpg</t>
  </si>
  <si>
    <t>сб 29.11.2025 — 14:12:59</t>
  </si>
  <si>
    <t>K07156189_18_20251129T144348Z.jpg</t>
  </si>
  <si>
    <t>7 Площадка 2 бетонщики\K07156189_18_20251129T144348Z.jpg</t>
  </si>
  <si>
    <t>сб 29.11.2025 — 14:43:48</t>
  </si>
  <si>
    <t>K07156189_18_20251129T144947Z.jpg</t>
  </si>
  <si>
    <t>7 Площадка 2 бетонщики\K07156189_18_20251129T144947Z.jpg</t>
  </si>
  <si>
    <t>сб 29.11.2025 — 14:49:47</t>
  </si>
  <si>
    <t>K07156189_18_20251129T145233Z.jpg</t>
  </si>
  <si>
    <t>7 Площадка 2 бетонщики\K07156189_18_20251129T145233Z.jpg</t>
  </si>
  <si>
    <t>сб 29.11.2025 — 14:52:33</t>
  </si>
  <si>
    <t>K07156189_18_20251129T145512Z.jpg</t>
  </si>
  <si>
    <t>7 Площадка 2 бетонщики\K07156189_18_20251129T145512Z.jpg</t>
  </si>
  <si>
    <t>сб 29.11.2025 — 14:55:12</t>
  </si>
  <si>
    <t>K07156189_18_20251129T145843Z.jpg</t>
  </si>
  <si>
    <t>7 Площадка 2 бетонщики\K07156189_18_20251129T145843Z.jpg</t>
  </si>
  <si>
    <t>сб 29.11.2025 — 14:58:43</t>
  </si>
  <si>
    <t>K07156189_18_20251129T150130Z.jpg</t>
  </si>
  <si>
    <t>7 Площадка 2 бетонщики\K07156189_18_20251129T150130Z.jpg</t>
  </si>
  <si>
    <t>сб 29.11.2025 — 15:01:30</t>
  </si>
  <si>
    <t>K07156189_18_20251129T150900Z.jpg</t>
  </si>
  <si>
    <t>7 Площадка 2 бетонщики\K07156189_18_20251129T150900Z.jpg</t>
  </si>
  <si>
    <t>сб 29.11.2025 — 15:09:00</t>
  </si>
  <si>
    <t>K07156189_18_20251129T151247Z.jpg</t>
  </si>
  <si>
    <t>7 Площадка 2 бетонщики\K07156189_18_20251129T151247Z.jpg</t>
  </si>
  <si>
    <t>сб 29.11.2025 — 15:12:47</t>
  </si>
  <si>
    <t>K07156189_18_20251129T151748Z.jpg</t>
  </si>
  <si>
    <t>7 Площадка 2 бетонщики\K07156189_18_20251129T151748Z.jpg</t>
  </si>
  <si>
    <t>сб 29.11.2025 — 15:17:48</t>
  </si>
  <si>
    <t>K07156189_18_20251129T152022Z.jpg</t>
  </si>
  <si>
    <t>7 Площадка 2 бетонщики\K07156189_18_20251129T152022Z.jpg</t>
  </si>
  <si>
    <t>сб 29.11.2025 — 15:20:22</t>
  </si>
  <si>
    <t>K07156189_18_20251129T152425Z.jpg</t>
  </si>
  <si>
    <t>7 Площадка 2 бетонщики\K07156189_18_20251129T152425Z.jpg</t>
  </si>
  <si>
    <t>сб 29.11.2025 — 15:24:25</t>
  </si>
  <si>
    <t>K07156189_18_20251129T152710Z.jpg</t>
  </si>
  <si>
    <t>7 Площадка 2 бетонщики\K07156189_18_20251129T152710Z.jpg</t>
  </si>
  <si>
    <t>сб 29.11.2025 — 15:27:10</t>
  </si>
  <si>
    <t>K07156189_18_20251129T153527Z.jpg</t>
  </si>
  <si>
    <t>7 Площадка 2 бетонщики\K07156189_18_20251129T153527Z.jpg</t>
  </si>
  <si>
    <t>K07156189_18_20251129T153544Z.jpg</t>
  </si>
  <si>
    <t>7 Площадка 2 бетонщики\K07156189_18_20251129T153544Z.jpg</t>
  </si>
  <si>
    <t>сб 29.11.2025 — 15:35:44</t>
  </si>
  <si>
    <t>K07156189_18_20251129T154030Z.jpg</t>
  </si>
  <si>
    <t>7 Площадка 2 бетонщики\K07156189_18_20251129T154030Z.jpg</t>
  </si>
  <si>
    <t>сб 29.11.2025 — 15:40:30</t>
  </si>
  <si>
    <t>K07156189_18_20251129T154350Z.jpg</t>
  </si>
  <si>
    <t>7 Площадка 2 бетонщики\K07156189_18_20251129T154350Z.jpg</t>
  </si>
  <si>
    <t>сб 29.11.2025 — 15:43:50</t>
  </si>
  <si>
    <t>K07156189_18_20251129T154604Z.jpg</t>
  </si>
  <si>
    <t>7 Площадка 2 бетонщики\K07156189_18_20251129T154604Z.jpg</t>
  </si>
  <si>
    <t>сб 29.11.2025 — 15:46:04</t>
  </si>
  <si>
    <t>K07156189_18_20251129T154921Z.jpg</t>
  </si>
  <si>
    <t>7 Площадка 2 бетонщики\K07156189_18_20251129T154921Z.jpg</t>
  </si>
  <si>
    <t>сб 29.11.2025 — 15:49:21</t>
  </si>
  <si>
    <t>K07156189_18_20251129T155156Z.jpg</t>
  </si>
  <si>
    <t>7 Площадка 2 бетонщики\K07156189_18_20251129T155156Z.jpg</t>
  </si>
  <si>
    <t>сб 29.11.2025 — 15:51:56</t>
  </si>
  <si>
    <t>K07156189_18_20251129T155551Z.jpg</t>
  </si>
  <si>
    <t>7 Площадка 2 бетонщики\K07156189_18_20251129T155551Z.jpg</t>
  </si>
  <si>
    <t>сб 29.11.2025 — 15:55:51</t>
  </si>
  <si>
    <t>K07156189_18_20251129T160058Z.jpg</t>
  </si>
  <si>
    <t>7 Площадка 2 бетонщики\K07156189_18_20251129T160058Z.jpg</t>
  </si>
  <si>
    <t>сб 29.11.2025 — 16:00:58</t>
  </si>
  <si>
    <t>K07156189_18_20251129T160423Z.jpg</t>
  </si>
  <si>
    <t>7 Площадка 2 бетонщики\K07156189_18_20251129T160423Z.jpg</t>
  </si>
  <si>
    <t>сб 29.11.2025 — 16:04:23</t>
  </si>
  <si>
    <t>K07156189_18_20251129T160702Z.jpg</t>
  </si>
  <si>
    <t>7 Площадка 2 бетонщики\K07156189_18_20251129T160702Z.jpg</t>
  </si>
  <si>
    <t>сб 29.11.2025 — 16:07:02</t>
  </si>
  <si>
    <t>K07156189_18_20251129T161038Z.jpg</t>
  </si>
  <si>
    <t>7 Площадка 2 бетонщики\K07156189_18_20251129T161038Z.jpg</t>
  </si>
  <si>
    <t>сб 29.11.2025 — 16:10:38</t>
  </si>
  <si>
    <t>K07156189_18_20251129T161301Z.jpg</t>
  </si>
  <si>
    <t>7 Площадка 2 бетонщики\K07156189_18_20251129T161301Z.jpg</t>
  </si>
  <si>
    <t>сб 29.11.2025 — 16:13:01</t>
  </si>
  <si>
    <t>K07156189_18_20251129T161347Z.jpg</t>
  </si>
  <si>
    <t>7 Площадка 2 бетонщики\K07156189_18_20251129T161347Z.jpg</t>
  </si>
  <si>
    <t>сб 29.11.2025 — 16:13:47</t>
  </si>
  <si>
    <t>K07156189_18_20251129T161539Z.jpg</t>
  </si>
  <si>
    <t>7 Площадка 2 бетонщики\K07156189_18_20251129T161539Z.jpg</t>
  </si>
  <si>
    <t>сб 29.11.2025 — 16:15:39</t>
  </si>
  <si>
    <t>K07156189_18_20251129T161945Z.jpg</t>
  </si>
  <si>
    <t>7 Площадка 2 бетонщики\K07156189_18_20251129T161945Z.jpg</t>
  </si>
  <si>
    <t>сб 29.11.2025 — 16:19:45</t>
  </si>
  <si>
    <t>K07156189_18_20251129T162357Z.jpg</t>
  </si>
  <si>
    <t>7 Площадка 2 бетонщики\K07156189_18_20251129T162357Z.jpg</t>
  </si>
  <si>
    <t>сб 29.11.2025 — 16:23:57</t>
  </si>
  <si>
    <t>K07156189_18_20251129T162437Z.jpg</t>
  </si>
  <si>
    <t>7 Площадка 2 бетонщики\K07156189_18_20251129T162437Z.jpg</t>
  </si>
  <si>
    <t>сб 29.11.2025 — 16:24:37</t>
  </si>
  <si>
    <t>K07156189_18_20251129T162812Z.jpg</t>
  </si>
  <si>
    <t>7 Площадка 2 бетонщики\K07156189_18_20251129T162812Z.jpg</t>
  </si>
  <si>
    <t>сб 29.11.2025 — 16:28:12</t>
  </si>
  <si>
    <t>K07156189_18_20251129T163254Z.jpg</t>
  </si>
  <si>
    <t>7 Площадка 2 бетонщики\K07156189_18_20251129T163254Z.jpg</t>
  </si>
  <si>
    <t>сб 29.11.2025 — 16:32:54</t>
  </si>
  <si>
    <t>K07156189_18_20251129T163608Z.jpg</t>
  </si>
  <si>
    <t>7 Площадка 2 бетонщики\K07156189_18_20251129T163608Z.jpg</t>
  </si>
  <si>
    <t>сб 29.11.2025 — 16:36:08</t>
  </si>
  <si>
    <t>K07156189_18_20251129T163650Z.jpg</t>
  </si>
  <si>
    <t>7 Площадка 2 бетонщики\K07156189_18_20251129T163650Z.jpg</t>
  </si>
  <si>
    <t>сб 29.11.2025 — 16:36:50</t>
  </si>
  <si>
    <t>K07156189_18_20251129T165310Z.jpg</t>
  </si>
  <si>
    <t>7 Площадка 2 бетонщики\K07156189_18_20251129T165310Z.jpg</t>
  </si>
  <si>
    <t>сб 29.11.2025 — 16:53:10</t>
  </si>
  <si>
    <t>K07156189_18_20251129T170324Z.jpg</t>
  </si>
  <si>
    <t>7 Площадка 2 бетонщики\K07156189_18_20251129T170324Z.jpg</t>
  </si>
  <si>
    <t>E33149364_2_20251124T091919Z.jpg</t>
  </si>
  <si>
    <t>8 Рейсмус\E33149364_2_20251124T091919Z.jpg</t>
  </si>
  <si>
    <t>пн 24.11.2025 — 09:19:19</t>
  </si>
  <si>
    <t>E33149364_2_20251125T095346Z.jpg</t>
  </si>
  <si>
    <t>8 Рейсмус\E33149364_2_20251125T095346Z.jpg</t>
  </si>
  <si>
    <t>вт 25.11.2025 — 09:53:46</t>
  </si>
  <si>
    <t>E33149364_2_20251126T122934Z.jpg</t>
  </si>
  <si>
    <t>8 Рейсмус\E33149364_2_20251126T122934Z.jpg</t>
  </si>
  <si>
    <t>ср 26.11.2025 — 12:29:34</t>
  </si>
  <si>
    <t>E33149364_2_20251127T090125Z.jpg</t>
  </si>
  <si>
    <t>8 Рейсмус\E33149364_2_20251127T090125Z.jpg</t>
  </si>
  <si>
    <t>чт 27.11.2025 — 09:01:25</t>
  </si>
  <si>
    <t>E33149364_2_20251128T160840Z.jpg</t>
  </si>
  <si>
    <t>8 Рейсмус\E33149364_2_20251128T160840Z.jpg</t>
  </si>
  <si>
    <t>пт 28.11.2025 — 16:08:40</t>
  </si>
  <si>
    <t>E33149364_2_20251129T153315Z.jpg</t>
  </si>
  <si>
    <t>8 Рейсмус\E33149364_2_20251129T153315Z.jpg</t>
  </si>
  <si>
    <t>сб 29.11.2025 — 15:33:15</t>
  </si>
  <si>
    <t>E33149364_1_20251124T090445Z.jpg</t>
  </si>
  <si>
    <t>9 Ангар пилорама\E33149364_1_20251124T090445Z.jpg</t>
  </si>
  <si>
    <t>пн 24.11.2025 — 09:04:45</t>
  </si>
  <si>
    <t>E33149364_1_20251124T091600Z.jpg</t>
  </si>
  <si>
    <t>9 Ангар пилорама\E33149364_1_20251124T091600Z.jpg</t>
  </si>
  <si>
    <t>пн 24.11.2025 — 09:16:00</t>
  </si>
  <si>
    <t>E33149364_1_20251124T100100Z.jpg</t>
  </si>
  <si>
    <t>9 Ангар пилорама\E33149364_1_20251124T100100Z.jpg</t>
  </si>
  <si>
    <t>пн 24.11.2025 — 10:01:00</t>
  </si>
  <si>
    <t>E33149364_1_20251124T111607Z.jpg</t>
  </si>
  <si>
    <t>9 Ангар пилорама\E33149364_1_20251124T111607Z.jpg</t>
  </si>
  <si>
    <t>пн 24.11.2025 — 11:16:07</t>
  </si>
  <si>
    <t>E33149364_1_20251124T114656Z.jpg</t>
  </si>
  <si>
    <t>9 Ангар пилорама\E33149364_1_20251124T114656Z.jpg</t>
  </si>
  <si>
    <t>пн 24.11.2025 — 11:46:56</t>
  </si>
  <si>
    <t>E33149364_1_20251124T155601Z.jpg</t>
  </si>
  <si>
    <t>9 Ангар пилорама\E33149364_1_20251124T155601Z.jpg</t>
  </si>
  <si>
    <t>пн 24.11.2025 — 15:56:01</t>
  </si>
  <si>
    <t>E33149364_1_20251124T193602Z.jpg</t>
  </si>
  <si>
    <t>9 Ангар пилорама\E33149364_1_20251124T193602Z.jpg</t>
  </si>
  <si>
    <t>пн 24.11.2025 — 19:36:02</t>
  </si>
  <si>
    <t>E33149364_1_20251124T195138Z.jpg</t>
  </si>
  <si>
    <t>9 Ангар пилорама\E33149364_1_20251124T195138Z.jpg</t>
  </si>
  <si>
    <t>пн 24.11.2025 — 19:51:38</t>
  </si>
  <si>
    <t>E33149364_1_20251124T200754Z.jpg</t>
  </si>
  <si>
    <t>9 Ангар пилорама\E33149364_1_20251124T200754Z.jpg</t>
  </si>
  <si>
    <t>пн 24.11.2025 — 20:07:54</t>
  </si>
  <si>
    <t>E33149364_1_20251124T201607Z.jpg</t>
  </si>
  <si>
    <t>9 Ангар пилорама\E33149364_1_20251124T201607Z.jpg</t>
  </si>
  <si>
    <t>пн 24.11.2025 — 20:16:07</t>
  </si>
  <si>
    <t>E33149364_1_20251124T221321Z.jpg</t>
  </si>
  <si>
    <t>9 Ангар пилорама\E33149364_1_20251124T221321Z.jpg</t>
  </si>
  <si>
    <t>пн 24.11.2025 — 22:13:21</t>
  </si>
  <si>
    <t>E33149364_1_20251124T221740Z.jpg</t>
  </si>
  <si>
    <t>9 Ангар пилорама\E33149364_1_20251124T221740Z.jpg</t>
  </si>
  <si>
    <t>пн 24.11.2025 — 22:17:40</t>
  </si>
  <si>
    <t>E33149364_1_20251125T090358Z.jpg</t>
  </si>
  <si>
    <t>9 Ангар пилорама\E33149364_1_20251125T090358Z.jpg</t>
  </si>
  <si>
    <t>вт 25.11.2025 — 09:03:58</t>
  </si>
  <si>
    <t>E33149364_1_20251125T092701Z.jpg</t>
  </si>
  <si>
    <t>9 Ангар пилорама\E33149364_1_20251125T092701Z.jpg</t>
  </si>
  <si>
    <t>вт 25.11.2025 — 09:27:01</t>
  </si>
  <si>
    <t>E33149364_1_20251125T093247Z.jpg</t>
  </si>
  <si>
    <t>9 Ангар пилорама\E33149364_1_20251125T093247Z.jpg</t>
  </si>
  <si>
    <t>вт 25.11.2025 — 09:32:47</t>
  </si>
  <si>
    <t>E33149364_1_20251125T095614Z.jpg</t>
  </si>
  <si>
    <t>9 Ангар пилорама\E33149364_1_20251125T095614Z.jpg</t>
  </si>
  <si>
    <t>вт 25.11.2025 — 09:56:14</t>
  </si>
  <si>
    <t>E33149364_1_20251125T102225Z.jpg</t>
  </si>
  <si>
    <t>9 Ангар пилорама\E33149364_1_20251125T102225Z.jpg</t>
  </si>
  <si>
    <t>вт 25.11.2025 — 10:22:25</t>
  </si>
  <si>
    <t>E33149364_1_20251125T102326Z.jpg</t>
  </si>
  <si>
    <t>9 Ангар пилорама\E33149364_1_20251125T102326Z.jpg</t>
  </si>
  <si>
    <t>вт 25.11.2025 — 10:23:26</t>
  </si>
  <si>
    <t>E33149364_1_20251125T121200Z.jpg</t>
  </si>
  <si>
    <t>9 Ангар пилорама\E33149364_1_20251125T121200Z.jpg</t>
  </si>
  <si>
    <t>вт 25.11.2025 — 12:12:00</t>
  </si>
  <si>
    <t>E33149364_1_20251125T131457Z.jpg</t>
  </si>
  <si>
    <t>9 Ангар пилорама\E33149364_1_20251125T131457Z.jpg</t>
  </si>
  <si>
    <t>вт 25.11.2025 — 13:14:57</t>
  </si>
  <si>
    <t>E33149364_1_20251125T134447Z.jpg</t>
  </si>
  <si>
    <t>9 Ангар пилорама\E33149364_1_20251125T134447Z.jpg</t>
  </si>
  <si>
    <t>вт 25.11.2025 — 13:44:47</t>
  </si>
  <si>
    <t>E33149364_1_20251125T135734Z.jpg</t>
  </si>
  <si>
    <t>9 Ангар пилорама\E33149364_1_20251125T135734Z.jpg</t>
  </si>
  <si>
    <t>вт 25.11.2025 — 13:57:34</t>
  </si>
  <si>
    <t>E33149364_1_20251125T141912Z.jpg</t>
  </si>
  <si>
    <t>9 Ангар пилорама\E33149364_1_20251125T141912Z.jpg</t>
  </si>
  <si>
    <t>вт 25.11.2025 — 14:19:12</t>
  </si>
  <si>
    <t>E33149364_1_20251125T142631Z.jpg</t>
  </si>
  <si>
    <t>9 Ангар пилорама\E33149364_1_20251125T142631Z.jpg</t>
  </si>
  <si>
    <t>вт 25.11.2025 — 14:26:31</t>
  </si>
  <si>
    <t>E33149364_1_20251125T143450Z.jpg</t>
  </si>
  <si>
    <t>9 Ангар пилорама\E33149364_1_20251125T143450Z.jpg</t>
  </si>
  <si>
    <t>вт 25.11.2025 — 14:34:50</t>
  </si>
  <si>
    <t>E33149364_1_20251125T144247Z.jpg</t>
  </si>
  <si>
    <t>9 Ангар пилорама\E33149364_1_20251125T144247Z.jpg</t>
  </si>
  <si>
    <t>вт 25.11.2025 — 14:42:47</t>
  </si>
  <si>
    <t>E33149364_1_20251125T150435Z.jpg</t>
  </si>
  <si>
    <t>9 Ангар пилорама\E33149364_1_20251125T150435Z.jpg</t>
  </si>
  <si>
    <t>вт 25.11.2025 — 15:04:35</t>
  </si>
  <si>
    <t>E33149364_1_20251125T150527Z.jpg</t>
  </si>
  <si>
    <t>9 Ангар пилорама\E33149364_1_20251125T150527Z.jpg</t>
  </si>
  <si>
    <t>вт 25.11.2025 — 15:05:27</t>
  </si>
  <si>
    <t>E33149364_1_20251125T150634Z.jpg</t>
  </si>
  <si>
    <t>9 Ангар пилорама\E33149364_1_20251125T150634Z.jpg</t>
  </si>
  <si>
    <t>вт 25.11.2025 — 15:06:34</t>
  </si>
  <si>
    <t>E33149364_1_20251125T150653Z.jpg</t>
  </si>
  <si>
    <t>9 Ангар пилорама\E33149364_1_20251125T150653Z.jpg</t>
  </si>
  <si>
    <t>вт 25.11.2025 — 15:06:53</t>
  </si>
  <si>
    <t>E33149364_1_20251125T150721Z.jpg</t>
  </si>
  <si>
    <t>9 Ангар пилорама\E33149364_1_20251125T150721Z.jpg</t>
  </si>
  <si>
    <t>вт 25.11.2025 — 15:07:21</t>
  </si>
  <si>
    <t>E33149364_1_20251125T162602Z.jpg</t>
  </si>
  <si>
    <t>9 Ангар пилорама\E33149364_1_20251125T162602Z.jpg</t>
  </si>
  <si>
    <t>вт 25.11.2025 — 16:26:02</t>
  </si>
  <si>
    <t>E33149364_1_20251125T191925Z.jpg</t>
  </si>
  <si>
    <t>9 Ангар пилорама\E33149364_1_20251125T191925Z.jpg</t>
  </si>
  <si>
    <t>вт 25.11.2025 — 19:19:25</t>
  </si>
  <si>
    <t>E33149364_1_20251125T192532Z.jpg</t>
  </si>
  <si>
    <t>9 Ангар пилорама\E33149364_1_20251125T192532Z.jpg</t>
  </si>
  <si>
    <t>вт 25.11.2025 — 19:25:32</t>
  </si>
  <si>
    <t>E33149364_1_20251126T091053Z.jpg</t>
  </si>
  <si>
    <t>9 Ангар пилорама\E33149364_1_20251126T091053Z.jpg</t>
  </si>
  <si>
    <t>ср 26.11.2025 — 09:10:53</t>
  </si>
  <si>
    <t>E33149364_1_20251126T104606Z.jpg</t>
  </si>
  <si>
    <t>9 Ангар пилорама\E33149364_1_20251126T104606Z.jpg</t>
  </si>
  <si>
    <t>ср 26.11.2025 — 10:46:06</t>
  </si>
  <si>
    <t>E33149364_1_20251126T112256Z.jpg</t>
  </si>
  <si>
    <t>9 Ангар пилорама\E33149364_1_20251126T112256Z.jpg</t>
  </si>
  <si>
    <t>ср 26.11.2025 — 11:22:56</t>
  </si>
  <si>
    <t>E33149364_1_20251126T115036Z.jpg</t>
  </si>
  <si>
    <t>9 Ангар пилорама\E33149364_1_20251126T115036Z.jpg</t>
  </si>
  <si>
    <t>ср 26.11.2025 — 11:50:36</t>
  </si>
  <si>
    <t>E33149364_1_20251126T150024Z.jpg</t>
  </si>
  <si>
    <t>9 Ангар пилорама\E33149364_1_20251126T150024Z.jpg</t>
  </si>
  <si>
    <t>ср 26.11.2025 — 15:00:24</t>
  </si>
  <si>
    <t>E33149364_1_20251127T143240Z.jpg</t>
  </si>
  <si>
    <t>9 Ангар пилорама\E33149364_1_20251127T143240Z.jpg</t>
  </si>
  <si>
    <t>чт 27.11.2025 — 14:32:40</t>
  </si>
  <si>
    <t>E33149364_1_20251128T085609Z.jpg</t>
  </si>
  <si>
    <t>9 Ангар пилорама\E33149364_1_20251128T085609Z.jpg</t>
  </si>
  <si>
    <t>пт 28.11.2025 — 08:56:09</t>
  </si>
  <si>
    <t>E33149364_1_20251128T090121Z.jpg</t>
  </si>
  <si>
    <t>9 Ангар пилорама\E33149364_1_20251128T090121Z.jpg</t>
  </si>
  <si>
    <t>пт 28.11.2025 — 09:01:21</t>
  </si>
  <si>
    <t>E33149364_1_20251128T145458Z.jpg</t>
  </si>
  <si>
    <t>9 Ангар пилорама\E33149364_1_20251128T145458Z.jpg</t>
  </si>
  <si>
    <t>пт 28.11.2025 — 14:54:58</t>
  </si>
  <si>
    <t>E33149364_1_20251129T153321Z.jpg</t>
  </si>
  <si>
    <t>9 Ангар пилорама\E33149364_1_20251129T153321Z.jpg</t>
  </si>
  <si>
    <t>сб 29.11.2025 — 15:33:21</t>
  </si>
  <si>
    <t>E33149364_3_20251124T093938Z.jpg</t>
  </si>
  <si>
    <t>10 Сушилка навес\E33149364_3_20251124T093938Z.jpg</t>
  </si>
  <si>
    <t>пн 24.11.2025 — 09:39:38</t>
  </si>
  <si>
    <t>E33149364_3_20251124T102328Z.jpg</t>
  </si>
  <si>
    <t>10 Сушилка навес\E33149364_3_20251124T102328Z.jpg</t>
  </si>
  <si>
    <t>пн 24.11.2025 — 10:23:28</t>
  </si>
  <si>
    <t>E33149364_3_20251124T165607Z.jpg</t>
  </si>
  <si>
    <t>10 Сушилка навес\E33149364_3_20251124T165607Z.jpg</t>
  </si>
  <si>
    <t>пн 24.11.2025 — 16:56:07</t>
  </si>
  <si>
    <t>E33149364_3_20251124T174413Z.jpg</t>
  </si>
  <si>
    <t>10 Сушилка навес\E33149364_3_20251124T174413Z.jpg</t>
  </si>
  <si>
    <t>пн 24.11.2025 — 17:44:13</t>
  </si>
  <si>
    <t>E33149364_3_20251124T175105Z.jpg</t>
  </si>
  <si>
    <t>10 Сушилка навес\E33149364_3_20251124T175105Z.jpg</t>
  </si>
  <si>
    <t>пн 24.11.2025 — 17:51:05</t>
  </si>
  <si>
    <t>E33149364_3_20251124T180846Z.jpg</t>
  </si>
  <si>
    <t>10 Сушилка навес\E33149364_3_20251124T180846Z.jpg</t>
  </si>
  <si>
    <t>пн 24.11.2025 — 18:08:46</t>
  </si>
  <si>
    <t>E33149364_3_20251125T090445Z.jpg</t>
  </si>
  <si>
    <t>10 Сушилка навес\E33149364_3_20251125T090445Z.jpg</t>
  </si>
  <si>
    <t>вт 25.11.2025 — 09:04:45</t>
  </si>
  <si>
    <t>E33149364_3_20251125T091704Z.jpg</t>
  </si>
  <si>
    <t>10 Сушилка навес\E33149364_3_20251125T091704Z.jpg</t>
  </si>
  <si>
    <t>вт 25.11.2025 — 09:17:04</t>
  </si>
  <si>
    <t>E33149364_3_20251125T091836Z.jpg</t>
  </si>
  <si>
    <t>10 Сушилка навес\E33149364_3_20251125T091836Z.jpg</t>
  </si>
  <si>
    <t>вт 25.11.2025 — 09:18:36</t>
  </si>
  <si>
    <t>E33149364_3_20251125T092953Z.jpg</t>
  </si>
  <si>
    <t>10 Сушилка навес\E33149364_3_20251125T092953Z.jpg</t>
  </si>
  <si>
    <t>вт 25.11.2025 — 09:29:53</t>
  </si>
  <si>
    <t>E33149364_3_20251125T094708Z.jpg</t>
  </si>
  <si>
    <t>10 Сушилка навес\E33149364_3_20251125T094708Z.jpg</t>
  </si>
  <si>
    <t>вт 25.11.2025 — 09:47:08</t>
  </si>
  <si>
    <t>E33149364_3_20251125T122853Z.jpg</t>
  </si>
  <si>
    <t>10 Сушилка навес\E33149364_3_20251125T122853Z.jpg</t>
  </si>
  <si>
    <t>вт 25.11.2025 — 12:28:53</t>
  </si>
  <si>
    <t>E33149364_3_20251125T142536Z.jpg</t>
  </si>
  <si>
    <t>10 Сушилка навес\E33149364_3_20251125T142536Z.jpg</t>
  </si>
  <si>
    <t>вт 25.11.2025 — 14:25:36</t>
  </si>
  <si>
    <t>E33149364_3_20251125T142716Z.jpg</t>
  </si>
  <si>
    <t>10 Сушилка навес\E33149364_3_20251125T142716Z.jpg</t>
  </si>
  <si>
    <t>вт 25.11.2025 — 14:27:16</t>
  </si>
  <si>
    <t>E33149364_3_20251125T143008Z.jpg</t>
  </si>
  <si>
    <t>10 Сушилка навес\E33149364_3_20251125T143008Z.jpg</t>
  </si>
  <si>
    <t>вт 25.11.2025 — 14:30:08</t>
  </si>
  <si>
    <t>E33149364_3_20251125T143437Z.jpg</t>
  </si>
  <si>
    <t>10 Сушилка навес\E33149364_3_20251125T143437Z.jpg</t>
  </si>
  <si>
    <t>вт 25.11.2025 — 14:34:37</t>
  </si>
  <si>
    <t>E33149364_3_20251125T144556Z.jpg</t>
  </si>
  <si>
    <t>10 Сушилка навес\E33149364_3_20251125T144556Z.jpg</t>
  </si>
  <si>
    <t>вт 25.11.2025 — 14:45:56</t>
  </si>
  <si>
    <t>E33149364_3_20251125T144606Z.jpg</t>
  </si>
  <si>
    <t>10 Сушилка навес\E33149364_3_20251125T144606Z.jpg</t>
  </si>
  <si>
    <t>вт 25.11.2025 — 14:46:06</t>
  </si>
  <si>
    <t>E33149364_3_20251125T144724Z.jpg</t>
  </si>
  <si>
    <t>10 Сушилка навес\E33149364_3_20251125T144724Z.jpg</t>
  </si>
  <si>
    <t>вт 25.11.2025 — 14:47:24</t>
  </si>
  <si>
    <t>E33149364_3_20251125T144801Z.jpg</t>
  </si>
  <si>
    <t>10 Сушилка навес\E33149364_3_20251125T144801Z.jpg</t>
  </si>
  <si>
    <t>вт 25.11.2025 — 14:48:01</t>
  </si>
  <si>
    <t>E33149364_3_20251125T150442Z.jpg</t>
  </si>
  <si>
    <t>10 Сушилка навес\E33149364_3_20251125T150442Z.jpg</t>
  </si>
  <si>
    <t>вт 25.11.2025 — 15:04:42</t>
  </si>
  <si>
    <t>E33149364_3_20251125T150457Z.jpg</t>
  </si>
  <si>
    <t>10 Сушилка навес\E33149364_3_20251125T150457Z.jpg</t>
  </si>
  <si>
    <t>вт 25.11.2025 — 15:04:57</t>
  </si>
  <si>
    <t>E33149364_3_20251125T150555Z.jpg</t>
  </si>
  <si>
    <t>10 Сушилка навес\E33149364_3_20251125T150555Z.jpg</t>
  </si>
  <si>
    <t>вт 25.11.2025 — 15:05:55</t>
  </si>
  <si>
    <t>E33149364_3_20251125T150656Z.jpg</t>
  </si>
  <si>
    <t>10 Сушилка навес\E33149364_3_20251125T150656Z.jpg</t>
  </si>
  <si>
    <t>вт 25.11.2025 — 15:06:56</t>
  </si>
  <si>
    <t>E33149364_3_20251125T150703Z.jpg</t>
  </si>
  <si>
    <t>10 Сушилка навес\E33149364_3_20251125T150703Z.jpg</t>
  </si>
  <si>
    <t>вт 25.11.2025 — 15:07:03</t>
  </si>
  <si>
    <t>E33149364_3_20251125T150719Z.jpg</t>
  </si>
  <si>
    <t>10 Сушилка навес\E33149364_3_20251125T150719Z.jpg</t>
  </si>
  <si>
    <t>вт 25.11.2025 — 15:07:19</t>
  </si>
  <si>
    <t>E33149364_3_20251125T150732Z.jpg</t>
  </si>
  <si>
    <t>10 Сушилка навес\E33149364_3_20251125T150732Z.jpg</t>
  </si>
  <si>
    <t>вт 25.11.2025 — 15:07:32</t>
  </si>
  <si>
    <t>E33149364_3_20251125T150759Z.jpg</t>
  </si>
  <si>
    <t>10 Сушилка навес\E33149364_3_20251125T150759Z.jpg</t>
  </si>
  <si>
    <t>вт 25.11.2025 — 15:07:59</t>
  </si>
  <si>
    <t>E33149364_3_20251125T150901Z.jpg</t>
  </si>
  <si>
    <t>10 Сушилка навес\E33149364_3_20251125T150901Z.jpg</t>
  </si>
  <si>
    <t>вт 25.11.2025 — 15:09:01</t>
  </si>
  <si>
    <t>E33149364_3_20251125T150950Z.jpg</t>
  </si>
  <si>
    <t>10 Сушилка навес\E33149364_3_20251125T150950Z.jpg</t>
  </si>
  <si>
    <t>вт 25.11.2025 — 15:09:50</t>
  </si>
  <si>
    <t>E33149364_3_20251125T151313Z.jpg</t>
  </si>
  <si>
    <t>10 Сушилка навес\E33149364_3_20251125T151313Z.jpg</t>
  </si>
  <si>
    <t>вт 25.11.2025 — 15:13:13</t>
  </si>
  <si>
    <t>E33149364_3_20251125T151531Z.jpg</t>
  </si>
  <si>
    <t>E33149364_3_20251126T102722Z.jpg</t>
  </si>
  <si>
    <t>10 Сушилка навес\E33149364_3_20251126T102722Z.jpg</t>
  </si>
  <si>
    <t>ср 26.11.2025 — 10:27:22</t>
  </si>
  <si>
    <t>E33149364_3_20251126T103635Z.jpg</t>
  </si>
  <si>
    <t>10 Сушилка навес\E33149364_3_20251126T103635Z.jpg</t>
  </si>
  <si>
    <t>ср 26.11.2025 — 10:36:35</t>
  </si>
  <si>
    <t>E33149364_3_20251126T103643Z.jpg</t>
  </si>
  <si>
    <t>10 Сушилка навес\E33149364_3_20251126T103643Z.jpg</t>
  </si>
  <si>
    <t>ср 26.11.2025 — 10:36:43</t>
  </si>
  <si>
    <t>E33149364_3_20251126T103652Z.jpg</t>
  </si>
  <si>
    <t>10 Сушилка навес\E33149364_3_20251126T103652Z.jpg</t>
  </si>
  <si>
    <t>ср 26.11.2025 — 10:36:52</t>
  </si>
  <si>
    <t>E33149364_3_20251126T103705Z.jpg</t>
  </si>
  <si>
    <t>10 Сушилка навес\E33149364_3_20251126T103705Z.jpg</t>
  </si>
  <si>
    <t>ср 26.11.2025 — 10:37:05</t>
  </si>
  <si>
    <t>E33149364_3_20251126T103717Z.jpg</t>
  </si>
  <si>
    <t>10 Сушилка навес\E33149364_3_20251126T103717Z.jpg</t>
  </si>
  <si>
    <t>ср 26.11.2025 — 10:37:17</t>
  </si>
  <si>
    <t>E33149364_3_20251126T103729Z.jpg</t>
  </si>
  <si>
    <t>10 Сушилка навес\E33149364_3_20251126T103729Z.jpg</t>
  </si>
  <si>
    <t>ср 26.11.2025 — 10:37:29</t>
  </si>
  <si>
    <t>E33149364_3_20251126T103742Z.jpg</t>
  </si>
  <si>
    <t>10 Сушилка навес\E33149364_3_20251126T103742Z.jpg</t>
  </si>
  <si>
    <t>ср 26.11.2025 — 10:37:42</t>
  </si>
  <si>
    <t>E33149364_3_20251126T103847Z.jpg</t>
  </si>
  <si>
    <t>10 Сушилка навес\E33149364_3_20251126T103847Z.jpg</t>
  </si>
  <si>
    <t>ср 26.11.2025 — 10:38:47</t>
  </si>
  <si>
    <t>E33149364_3_20251126T103858Z.jpg</t>
  </si>
  <si>
    <t>10 Сушилка навес\E33149364_3_20251126T103858Z.jpg</t>
  </si>
  <si>
    <t>ср 26.11.2025 — 10:38:58</t>
  </si>
  <si>
    <t>E33149364_3_20251126T104025Z.jpg</t>
  </si>
  <si>
    <t>10 Сушилка навес\E33149364_3_20251126T104025Z.jpg</t>
  </si>
  <si>
    <t>ср 26.11.2025 — 10:40:25</t>
  </si>
  <si>
    <t>E33149364_3_20251126T104044Z.jpg</t>
  </si>
  <si>
    <t>10 Сушилка навес\E33149364_3_20251126T104044Z.jpg</t>
  </si>
  <si>
    <t>ср 26.11.2025 — 10:40:44</t>
  </si>
  <si>
    <t>E33149364_3_20251126T104156Z.jpg</t>
  </si>
  <si>
    <t>10 Сушилка навес\E33149364_3_20251126T104156Z.jpg</t>
  </si>
  <si>
    <t>ср 26.11.2025 — 10:41:56</t>
  </si>
  <si>
    <t>E33149364_3_20251126T104242Z.jpg</t>
  </si>
  <si>
    <t>10 Сушилка навес\E33149364_3_20251126T104242Z.jpg</t>
  </si>
  <si>
    <t>ср 26.11.2025 — 10:42:42</t>
  </si>
  <si>
    <t>E33149364_3_20251126T104432Z.jpg</t>
  </si>
  <si>
    <t>10 Сушилка навес\E33149364_3_20251126T104432Z.jpg</t>
  </si>
  <si>
    <t>ср 26.11.2025 — 10:44:32</t>
  </si>
  <si>
    <t>E33149364_3_20251126T104439Z.jpg</t>
  </si>
  <si>
    <t>10 Сушилка навес\E33149364_3_20251126T104439Z.jpg</t>
  </si>
  <si>
    <t>ср 26.11.2025 — 10:44:39</t>
  </si>
  <si>
    <t>E33149364_3_20251126T104451Z.jpg</t>
  </si>
  <si>
    <t>10 Сушилка навес\E33149364_3_20251126T104451Z.jpg</t>
  </si>
  <si>
    <t>ср 26.11.2025 — 10:44:51</t>
  </si>
  <si>
    <t>E33149364_3_20251126T104849Z.jpg</t>
  </si>
  <si>
    <t>10 Сушилка навес\E33149364_3_20251126T104849Z.jpg</t>
  </si>
  <si>
    <t>ср 26.11.2025 — 10:48:49</t>
  </si>
  <si>
    <t>E33149364_3_20251126T105042Z.jpg</t>
  </si>
  <si>
    <t>10 Сушилка навес\E33149364_3_20251126T105042Z.jpg</t>
  </si>
  <si>
    <t>ср 26.11.2025 — 10:50:42</t>
  </si>
  <si>
    <t>E33149364_3_20251126T164750Z.jpg</t>
  </si>
  <si>
    <t>10 Сушилка навес\E33149364_3_20251126T164750Z.jpg</t>
  </si>
  <si>
    <t>ср 26.11.2025 — 16:47:50</t>
  </si>
  <si>
    <t>E33149364_3_20251128T085204Z.jpg</t>
  </si>
  <si>
    <t>10 Сушилка навес\E33149364_3_20251128T085204Z.jpg</t>
  </si>
  <si>
    <t>пт 28.11.2025 — 08:52:04</t>
  </si>
  <si>
    <t>E33149364_3_20251128T085339Z.jpg</t>
  </si>
  <si>
    <t>10 Сушилка навес\E33149364_3_20251128T085339Z.jpg</t>
  </si>
  <si>
    <t>пт 28.11.2025 — 08:53:39</t>
  </si>
  <si>
    <t>E33149364_3_20251128T090325Z.jpg</t>
  </si>
  <si>
    <t>10 Сушилка навес\E33149364_3_20251128T090325Z.jpg</t>
  </si>
  <si>
    <t>пт 28.11.2025 — 09:03:25</t>
  </si>
  <si>
    <t>E33149364_3_20251128T090346Z.jpg</t>
  </si>
  <si>
    <t>10 Сушилка навес\E33149364_3_20251128T090346Z.jpg</t>
  </si>
  <si>
    <t>пт 28.11.2025 — 09:03:46</t>
  </si>
  <si>
    <t>E33149364_3_20251128T112557Z.jpg</t>
  </si>
  <si>
    <t>10 Сушилка навес\E33149364_3_20251128T112557Z.jpg</t>
  </si>
  <si>
    <t>пт 28.11.2025 — 11:25:57</t>
  </si>
  <si>
    <t>E33149364_3_20251128T112607Z.jpg</t>
  </si>
  <si>
    <t>10 Сушилка навес\E33149364_3_20251128T112607Z.jpg</t>
  </si>
  <si>
    <t>пт 28.11.2025 — 11:26:07</t>
  </si>
  <si>
    <t>E33149364_3_20251128T140732Z.jpg</t>
  </si>
  <si>
    <t>10 Сушилка навес\E33149364_3_20251128T140732Z.jpg</t>
  </si>
  <si>
    <t>пт 28.11.2025 — 14:07:32</t>
  </si>
  <si>
    <t>E33149364_3_20251128T140740Z.jpg</t>
  </si>
  <si>
    <t>10 Сушилка навес\E33149364_3_20251128T140740Z.jpg</t>
  </si>
  <si>
    <t>пт 28.11.2025 — 14:07:40</t>
  </si>
  <si>
    <t>E33149364_3_20251128T141845Z.jpg</t>
  </si>
  <si>
    <t>10 Сушилка навес\E33149364_3_20251128T141845Z.jpg</t>
  </si>
  <si>
    <t>пт 28.11.2025 — 14:18:45</t>
  </si>
  <si>
    <t>E33149364_3_20251128T142325Z.jpg</t>
  </si>
  <si>
    <t>10 Сушилка навес\E33149364_3_20251128T142325Z.jpg</t>
  </si>
  <si>
    <t>пт 28.11.2025 — 14:23:25</t>
  </si>
  <si>
    <t>E33149364_3_20251128T151656Z.jpg</t>
  </si>
  <si>
    <t>10 Сушилка навес\E33149364_3_20251128T151656Z.jpg</t>
  </si>
  <si>
    <t>пт 28.11.2025 — 15:16:56</t>
  </si>
  <si>
    <t>E33149364_3_20251128T151703Z.jpg</t>
  </si>
  <si>
    <t>10 Сушилка навес\E33149364_3_20251128T151703Z.jpg</t>
  </si>
  <si>
    <t>пт 28.11.2025 — 15:17:03</t>
  </si>
  <si>
    <t>E33149364_3_20251128T152130Z.jpg</t>
  </si>
  <si>
    <t>10 Сушилка навес\E33149364_3_20251128T152130Z.jpg</t>
  </si>
  <si>
    <t>пт 28.11.2025 — 15:21:30</t>
  </si>
  <si>
    <t>E33149364_3_20251128T152603Z.jpg</t>
  </si>
  <si>
    <t>10 Сушилка навес\E33149364_3_20251128T152603Z.jpg</t>
  </si>
  <si>
    <t>пт 28.11.2025 — 15:26:03</t>
  </si>
  <si>
    <t>E33149364_3_20251128T163424Z.jpg</t>
  </si>
  <si>
    <t>10 Сушилка навес\E33149364_3_20251128T163424Z.jpg</t>
  </si>
  <si>
    <t>пт 28.11.2025 — 16:34:24</t>
  </si>
  <si>
    <t>E33149364_3_20251129T153410Z.jpg</t>
  </si>
  <si>
    <t>10 Сушилка навес\E33149364_3_20251129T153410Z.jpg</t>
  </si>
  <si>
    <t>сб 29.11.2025 — 15:34:10</t>
  </si>
  <si>
    <t>E33149364_4_20251124T165511Z.jpg</t>
  </si>
  <si>
    <t>11 С ангара на базу\E33149364_4_20251124T165511Z.jpg</t>
  </si>
  <si>
    <t>пн 24.11.2025 — 16:55:11</t>
  </si>
  <si>
    <t>E33149364_4_20251125T094413Z.jpg</t>
  </si>
  <si>
    <t>11 С ангара на базу\E33149364_4_20251125T094413Z.jpg</t>
  </si>
  <si>
    <t>вт 25.11.2025 — 09:44:13</t>
  </si>
  <si>
    <t>E33149364_4_20251125T094538Z.jpg</t>
  </si>
  <si>
    <t>11 С ангара на базу\E33149364_4_20251125T094538Z.jpg</t>
  </si>
  <si>
    <t>вт 25.11.2025 — 09:45:38</t>
  </si>
  <si>
    <t>E33149364_4_20251126T102713Z.jpg</t>
  </si>
  <si>
    <t>11 С ангара на базу\E33149364_4_20251126T102713Z.jpg</t>
  </si>
  <si>
    <t>ср 26.11.2025 — 10:27:13</t>
  </si>
  <si>
    <t>E33149364_4_20251126T102832Z.jpg</t>
  </si>
  <si>
    <t>11 С ангара на базу\E33149364_4_20251126T102832Z.jpg</t>
  </si>
  <si>
    <t>ср 26.11.2025 — 10:28:32</t>
  </si>
  <si>
    <t>E33149364_4_20251126T103142Z.jpg</t>
  </si>
  <si>
    <t>11 С ангара на базу\E33149364_4_20251126T103142Z.jpg</t>
  </si>
  <si>
    <t>ср 26.11.2025 — 10:31:42</t>
  </si>
  <si>
    <t>E33149364_4_20251126T103457Z.jpg</t>
  </si>
  <si>
    <t>11 С ангара на базу\E33149364_4_20251126T103457Z.jpg</t>
  </si>
  <si>
    <t>ср 26.11.2025 — 10:34:57</t>
  </si>
  <si>
    <t>E33149364_4_20251126T103546Z.jpg</t>
  </si>
  <si>
    <t>11 С ангара на базу\E33149364_4_20251126T103546Z.jpg</t>
  </si>
  <si>
    <t>ср 26.11.2025 — 10:35:46</t>
  </si>
  <si>
    <t>E33149364_4_20251126T104401Z.jpg</t>
  </si>
  <si>
    <t>11 С ангара на базу\E33149364_4_20251126T104401Z.jpg</t>
  </si>
  <si>
    <t>ср 26.11.2025 — 10:44:01</t>
  </si>
  <si>
    <t>E33149364_4_20251126T104549Z.jpg</t>
  </si>
  <si>
    <t>11 С ангара на базу\E33149364_4_20251126T104549Z.jpg</t>
  </si>
  <si>
    <t>ср 26.11.2025 — 10:45:49</t>
  </si>
  <si>
    <t>E33149364_4_20251126T104603Z.jpg</t>
  </si>
  <si>
    <t>11 С ангара на базу\E33149364_4_20251126T104603Z.jpg</t>
  </si>
  <si>
    <t>ср 26.11.2025 — 10:46:03</t>
  </si>
  <si>
    <t>E33149364_4_20251126T104715Z.jpg</t>
  </si>
  <si>
    <t>11 С ангара на базу\E33149364_4_20251126T104715Z.jpg</t>
  </si>
  <si>
    <t>ср 26.11.2025 — 10:47:15</t>
  </si>
  <si>
    <t>E33149364_4_20251127T164112Z.jpg</t>
  </si>
  <si>
    <t>11 С ангара на базу\E33149364_4_20251127T164112Z.jpg</t>
  </si>
  <si>
    <t>чт 27.11.2025 — 16:41:12</t>
  </si>
  <si>
    <t>E33149364_4_20251128T090437Z.jpg</t>
  </si>
  <si>
    <t>11 С ангара на базу\E33149364_4_20251128T090437Z.jpg</t>
  </si>
  <si>
    <t>пт 28.11.2025 — 09:04:37</t>
  </si>
  <si>
    <t>E33149364_4_20251128T141557Z.jpg</t>
  </si>
  <si>
    <t>11 С ангара на базу\E33149364_4_20251128T141557Z.jpg</t>
  </si>
  <si>
    <t>пт 28.11.2025 — 14:15:57</t>
  </si>
  <si>
    <t>E33149364_4_20251128T141610Z.jpg</t>
  </si>
  <si>
    <t>11 С ангара на базу\E33149364_4_20251128T141610Z.jpg</t>
  </si>
  <si>
    <t>пт 28.11.2025 — 14:16:10</t>
  </si>
  <si>
    <t>E33149364_4_20251128T141853Z.jpg</t>
  </si>
  <si>
    <t>11 С ангара на базу\E33149364_4_20251128T141853Z.jpg</t>
  </si>
  <si>
    <t>пт 28.11.2025 — 14:18:53</t>
  </si>
  <si>
    <t>E33149364_4_20251128T164644Z.jpg</t>
  </si>
  <si>
    <t>11 С ангара на базу\E33149364_4_20251128T164644Z.jpg</t>
  </si>
  <si>
    <t>пт 28.11.2025 — 16:46:44</t>
  </si>
  <si>
    <t>E33149364_4_20251129T091631Z.jpg</t>
  </si>
  <si>
    <t>11 С ангара на базу\E33149364_4_20251129T091631Z.jpg</t>
  </si>
  <si>
    <t>сб 29.11.2025 — 09:16:31</t>
  </si>
  <si>
    <t>K07156189_20_20251124T164912Z.jpg</t>
  </si>
  <si>
    <t>12 Площадка 3 кран\K07156189_20_20251124T164912Z.jpg</t>
  </si>
  <si>
    <t>пн 24.11.2025 — 16:49:12</t>
  </si>
  <si>
    <t>K07156189_20_20251125T093938Z.jpg</t>
  </si>
  <si>
    <t>12 Площадка 3 кран\K07156189_20_20251125T093938Z.jpg</t>
  </si>
  <si>
    <t>вт 25.11.2025 — 09:39:38</t>
  </si>
  <si>
    <t>K07156189_20_20251125T192328Z.jpg</t>
  </si>
  <si>
    <t>12 Площадка 3 кран\K07156189_20_20251125T192328Z.jpg</t>
  </si>
  <si>
    <t>вт 25.11.2025 — 19:23:28</t>
  </si>
  <si>
    <t>K07156189_20_20251126T095930Z.jpg</t>
  </si>
  <si>
    <t>12 Площадка 3 кран\K07156189_20_20251126T095930Z.jpg</t>
  </si>
  <si>
    <t>ср 26.11.2025 — 09:59:30</t>
  </si>
  <si>
    <t>K07156189_20_20251127T102316Z.jpg</t>
  </si>
  <si>
    <t>12 Площадка 3 кран\K07156189_20_20251127T102316Z.jpg</t>
  </si>
  <si>
    <t>чт 27.11.2025 — 10:23:16</t>
  </si>
  <si>
    <t>K07156189_20_20251127T112434Z.jpg</t>
  </si>
  <si>
    <t>12 Площадка 3 кран\K07156189_20_20251127T112434Z.jpg</t>
  </si>
  <si>
    <t>чт 27.11.2025 — 11:24:34</t>
  </si>
  <si>
    <t>K07156189_20_20251127T191128Z.jpg</t>
  </si>
  <si>
    <t>12 Площадка 3 кран\K07156189_20_20251127T191128Z.jpg</t>
  </si>
  <si>
    <t>чт 27.11.2025 — 19:11:28</t>
  </si>
  <si>
    <t>K07156189_20_20251128T092947Z.jpg</t>
  </si>
  <si>
    <t>12 Площадка 3 кран\K07156189_20_20251128T092947Z.jpg</t>
  </si>
  <si>
    <t>пт 28.11.2025 — 09:29:47</t>
  </si>
  <si>
    <t>K07156189_20_20251128T115341Z.jpg</t>
  </si>
  <si>
    <t>12 Площадка 3 кран\K07156189_20_20251128T115341Z.jpg</t>
  </si>
  <si>
    <t>пт 28.11.2025 — 11:53:41</t>
  </si>
  <si>
    <t>K07156189_20_20251128T152815Z.jpg</t>
  </si>
  <si>
    <t>12 Площадка 3 кран\K07156189_20_20251128T152815Z.jpg</t>
  </si>
  <si>
    <t>пт 28.11.2025 — 15:28:15</t>
  </si>
  <si>
    <t>K07156189_20_20251128T175753Z.jpg</t>
  </si>
  <si>
    <t>12 Площадка 3 кран\K07156189_20_20251128T175753Z.jpg</t>
  </si>
  <si>
    <t>пт 28.11.2025 — 17:57:53</t>
  </si>
  <si>
    <t>K07156189_20_20251128T185638Z.jpg</t>
  </si>
  <si>
    <t>12 Площадка 3 кран\K07156189_20_20251128T185638Z.jpg</t>
  </si>
  <si>
    <t>пт 28.11.2025 — 18:56:38</t>
  </si>
  <si>
    <t>K07156189_20_20251129T131125Z.jpg</t>
  </si>
  <si>
    <t>12 Площадка 3 кран\K07156189_20_20251129T131125Z.jpg</t>
  </si>
  <si>
    <t>сб 29.11.2025 — 13:11:25</t>
  </si>
  <si>
    <t>K07156189_23_20251124T180904Z.jpg</t>
  </si>
  <si>
    <t>13 Склад хол\K07156189_23_20251124T180904Z.jpg</t>
  </si>
  <si>
    <t>пн 24.11.2025 — 18:09:04</t>
  </si>
  <si>
    <t>K07156189_23_20251125T155617Z.jpg</t>
  </si>
  <si>
    <t>13 Склад хол\K07156189_23_20251125T155617Z.jpg</t>
  </si>
  <si>
    <t>вт 25.11.2025 — 15:56:17</t>
  </si>
  <si>
    <t>K07156189_23_20251126T085820Z.jpg</t>
  </si>
  <si>
    <t>13 Склад хол\K07156189_23_20251126T085820Z.jpg</t>
  </si>
  <si>
    <t>ср 26.11.2025 — 08:58:20</t>
  </si>
  <si>
    <t>K07156189_23_20251126T165038Z.jpg</t>
  </si>
  <si>
    <t>13 Склад хол\K07156189_23_20251126T165038Z.jpg</t>
  </si>
  <si>
    <t>ср 26.11.2025 — 16:50:38</t>
  </si>
  <si>
    <t>K07156189_23_20251127T122549Z.jpg</t>
  </si>
  <si>
    <t>13 Склад хол\K07156189_23_20251127T122549Z.jpg</t>
  </si>
  <si>
    <t>чт 27.11.2025 — 12:25:49</t>
  </si>
  <si>
    <t>K07156189_23_20251127T131951Z.jpg</t>
  </si>
  <si>
    <t>13 Склад хол\K07156189_23_20251127T131951Z.jpg</t>
  </si>
  <si>
    <t>чт 27.11.2025 — 13:19:51</t>
  </si>
  <si>
    <t>K07156189_23_20251129T094718Z.jpg</t>
  </si>
  <si>
    <t>13 Склад хол\K07156189_23_20251129T094718Z.jpg</t>
  </si>
  <si>
    <t>сб 29.11.2025 — 09:47:18</t>
  </si>
  <si>
    <t>K07156189_23_20251128T094718Z.jpg</t>
  </si>
  <si>
    <t>13 Склад хол\K07156189_23_20251128T094718Z.jpg</t>
  </si>
  <si>
    <t>пт 28.11.2025 — 09:47:18</t>
  </si>
  <si>
    <t>Задний ход, въезд на второстепенную дорогу</t>
  </si>
  <si>
    <t>Легковая белая</t>
  </si>
  <si>
    <t>Газель фургон, белая кабина, серый тент</t>
  </si>
  <si>
    <t>Газель фургон, голубая кабина, серый тент</t>
  </si>
  <si>
    <t>Оранжевый КАМАЗ лесовоз с краном</t>
  </si>
  <si>
    <t>Синий КАМАЗ бортовой с прицепом</t>
  </si>
  <si>
    <t>бревна сруба</t>
  </si>
  <si>
    <t>после загрузки убыл по дороге без камеры, поэтому повторно въезжает уже с грузом</t>
  </si>
  <si>
    <t xml:space="preserve">Проезд </t>
  </si>
  <si>
    <t>Строительство навеса</t>
  </si>
  <si>
    <t>Ангар</t>
  </si>
  <si>
    <t>Проезд, с территории</t>
  </si>
  <si>
    <t>Проезд, на територию</t>
  </si>
  <si>
    <t>багажник</t>
  </si>
  <si>
    <t>разгрузился на новой площадке около сушилки</t>
  </si>
  <si>
    <t>усиление стяжки груза</t>
  </si>
  <si>
    <t>826398429_1_20251125T154006Z.jpg</t>
  </si>
  <si>
    <t>6 Площадка 1 общага\826398429_1_20251125T154006Z.jpg</t>
  </si>
  <si>
    <t>вт 25.11.2025 — 15:40:06</t>
  </si>
  <si>
    <t>Разбор</t>
  </si>
  <si>
    <t>Сруб</t>
  </si>
  <si>
    <t>Бревна сруба</t>
  </si>
  <si>
    <t>Камера не работала</t>
  </si>
  <si>
    <t>K07156189_18_20251124T162831Z.jpg</t>
  </si>
  <si>
    <t>7 Площадка 2 бетонщики\K07156189_18_20251124T162831Z.jpg</t>
  </si>
  <si>
    <t>пн 24.11.2025 — 16:28:31</t>
  </si>
  <si>
    <t>Подготовка к загрузке</t>
  </si>
  <si>
    <t>Платформа для перевозки бревен</t>
  </si>
  <si>
    <t>уехал, как и прибыл, по дороге без камеры</t>
  </si>
  <si>
    <t>уехал по дороге без камеры</t>
  </si>
  <si>
    <t>Сотрудник и женщина</t>
  </si>
  <si>
    <t>Вывоз</t>
  </si>
  <si>
    <t>Женщина</t>
  </si>
  <si>
    <t>Перевоз</t>
  </si>
  <si>
    <t>на площадку около сушилки</t>
  </si>
  <si>
    <t>Расчистка территории</t>
  </si>
  <si>
    <t>Разгрузкаа</t>
  </si>
  <si>
    <t>Укладка в штабель</t>
  </si>
  <si>
    <t>Новая площадка</t>
  </si>
  <si>
    <t>предположительно разгруженные с газели базы</t>
  </si>
  <si>
    <t>никто не разгружает</t>
  </si>
  <si>
    <t>не видно что это</t>
  </si>
  <si>
    <t>Окончание загрузки</t>
  </si>
  <si>
    <t>красные доски</t>
  </si>
  <si>
    <t>убытие по дороге справа сушилки</t>
  </si>
  <si>
    <t>Окончание загрузки, убытие</t>
  </si>
  <si>
    <t>на новую площадку</t>
  </si>
  <si>
    <t>к левой стене ангара</t>
  </si>
  <si>
    <t>листы</t>
  </si>
  <si>
    <t>остатки с навеса окна приема бревен</t>
  </si>
  <si>
    <t>горбыль</t>
  </si>
  <si>
    <t>Проезд для выгрузки</t>
  </si>
  <si>
    <t>решетки</t>
  </si>
  <si>
    <t>выгружены с газели базы</t>
  </si>
  <si>
    <t>из штабля рядом</t>
  </si>
  <si>
    <t>с территории</t>
  </si>
  <si>
    <t>Ремонт/настройка</t>
  </si>
  <si>
    <t>кран</t>
  </si>
  <si>
    <t>сруб</t>
  </si>
  <si>
    <t>работа тракторов</t>
  </si>
  <si>
    <t>сотрудники, трактор</t>
  </si>
  <si>
    <t>возврат листов</t>
  </si>
  <si>
    <t>E33149364_6_20251130T170331Z.jpg</t>
  </si>
  <si>
    <t>1 Ангар Склад 2 въезд\E33149364_6_20251130T170331Z.jpg</t>
  </si>
  <si>
    <t>вс 30.11.2025 — 17:03:31</t>
  </si>
  <si>
    <t>E33149364_6_20251130T180906Z.jpg</t>
  </si>
  <si>
    <t>1 Ангар Склад 2 въезд\E33149364_6_20251130T180906Z.jpg</t>
  </si>
  <si>
    <t>вс 30.11.2025 — 18:09:06</t>
  </si>
  <si>
    <t>E33149364_7_20251130T114043Z.jpg</t>
  </si>
  <si>
    <t>2 Пилорама поката\E33149364_7_20251130T114043Z.jpg</t>
  </si>
  <si>
    <t>вс 30.11.2025 — 11:40:43</t>
  </si>
  <si>
    <t>E33149364_8_20251130T164529Z.jpg</t>
  </si>
  <si>
    <t>3 Въезд на базу\E33149364_8_20251130T164529Z.jpg</t>
  </si>
  <si>
    <t>вс 30.11.2025 — 16:45:29</t>
  </si>
  <si>
    <t>K07156189_21_20251130T170325Z.jpg</t>
  </si>
  <si>
    <t>4 Крыльцо офиса\K07156189_21_20251130T170325Z.jpg</t>
  </si>
  <si>
    <t>вс 30.11.2025 — 17:03:25</t>
  </si>
  <si>
    <t>K07156189_21_20251130T180935Z.jpg</t>
  </si>
  <si>
    <t>4 Крыльцо офиса\K07156189_21_20251130T180935Z.jpg</t>
  </si>
  <si>
    <t>вс 30.11.2025 — 18:09:35</t>
  </si>
  <si>
    <t>K07156189_22_20251130T164343Z.jpg</t>
  </si>
  <si>
    <t>5 Крыльцо общага\K07156189_22_20251130T164343Z.jpg</t>
  </si>
  <si>
    <t>вс 30.11.2025 — 16:43:43</t>
  </si>
  <si>
    <t>826398429_1_20251130T144934Z.jpg</t>
  </si>
  <si>
    <t>6 Площадка 1 общага\826398429_1_20251130T144934Z.jpg</t>
  </si>
  <si>
    <t>вс 30.11.2025 — 14:49:34</t>
  </si>
  <si>
    <t>K07156189_18_20251130T170439Z.jpg</t>
  </si>
  <si>
    <t>7 Площадка 2 бетонщики\K07156189_18_20251130T170439Z.jpg</t>
  </si>
  <si>
    <t>вс 30.11.2025 — 17:04:39</t>
  </si>
  <si>
    <t>E33149364_2_20251130T125624Z.jpg</t>
  </si>
  <si>
    <t>8 Рейсмус\E33149364_2_20251130T125624Z.jpg</t>
  </si>
  <si>
    <t>вс 30.11.2025 — 12:56:24</t>
  </si>
  <si>
    <t>E33149364_1_20251130T152647Z.jpg</t>
  </si>
  <si>
    <t>9 Ангар пилорама\E33149364_1_20251130T152647Z.jpg</t>
  </si>
  <si>
    <t>вс 30.11.2025 — 15:26:47</t>
  </si>
  <si>
    <t>E33149364_3_20251130T111823Z.jpg</t>
  </si>
  <si>
    <t>10 Сушилка навес\E33149364_3_20251130T111823Z.jpg</t>
  </si>
  <si>
    <t>вс 30.11.2025 — 11:18:23</t>
  </si>
  <si>
    <t>E33149364_4_20251130T155639Z.jpg</t>
  </si>
  <si>
    <t>11 С ангара на базу\E33149364_4_20251130T155639Z.jpg</t>
  </si>
  <si>
    <t>вс 30.11.2025 — 15:56:39</t>
  </si>
  <si>
    <t>K07156189_20_20251130T175449Z.jpg</t>
  </si>
  <si>
    <t>12 Площадка 3 кран\K07156189_20_20251130T175449Z.jpg</t>
  </si>
  <si>
    <t>вс 30.11.2025 — 17:54:49</t>
  </si>
  <si>
    <t>K07156189_23_20251130T094718Z.jpg</t>
  </si>
  <si>
    <t>13 Склад хол\K07156189_23_20251130T094718Z.jpg</t>
  </si>
  <si>
    <t>вс 30.11.2025 — 09:47:18</t>
  </si>
  <si>
    <t>Проезд влево, около площадки</t>
  </si>
  <si>
    <t>нет записей</t>
  </si>
  <si>
    <t>E33149364_7_20251201T094219Z.jpg</t>
  </si>
  <si>
    <t>2 Пилорама поката\E33149364_7_20251201T094219Z.jpg</t>
  </si>
  <si>
    <t>пн 01.12.2025 — 09:42:19</t>
  </si>
  <si>
    <t>E33149364_7_20251201T095608Z.jpg</t>
  </si>
  <si>
    <t>2 Пилорама поката\E33149364_7_20251201T095608Z.jpg</t>
  </si>
  <si>
    <t>пн 01.12.2025 — 09:56:08</t>
  </si>
  <si>
    <t>E33149364_7_20251201T101916Z.jpg</t>
  </si>
  <si>
    <t>2 Пилорама поката\E33149364_7_20251201T101916Z.jpg</t>
  </si>
  <si>
    <t>пн 01.12.2025 — 10:19:16</t>
  </si>
  <si>
    <t>E33149364_7_20251201T103614Z.jpg</t>
  </si>
  <si>
    <t>2 Пилорама поката\E33149364_7_20251201T103614Z.jpg</t>
  </si>
  <si>
    <t>пн 01.12.2025 — 10:36:14</t>
  </si>
  <si>
    <t>E33149364_7_20251201T103644Z.jpg</t>
  </si>
  <si>
    <t>2 Пилорама поката\E33149364_7_20251201T103644Z.jpg</t>
  </si>
  <si>
    <t>пн 01.12.2025 — 10:36:44</t>
  </si>
  <si>
    <t>E33149364_7_20251201T114905Z.jpg</t>
  </si>
  <si>
    <t>2 Пилорама поката\E33149364_7_20251201T114905Z.jpg</t>
  </si>
  <si>
    <t>пн 01.12.2025 — 11:49:05</t>
  </si>
  <si>
    <t>пн 01.12.2025 — 11:49:15</t>
  </si>
  <si>
    <t>E33149364_7_20251201T115011Z.jpg</t>
  </si>
  <si>
    <t>2 Пилорама поката\E33149364_7_20251201T115011Z.jpg</t>
  </si>
  <si>
    <t>пн 01.12.2025 — 11:50:11</t>
  </si>
  <si>
    <t>E33149364_7_20251201T120029Z.jpg</t>
  </si>
  <si>
    <t>2 Пилорама поката\E33149364_7_20251201T120029Z.jpg</t>
  </si>
  <si>
    <t>пн 01.12.2025 — 12:00:29</t>
  </si>
  <si>
    <t>E33149364_7_20251201T120637Z.jpg</t>
  </si>
  <si>
    <t>2 Пилорама поката\E33149364_7_20251201T120637Z.jpg</t>
  </si>
  <si>
    <t>пн 01.12.2025 — 12:06:37</t>
  </si>
  <si>
    <t>E33149364_7_20251201T121541Z.jpg</t>
  </si>
  <si>
    <t>2 Пилорама поката\E33149364_7_20251201T121541Z.jpg</t>
  </si>
  <si>
    <t>пн 01.12.2025 — 12:15:41</t>
  </si>
  <si>
    <t>E33149364_7_20251201T143904Z.jpg</t>
  </si>
  <si>
    <t>2 Пилорама поката\E33149364_7_20251201T143904Z.jpg</t>
  </si>
  <si>
    <t>пн 01.12.2025 — 14:39:04</t>
  </si>
  <si>
    <t>E33149364_7_20251201T145103Z.jpg</t>
  </si>
  <si>
    <t>2 Пилорама поката\E33149364_7_20251201T145103Z.jpg</t>
  </si>
  <si>
    <t>пн 01.12.2025 — 14:51:03</t>
  </si>
  <si>
    <t>E33149364_7_20251201T152628Z.jpg</t>
  </si>
  <si>
    <t>2 Пилорама поката\E33149364_7_20251201T152628Z.jpg</t>
  </si>
  <si>
    <t>пн 01.12.2025 — 15:26:28</t>
  </si>
  <si>
    <t>E33149364_7_20251202T094919Z.jpg</t>
  </si>
  <si>
    <t>2 Пилорама поката\E33149364_7_20251202T094919Z.jpg</t>
  </si>
  <si>
    <t>вт 02.12.2025 — 09:49:19</t>
  </si>
  <si>
    <t>E33149364_7_20251202T123722Z.jpg</t>
  </si>
  <si>
    <t>2 Пилорама поката\E33149364_7_20251202T123722Z.jpg</t>
  </si>
  <si>
    <t>вт 02.12.2025 — 12:37:22</t>
  </si>
  <si>
    <t>E33149364_7_20251202T151328Z.jpg</t>
  </si>
  <si>
    <t>2 Пилорама поката\E33149364_7_20251202T151328Z.jpg</t>
  </si>
  <si>
    <t>вт 02.12.2025 — 15:13:28</t>
  </si>
  <si>
    <t>E33149364_7_20251202T153035Z.jpg</t>
  </si>
  <si>
    <t>2 Пилорама поката\E33149364_7_20251202T153035Z.jpg</t>
  </si>
  <si>
    <t>вт 02.12.2025 — 15:30:35</t>
  </si>
  <si>
    <t>E33149364_7_20251202T154951Z.jpg</t>
  </si>
  <si>
    <t>2 Пилорама поката\E33149364_7_20251202T154951Z.jpg</t>
  </si>
  <si>
    <t>вт 02.12.2025 — 15:49:51</t>
  </si>
  <si>
    <t>E33149364_7_20251202T155009Z.jpg</t>
  </si>
  <si>
    <t>2 Пилорама поката\E33149364_7_20251202T155009Z.jpg</t>
  </si>
  <si>
    <t>вт 02.12.2025 — 15:50:09</t>
  </si>
  <si>
    <t>E33149364_7_20251203T090606Z.jpg</t>
  </si>
  <si>
    <t>2 Пилорама поката\E33149364_7_20251203T090606Z.jpg</t>
  </si>
  <si>
    <t>ср 03.12.2025 — 09:06:06</t>
  </si>
  <si>
    <t>E33149364_7_20251203T094126Z.jpg</t>
  </si>
  <si>
    <t>2 Пилорама поката\E33149364_7_20251203T094126Z.jpg</t>
  </si>
  <si>
    <t>ср 03.12.2025 — 09:41:26</t>
  </si>
  <si>
    <t>E33149364_7_20251203T103352Z.jpg</t>
  </si>
  <si>
    <t>2 Пилорама поката\E33149364_7_20251203T103352Z.jpg</t>
  </si>
  <si>
    <t>ср 03.12.2025 — 10:33:52</t>
  </si>
  <si>
    <t>E33149364_7_20251203T122910Z.jpg</t>
  </si>
  <si>
    <t>2 Пилорама поката\E33149364_7_20251203T122910Z.jpg</t>
  </si>
  <si>
    <t>ср 03.12.2025 — 12:29:10</t>
  </si>
  <si>
    <t>E33149364_7_20251203T124101Z.jpg</t>
  </si>
  <si>
    <t>2 Пилорама поката\E33149364_7_20251203T124101Z.jpg</t>
  </si>
  <si>
    <t>ср 03.12.2025 — 12:41:01</t>
  </si>
  <si>
    <t>E33149364_7_20251204T154504Z.jpg</t>
  </si>
  <si>
    <t>2 Пилорама поката\E33149364_7_20251204T154504Z.jpg</t>
  </si>
  <si>
    <t>чт 04.12.2025 — 15:45:04</t>
  </si>
  <si>
    <t>E33149364_7_20251204T155726Z.jpg</t>
  </si>
  <si>
    <t>2 Пилорама поката\E33149364_7_20251204T155726Z.jpg</t>
  </si>
  <si>
    <t>чт 04.12.2025 — 15:57:26</t>
  </si>
  <si>
    <t>E33149364_7_20251205T092114Z.jpg</t>
  </si>
  <si>
    <t>2 Пилорама поката\E33149364_7_20251205T092114Z.jpg</t>
  </si>
  <si>
    <t>пт 05.12.2025 — 09:21:14</t>
  </si>
  <si>
    <t>E33149364_7_20251205T092138Z.jpg</t>
  </si>
  <si>
    <t>2 Пилорама поката\E33149364_7_20251205T092138Z.jpg</t>
  </si>
  <si>
    <t>пт 05.12.2025 — 09:21:38</t>
  </si>
  <si>
    <t>E33149364_7_20251205T122442Z.jpg</t>
  </si>
  <si>
    <t>2 Пилорама поката\E33149364_7_20251205T122442Z.jpg</t>
  </si>
  <si>
    <t>пт 05.12.2025 — 12:24:42</t>
  </si>
  <si>
    <t>E33149364_7_20251205T123351Z.jpg</t>
  </si>
  <si>
    <t>2 Пилорама поката\E33149364_7_20251205T123351Z.jpg</t>
  </si>
  <si>
    <t>пт 05.12.2025 — 12:33:51</t>
  </si>
  <si>
    <t>E33149364_7_20251205T142512Z.jpg</t>
  </si>
  <si>
    <t>2 Пилорама поката\E33149364_7_20251205T142512Z.jpg</t>
  </si>
  <si>
    <t>пт 05.12.2025 — 14:25:12</t>
  </si>
  <si>
    <t>E33149364_7_20251205T143549Z.jpg</t>
  </si>
  <si>
    <t>2 Пилорама поката\E33149364_7_20251205T143549Z.jpg</t>
  </si>
  <si>
    <t>пт 05.12.2025 — 14:35:49</t>
  </si>
  <si>
    <t>E33149364_7_20251205T144527Z.jpg</t>
  </si>
  <si>
    <t>2 Пилорама поката\E33149364_7_20251205T144527Z.jpg</t>
  </si>
  <si>
    <t>пт 05.12.2025 — 14:45:27</t>
  </si>
  <si>
    <t>E33149364_7_20251206T121931Z.jpg</t>
  </si>
  <si>
    <t>2 Пилорама поката\E33149364_7_20251206T121931Z.jpg</t>
  </si>
  <si>
    <t>сб 06.12.2025 — 12:19:31</t>
  </si>
  <si>
    <t>E33149364_6_20251201T204942Z.jpg</t>
  </si>
  <si>
    <t>1 Ангар Склад 2 въезд\E33149364_6_20251201T204942Z.jpg</t>
  </si>
  <si>
    <t>пн 01.12.2025 — 20:49:42</t>
  </si>
  <si>
    <t>E33149364_6_20251201T205709Z.jpg</t>
  </si>
  <si>
    <t>1 Ангар Склад 2 въезд\E33149364_6_20251201T205709Z.jpg</t>
  </si>
  <si>
    <t>пн 01.12.2025 — 20:57:09</t>
  </si>
  <si>
    <t>E33149364_6_20251202T083231Z.jpg</t>
  </si>
  <si>
    <t>1 Ангар Склад 2 въезд\E33149364_6_20251202T083231Z.jpg</t>
  </si>
  <si>
    <t>вт 02.12.2025 — 08:32:31</t>
  </si>
  <si>
    <t>E33149364_6_20251202T083819Z.jpg</t>
  </si>
  <si>
    <t>1 Ангар Склад 2 въезд\E33149364_6_20251202T083819Z.jpg</t>
  </si>
  <si>
    <t>вт 02.12.2025 — 08:38:19</t>
  </si>
  <si>
    <t>E33149364_6_20251202T091243Z.jpg</t>
  </si>
  <si>
    <t>1 Ангар Склад 2 въезд\E33149364_6_20251202T091243Z.jpg</t>
  </si>
  <si>
    <t>вт 02.12.2025 — 09:12:43</t>
  </si>
  <si>
    <t>E33149364_6_20251202T094908Z.jpg</t>
  </si>
  <si>
    <t>1 Ангар Склад 2 въезд\E33149364_6_20251202T094908Z.jpg</t>
  </si>
  <si>
    <t>вт 02.12.2025 — 09:49:08</t>
  </si>
  <si>
    <t>E33149364_6_20251203T162423Z.jpg</t>
  </si>
  <si>
    <t>1 Ангар Склад 2 въезд\E33149364_6_20251203T162423Z.jpg</t>
  </si>
  <si>
    <t>ср 03.12.2025 — 16:24:23</t>
  </si>
  <si>
    <t>E33149364_6_20251204T084335Z.jpg</t>
  </si>
  <si>
    <t>1 Ангар Склад 2 въезд\E33149364_6_20251204T084335Z.jpg</t>
  </si>
  <si>
    <t>чт 04.12.2025 — 08:43:35</t>
  </si>
  <si>
    <t>E33149364_6_20251204T091304Z.jpg</t>
  </si>
  <si>
    <t>1 Ангар Склад 2 въезд\E33149364_6_20251204T091304Z.jpg</t>
  </si>
  <si>
    <t>чт 04.12.2025 — 09:13:04</t>
  </si>
  <si>
    <t>E33149364_6_20251204T124548Z.jpg</t>
  </si>
  <si>
    <t>1 Ангар Склад 2 въезд\E33149364_6_20251204T124548Z.jpg</t>
  </si>
  <si>
    <t>чт 04.12.2025 — 12:45:48</t>
  </si>
  <si>
    <t>E33149364_6_20251204T131751Z.jpg</t>
  </si>
  <si>
    <t>1 Ангар Склад 2 въезд\E33149364_6_20251204T131751Z.jpg</t>
  </si>
  <si>
    <t>чт 04.12.2025 — 13:17:51</t>
  </si>
  <si>
    <t>E33149364_6_20251205T105217Z.jpg</t>
  </si>
  <si>
    <t>1 Ангар Склад 2 въезд\E33149364_6_20251205T105217Z.jpg</t>
  </si>
  <si>
    <t>пт 05.12.2025 — 10:52:17</t>
  </si>
  <si>
    <t>E33149364_6_20251205T135240Z.jpg</t>
  </si>
  <si>
    <t>1 Ангар Склад 2 въезд\E33149364_6_20251205T135240Z.jpg</t>
  </si>
  <si>
    <t>пт 05.12.2025 — 13:52:40</t>
  </si>
  <si>
    <t>E33149364_6_20251205T135439Z.jpg</t>
  </si>
  <si>
    <t>1 Ангар Склад 2 въезд\E33149364_6_20251205T135439Z.jpg</t>
  </si>
  <si>
    <t>пт 05.12.2025 — 13:54:39</t>
  </si>
  <si>
    <t>E33149364_6_20251205T143340Z.jpg</t>
  </si>
  <si>
    <t>1 Ангар Склад 2 въезд\E33149364_6_20251205T143340Z.jpg</t>
  </si>
  <si>
    <t>пт 05.12.2025 — 14:33:40</t>
  </si>
  <si>
    <t>E33149364_6_20251206T160009Z.jpg</t>
  </si>
  <si>
    <t>1 Ангар Склад 2 въезд\E33149364_6_20251206T160009Z.jpg</t>
  </si>
  <si>
    <t>сб 06.12.2025 — 16:00:09</t>
  </si>
  <si>
    <t>K07156189_21_20251201T205235Z.jpg</t>
  </si>
  <si>
    <t>4 Крыльцо офиса\K07156189_21_20251201T205235Z.jpg</t>
  </si>
  <si>
    <t>пн 01.12.2025 — 20:52:35</t>
  </si>
  <si>
    <t>K07156189_21_20251201T205254Z.jpg</t>
  </si>
  <si>
    <t>4 Крыльцо офиса\K07156189_21_20251201T205254Z.jpg</t>
  </si>
  <si>
    <t>пн 01.12.2025 — 20:52:54</t>
  </si>
  <si>
    <t>K07156189_21_20251201T205653Z.jpg</t>
  </si>
  <si>
    <t>4 Крыльцо офиса\K07156189_21_20251201T205653Z.jpg</t>
  </si>
  <si>
    <t>пн 01.12.2025 — 20:56:53</t>
  </si>
  <si>
    <t>K07156189_21_20251202T083647Z.jpg</t>
  </si>
  <si>
    <t>4 Крыльцо офиса\K07156189_21_20251202T083647Z.jpg</t>
  </si>
  <si>
    <t>вт 02.12.2025 — 08:36:47</t>
  </si>
  <si>
    <t>K07156189_21_20251202T092330Z.jpg</t>
  </si>
  <si>
    <t>4 Крыльцо офиса\K07156189_21_20251202T092330Z.jpg</t>
  </si>
  <si>
    <t>вт 02.12.2025 — 09:23:30</t>
  </si>
  <si>
    <t>K07156189_21_20251203T171705Z.jpg</t>
  </si>
  <si>
    <t>4 Крыльцо офиса\K07156189_21_20251203T171705Z.jpg</t>
  </si>
  <si>
    <t>ср 03.12.2025 — 17:17:05</t>
  </si>
  <si>
    <t>K07156189_21_20251204T090742Z.jpg</t>
  </si>
  <si>
    <t>4 Крыльцо офиса\K07156189_21_20251204T090742Z.jpg</t>
  </si>
  <si>
    <t>чт 04.12.2025 — 09:07:42</t>
  </si>
  <si>
    <t>K07156189_21_20251204T090752Z.jpg</t>
  </si>
  <si>
    <t>4 Крыльцо офиса\K07156189_21_20251204T090752Z.jpg</t>
  </si>
  <si>
    <t>чт 04.12.2025 — 09:07:52</t>
  </si>
  <si>
    <t>K07156189_21_20251204T090806Z.jpg</t>
  </si>
  <si>
    <t>4 Крыльцо офиса\K07156189_21_20251204T090806Z.jpg</t>
  </si>
  <si>
    <t>чт 04.12.2025 — 09:08:06</t>
  </si>
  <si>
    <t>K07156189_21_20251204T091131Z.jpg</t>
  </si>
  <si>
    <t>4 Крыльцо офиса\K07156189_21_20251204T091131Z.jpg</t>
  </si>
  <si>
    <t>чт 04.12.2025 — 09:11:31</t>
  </si>
  <si>
    <t>K07156189_21_20251204T091138Z.jpg</t>
  </si>
  <si>
    <t>4 Крыльцо офиса\K07156189_21_20251204T091138Z.jpg</t>
  </si>
  <si>
    <t>чт 04.12.2025 — 09:11:38</t>
  </si>
  <si>
    <t>K07156189_21_20251205T171635Z.jpg</t>
  </si>
  <si>
    <t>4 Крыльцо офиса\K07156189_21_20251205T171635Z.jpg</t>
  </si>
  <si>
    <t>пт 05.12.2025 — 17:16:35</t>
  </si>
  <si>
    <t>K07156189_21_20251206T155623Z.jpg</t>
  </si>
  <si>
    <t>4 Крыльцо офиса\K07156189_21_20251206T155623Z.jpg</t>
  </si>
  <si>
    <t>сб 06.12.2025 — 15:56:23</t>
  </si>
  <si>
    <t>K07156189_22_20251201T171327Z.jpg</t>
  </si>
  <si>
    <t>5 Крыльцо общага\K07156189_22_20251201T171327Z.jpg</t>
  </si>
  <si>
    <t>пн 01.12.2025 — 17:13:27</t>
  </si>
  <si>
    <t>K07156189_22_20251202T094630Z.jpg</t>
  </si>
  <si>
    <t>5 Крыльцо общага\K07156189_22_20251202T094630Z.jpg</t>
  </si>
  <si>
    <t>вт 02.12.2025 — 09:46:30</t>
  </si>
  <si>
    <t>K07156189_22_20251202T165509Z.jpg</t>
  </si>
  <si>
    <t>5 Крыльцо общага\K07156189_22_20251202T165509Z.jpg</t>
  </si>
  <si>
    <t>вт 02.12.2025 — 16:55:09</t>
  </si>
  <si>
    <t>K07156189_22_20251203T090222Z.jpg</t>
  </si>
  <si>
    <t>5 Крыльцо общага\K07156189_22_20251203T090222Z.jpg</t>
  </si>
  <si>
    <t>ср 03.12.2025 — 09:02:22</t>
  </si>
  <si>
    <t>K07156189_22_20251203T092932Z.jpg</t>
  </si>
  <si>
    <t>5 Крыльцо общага\K07156189_22_20251203T092932Z.jpg</t>
  </si>
  <si>
    <t>ср 03.12.2025 — 09:29:32</t>
  </si>
  <si>
    <t>K07156189_22_20251203T093943Z.jpg</t>
  </si>
  <si>
    <t>5 Крыльцо общага\K07156189_22_20251203T093943Z.jpg</t>
  </si>
  <si>
    <t>ср 03.12.2025 — 09:39:43</t>
  </si>
  <si>
    <t>K07156189_22_20251203T113252Z.jpg</t>
  </si>
  <si>
    <t>5 Крыльцо общага\K07156189_22_20251203T113252Z.jpg</t>
  </si>
  <si>
    <t>ср 03.12.2025 — 11:32:52</t>
  </si>
  <si>
    <t>K07156189_22_20251203T120234Z.jpg</t>
  </si>
  <si>
    <t>5 Крыльцо общага\K07156189_22_20251203T120234Z.jpg</t>
  </si>
  <si>
    <t>ср 03.12.2025 — 12:02:34</t>
  </si>
  <si>
    <t>K07156189_22_20251203T121522Z.jpg</t>
  </si>
  <si>
    <t>5 Крыльцо общага\K07156189_22_20251203T121522Z.jpg</t>
  </si>
  <si>
    <t>ср 03.12.2025 — 12:15:22</t>
  </si>
  <si>
    <t>K07156189_22_20251203T125630Z.jpg</t>
  </si>
  <si>
    <t>5 Крыльцо общага\K07156189_22_20251203T125630Z.jpg</t>
  </si>
  <si>
    <t>ср 03.12.2025 — 12:56:30</t>
  </si>
  <si>
    <t>K07156189_22_20251203T171220Z.jpg</t>
  </si>
  <si>
    <t>5 Крыльцо общага\K07156189_22_20251203T171220Z.jpg</t>
  </si>
  <si>
    <t>ср 03.12.2025 — 17:12:20</t>
  </si>
  <si>
    <t>K07156189_22_20251204T130031Z.jpg</t>
  </si>
  <si>
    <t>5 Крыльцо общага\K07156189_22_20251204T130031Z.jpg</t>
  </si>
  <si>
    <t>чт 04.12.2025 — 13:00:31</t>
  </si>
  <si>
    <t>K07156189_22_20251204T130128Z.jpg</t>
  </si>
  <si>
    <t>5 Крыльцо общага\K07156189_22_20251204T130128Z.jpg</t>
  </si>
  <si>
    <t>чт 04.12.2025 — 13:01:28</t>
  </si>
  <si>
    <t>K07156189_22_20251204T130306Z.jpg</t>
  </si>
  <si>
    <t>5 Крыльцо общага\K07156189_22_20251204T130306Z.jpg</t>
  </si>
  <si>
    <t>чт 04.12.2025 — 13:03:06</t>
  </si>
  <si>
    <t>K07156189_22_20251204T130337Z.jpg</t>
  </si>
  <si>
    <t>5 Крыльцо общага\K07156189_22_20251204T130337Z.jpg</t>
  </si>
  <si>
    <t>чт 04.12.2025 — 13:03:37</t>
  </si>
  <si>
    <t>K07156189_22_20251204T131629Z.jpg</t>
  </si>
  <si>
    <t>5 Крыльцо общага\K07156189_22_20251204T131629Z.jpg</t>
  </si>
  <si>
    <t>чт 04.12.2025 — 13:16:29</t>
  </si>
  <si>
    <t>K07156189_22_20251204T131721Z.jpg</t>
  </si>
  <si>
    <t>5 Крыльцо общага\K07156189_22_20251204T131721Z.jpg</t>
  </si>
  <si>
    <t>чт 04.12.2025 — 13:17:21</t>
  </si>
  <si>
    <t>K07156189_22_20251204T172217Z.jpg</t>
  </si>
  <si>
    <t>5 Крыльцо общага\K07156189_22_20251204T172217Z.jpg</t>
  </si>
  <si>
    <t>чт 04.12.2025 — 17:22:17</t>
  </si>
  <si>
    <t>K07156189_22_20251205T140021Z.jpg</t>
  </si>
  <si>
    <t>5 Крыльцо общага\K07156189_22_20251205T140021Z.jpg</t>
  </si>
  <si>
    <t>пт 05.12.2025 — 14:00:21</t>
  </si>
  <si>
    <t>K07156189_22_20251205T140734Z.jpg</t>
  </si>
  <si>
    <t>5 Крыльцо общага\K07156189_22_20251205T140734Z.jpg</t>
  </si>
  <si>
    <t>пт 05.12.2025 — 14:07:34</t>
  </si>
  <si>
    <t>K07156189_22_20251205T141749Z.jpg</t>
  </si>
  <si>
    <t>5 Крыльцо общага\K07156189_22_20251205T141749Z.jpg</t>
  </si>
  <si>
    <t>пт 05.12.2025 — 14:17:49</t>
  </si>
  <si>
    <t>K07156189_22_20251205T160535Z.jpg</t>
  </si>
  <si>
    <t>5 Крыльцо общага\K07156189_22_20251205T160535Z.jpg</t>
  </si>
  <si>
    <t>пт 05.12.2025 — 16:05:35</t>
  </si>
  <si>
    <t>K07156189_22_20251206T164429Z.jpg</t>
  </si>
  <si>
    <t>5 Крыльцо общага\K07156189_22_20251206T164429Z.jpg</t>
  </si>
  <si>
    <t>сб 06.12.2025 — 16:44:29</t>
  </si>
  <si>
    <t>E33149364_8_20251201T103424Z.jpg</t>
  </si>
  <si>
    <t>3 Въезд на базу\E33149364_8_20251201T103424Z.jpg</t>
  </si>
  <si>
    <t>пн 01.12.2025 — 10:34:24</t>
  </si>
  <si>
    <t>E33149364_8_20251201T205154Z.jpg</t>
  </si>
  <si>
    <t>3 Въезд на базу\E33149364_8_20251201T205154Z.jpg</t>
  </si>
  <si>
    <t>пн 01.12.2025 — 20:51:54</t>
  </si>
  <si>
    <t>E33149364_8_20251202T141514Z.jpg</t>
  </si>
  <si>
    <t>3 Въезд на базу\E33149364_8_20251202T141514Z.jpg</t>
  </si>
  <si>
    <t>вт 02.12.2025 — 14:15:14</t>
  </si>
  <si>
    <t>E33149364_8_20251203T150957Z.jpg</t>
  </si>
  <si>
    <t>3 Въезд на базу\E33149364_8_20251203T150957Z.jpg</t>
  </si>
  <si>
    <t>ср 03.12.2025 — 15:09:57</t>
  </si>
  <si>
    <t>E33149364_8_20251205T142318Z.jpg</t>
  </si>
  <si>
    <t>3 Въезд на базу\E33149364_8_20251205T142318Z.jpg</t>
  </si>
  <si>
    <t>пт 05.12.2025 — 14:23:18</t>
  </si>
  <si>
    <t>E33149364_8_20251206T154538Z.jpg</t>
  </si>
  <si>
    <t>3 Въезд на базу\E33149364_8_20251206T154538Z.jpg</t>
  </si>
  <si>
    <t>сб 06.12.2025 — 15:45:38</t>
  </si>
  <si>
    <t>826398429_1_20251202T150317Z.jpg</t>
  </si>
  <si>
    <t>6 Площадка 1 общага\826398429_1_20251202T150317Z.jpg</t>
  </si>
  <si>
    <t>вт 02.12.2025 — 15:03:17</t>
  </si>
  <si>
    <t>826398429_1_20251203T095843Z.jpg</t>
  </si>
  <si>
    <t>6 Площадка 1 общага\826398429_1_20251203T095843Z.jpg</t>
  </si>
  <si>
    <t>ср 03.12.2025 — 09:58:43</t>
  </si>
  <si>
    <t>826398429_1_20251203T100054Z.jpg</t>
  </si>
  <si>
    <t>6 Площадка 1 общага\826398429_1_20251203T100054Z.jpg</t>
  </si>
  <si>
    <t>ср 03.12.2025 — 10:00:54</t>
  </si>
  <si>
    <t>826398429_1_20251203T145355Z.jpg</t>
  </si>
  <si>
    <t>6 Площадка 1 общага\826398429_1_20251203T145355Z.jpg</t>
  </si>
  <si>
    <t>ср 03.12.2025 — 14:53:55</t>
  </si>
  <si>
    <t>826398429_1_20251203T163118Z.jpg</t>
  </si>
  <si>
    <t>6 Площадка 1 общага\826398429_1_20251203T163118Z.jpg</t>
  </si>
  <si>
    <t>ср 03.12.2025 — 16:31:18</t>
  </si>
  <si>
    <t>826398429_1_20251204T090614Z.jpg</t>
  </si>
  <si>
    <t>6 Площадка 1 общага\826398429_1_20251204T090614Z.jpg</t>
  </si>
  <si>
    <t>чт 04.12.2025 — 09:06:14</t>
  </si>
  <si>
    <t>826398429_1_20251205T121656Z.jpg</t>
  </si>
  <si>
    <t>6 Площадка 1 общага\826398429_1_20251205T121656Z.jpg</t>
  </si>
  <si>
    <t>пт 05.12.2025 — 12:16:56</t>
  </si>
  <si>
    <t>826398429_1_20251206T154942Z.jpg</t>
  </si>
  <si>
    <t>6 Площадка 1 общага\826398429_1_20251206T154942Z.jpg</t>
  </si>
  <si>
    <t>сб 06.12.2025 — 15:49:42</t>
  </si>
  <si>
    <t>E33149364_2_20251201T120201Z.jpg</t>
  </si>
  <si>
    <t>8 Рейсмус\E33149364_2_20251201T120201Z.jpg</t>
  </si>
  <si>
    <t>пн 01.12.2025 — 12:02:01</t>
  </si>
  <si>
    <t>E33149364_2_20251201T155734Z.jpg</t>
  </si>
  <si>
    <t>8 Рейсмус\E33149364_2_20251201T155734Z.jpg</t>
  </si>
  <si>
    <t>пн 01.12.2025 — 15:57:34</t>
  </si>
  <si>
    <t>E33149364_2_20251201T192545Z.jpg</t>
  </si>
  <si>
    <t>8 Рейсмус\E33149364_2_20251201T192545Z.jpg</t>
  </si>
  <si>
    <t>пн 01.12.2025 — 19:25:45</t>
  </si>
  <si>
    <t>E33149364_2_20251202T115543Z.jpg</t>
  </si>
  <si>
    <t>8 Рейсмус\E33149364_2_20251202T115543Z.jpg</t>
  </si>
  <si>
    <t>вт 02.12.2025 — 11:55:43</t>
  </si>
  <si>
    <t>E33149364_2_20251203T150057Z.jpg</t>
  </si>
  <si>
    <t>8 Рейсмус\E33149364_2_20251203T150057Z.jpg</t>
  </si>
  <si>
    <t>ср 03.12.2025 — 15:00:57</t>
  </si>
  <si>
    <t>E33149364_2_20251204T222631Z.jpg</t>
  </si>
  <si>
    <t>8 Рейсмус\E33149364_2_20251204T222631Z.jpg</t>
  </si>
  <si>
    <t>чт 04.12.2025 — 22:26:31</t>
  </si>
  <si>
    <t>E33149364_2_20251204T223521Z.jpg</t>
  </si>
  <si>
    <t>8 Рейсмус\E33149364_2_20251204T223521Z.jpg</t>
  </si>
  <si>
    <t>чт 04.12.2025 — 22:35:21</t>
  </si>
  <si>
    <t>E33149364_2_20251205T091227Z.jpg</t>
  </si>
  <si>
    <t>8 Рейсмус\E33149364_2_20251205T091227Z.jpg</t>
  </si>
  <si>
    <t>пт 05.12.2025 — 09:12:27</t>
  </si>
  <si>
    <t>E33149364_2_20251206T104959Z.jpg</t>
  </si>
  <si>
    <t>8 Рейсмус\E33149364_2_20251206T104959Z.jpg</t>
  </si>
  <si>
    <t>сб 06.12.2025 — 10:49:59</t>
  </si>
  <si>
    <t>E33149364_1_20251201T102614Z.jpg</t>
  </si>
  <si>
    <t>9 Ангар пилорама\E33149364_1_20251201T102614Z.jpg</t>
  </si>
  <si>
    <t>пн 01.12.2025 — 10:26:14</t>
  </si>
  <si>
    <t>E33149364_1_20251201T123011Z.jpg</t>
  </si>
  <si>
    <t>9 Ангар пилорама\E33149364_1_20251201T123011Z.jpg</t>
  </si>
  <si>
    <t>пн 01.12.2025 — 12:30:11</t>
  </si>
  <si>
    <t>E33149364_1_20251201T144828Z.jpg</t>
  </si>
  <si>
    <t>9 Ангар пилорама\E33149364_1_20251201T144828Z.jpg</t>
  </si>
  <si>
    <t>пн 01.12.2025 — 14:48:28</t>
  </si>
  <si>
    <t>E33149364_1_20251201T150456Z.jpg</t>
  </si>
  <si>
    <t>9 Ангар пилорама\E33149364_1_20251201T150456Z.jpg</t>
  </si>
  <si>
    <t>пн 01.12.2025 — 15:04:56</t>
  </si>
  <si>
    <t>E33149364_1_20251201T152000Z.jpg</t>
  </si>
  <si>
    <t>9 Ангар пилорама\E33149364_1_20251201T152000Z.jpg</t>
  </si>
  <si>
    <t>пн 01.12.2025 — 15:20:00</t>
  </si>
  <si>
    <t>E33149364_1_20251201T152453Z.jpg</t>
  </si>
  <si>
    <t>9 Ангар пилорама\E33149364_1_20251201T152453Z.jpg</t>
  </si>
  <si>
    <t>пн 01.12.2025 — 15:24:53</t>
  </si>
  <si>
    <t>E33149364_1_20251201T153343Z.jpg</t>
  </si>
  <si>
    <t>9 Ангар пилорама\E33149364_1_20251201T153343Z.jpg</t>
  </si>
  <si>
    <t>пн 01.12.2025 — 15:33:43</t>
  </si>
  <si>
    <t>E33149364_1_20251201T154013Z.jpg</t>
  </si>
  <si>
    <t>9 Ангар пилорама\E33149364_1_20251201T154013Z.jpg</t>
  </si>
  <si>
    <t>пн 01.12.2025 — 15:40:13</t>
  </si>
  <si>
    <t>E33149364_1_20251201T155008Z.jpg</t>
  </si>
  <si>
    <t>9 Ангар пилорама\E33149364_1_20251201T155008Z.jpg</t>
  </si>
  <si>
    <t>пн 01.12.2025 — 15:50:08</t>
  </si>
  <si>
    <t>E33149364_1_20251201T163104Z.jpg</t>
  </si>
  <si>
    <t>9 Ангар пилорама\E33149364_1_20251201T163104Z.jpg</t>
  </si>
  <si>
    <t>пн 01.12.2025 — 16:31:04</t>
  </si>
  <si>
    <t>E33149364_1_20251201T192700Z.jpg</t>
  </si>
  <si>
    <t>9 Ангар пилорама\E33149364_1_20251201T192700Z.jpg</t>
  </si>
  <si>
    <t>пн 01.12.2025 — 19:27:00</t>
  </si>
  <si>
    <t>E33149364_1_20251201T210105Z.jpg</t>
  </si>
  <si>
    <t>9 Ангар пилорама\E33149364_1_20251201T210105Z.jpg</t>
  </si>
  <si>
    <t>пн 01.12.2025 — 21:01:05</t>
  </si>
  <si>
    <t>E33149364_1_20251201T222449Z.jpg</t>
  </si>
  <si>
    <t>9 Ангар пилорама\E33149364_1_20251201T222449Z.jpg</t>
  </si>
  <si>
    <t>пн 01.12.2025 — 22:24:49</t>
  </si>
  <si>
    <t>E33149364_1_20251202T004013Z.jpg</t>
  </si>
  <si>
    <t>9 Ангар пилорама\E33149364_1_20251202T004013Z.jpg</t>
  </si>
  <si>
    <t>вт 02.12.2025 — 00:40:13</t>
  </si>
  <si>
    <t>E33149364_1_20251202T065824Z.jpg</t>
  </si>
  <si>
    <t>9 Ангар пилорама\E33149364_1_20251202T065824Z.jpg</t>
  </si>
  <si>
    <t>вт 02.12.2025 — 06:58:24</t>
  </si>
  <si>
    <t>E33149364_1_20251202T083511Z.jpg</t>
  </si>
  <si>
    <t>9 Ангар пилорама\E33149364_1_20251202T083511Z.jpg</t>
  </si>
  <si>
    <t>вт 02.12.2025 — 08:35:11</t>
  </si>
  <si>
    <t>E33149364_1_20251202T085757Z.jpg</t>
  </si>
  <si>
    <t>9 Ангар пилорама\E33149364_1_20251202T085757Z.jpg</t>
  </si>
  <si>
    <t>вт 02.12.2025 — 08:57:57</t>
  </si>
  <si>
    <t>E33149364_1_20251202T094602Z.jpg</t>
  </si>
  <si>
    <t>9 Ангар пилорама\E33149364_1_20251202T094602Z.jpg</t>
  </si>
  <si>
    <t>вт 02.12.2025 — 09:46:02</t>
  </si>
  <si>
    <t>E33149364_1_20251202T105536Z.jpg</t>
  </si>
  <si>
    <t>9 Ангар пилорама\E33149364_1_20251202T105536Z.jpg</t>
  </si>
  <si>
    <t>вт 02.12.2025 — 10:55:36</t>
  </si>
  <si>
    <t>E33149364_1_20251202T114654Z.jpg</t>
  </si>
  <si>
    <t>9 Ангар пилорама\E33149364_1_20251202T114654Z.jpg</t>
  </si>
  <si>
    <t>вт 02.12.2025 — 11:46:54</t>
  </si>
  <si>
    <t>E33149364_1_20251202T124028Z.jpg</t>
  </si>
  <si>
    <t>9 Ангар пилорама\E33149364_1_20251202T124028Z.jpg</t>
  </si>
  <si>
    <t>вт 02.12.2025 — 12:40:28</t>
  </si>
  <si>
    <t>E33149364_1_20251202T151031Z.jpg</t>
  </si>
  <si>
    <t>9 Ангар пилорама\E33149364_1_20251202T151031Z.jpg</t>
  </si>
  <si>
    <t>вт 02.12.2025 — 15:10:31</t>
  </si>
  <si>
    <t>E33149364_1_20251202T154302Z.jpg</t>
  </si>
  <si>
    <t>9 Ангар пилорама\E33149364_1_20251202T154302Z.jpg</t>
  </si>
  <si>
    <t>вт 02.12.2025 — 15:43:02</t>
  </si>
  <si>
    <t>E33149364_1_20251202T162003Z.jpg</t>
  </si>
  <si>
    <t>9 Ангар пилорама\E33149364_1_20251202T162003Z.jpg</t>
  </si>
  <si>
    <t>вт 02.12.2025 — 16:20:03</t>
  </si>
  <si>
    <t>E33149364_1_20251202T204902Z.jpg</t>
  </si>
  <si>
    <t>9 Ангар пилорама\E33149364_1_20251202T204902Z.jpg</t>
  </si>
  <si>
    <t>вт 02.12.2025 — 20:49:02</t>
  </si>
  <si>
    <t>E33149364_1_20251202T213307Z.jpg</t>
  </si>
  <si>
    <t>9 Ангар пилорама\E33149364_1_20251202T213307Z.jpg</t>
  </si>
  <si>
    <t>вт 02.12.2025 — 21:33:07</t>
  </si>
  <si>
    <t>E33149364_1_20251202T222100Z.jpg</t>
  </si>
  <si>
    <t>9 Ангар пилорама\E33149364_1_20251202T222100Z.jpg</t>
  </si>
  <si>
    <t>вт 02.12.2025 — 22:21:00</t>
  </si>
  <si>
    <t>E33149364_1_20251202T224802Z.jpg</t>
  </si>
  <si>
    <t>9 Ангар пилорама\E33149364_1_20251202T224802Z.jpg</t>
  </si>
  <si>
    <t>вт 02.12.2025 — 22:48:02</t>
  </si>
  <si>
    <t>E33149364_1_20251203T055119Z.jpg</t>
  </si>
  <si>
    <t>9 Ангар пилорама\E33149364_1_20251203T055119Z.jpg</t>
  </si>
  <si>
    <t>ср 03.12.2025 — 05:51:19</t>
  </si>
  <si>
    <t>E33149364_1_20251203T071212Z.jpg</t>
  </si>
  <si>
    <t>9 Ангар пилорама\E33149364_1_20251203T071212Z.jpg</t>
  </si>
  <si>
    <t>ср 03.12.2025 — 07:12:12</t>
  </si>
  <si>
    <t>E33149364_1_20251203T091323Z.jpg</t>
  </si>
  <si>
    <t>9 Ангар пилорама\E33149364_1_20251203T091323Z.jpg</t>
  </si>
  <si>
    <t>ср 03.12.2025 — 09:13:23</t>
  </si>
  <si>
    <t>E33149364_1_20251203T113501Z.jpg</t>
  </si>
  <si>
    <t>9 Ангар пилорама\E33149364_1_20251203T113501Z.jpg</t>
  </si>
  <si>
    <t>ср 03.12.2025 — 11:35:01</t>
  </si>
  <si>
    <t>E33149364_1_20251203T142251Z.jpg</t>
  </si>
  <si>
    <t>9 Ангар пилорама\E33149364_1_20251203T142251Z.jpg</t>
  </si>
  <si>
    <t>ср 03.12.2025 — 14:22:51</t>
  </si>
  <si>
    <t>E33149364_1_20251203T155301Z.jpg</t>
  </si>
  <si>
    <t>9 Ангар пилорама\E33149364_1_20251203T155301Z.jpg</t>
  </si>
  <si>
    <t>ср 03.12.2025 — 15:53:01</t>
  </si>
  <si>
    <t>E33149364_1_20251203T155350Z.jpg</t>
  </si>
  <si>
    <t>9 Ангар пилорама\E33149364_1_20251203T155350Z.jpg</t>
  </si>
  <si>
    <t>ср 03.12.2025 — 15:53:50</t>
  </si>
  <si>
    <t>E33149364_1_20251203T193423Z.jpg</t>
  </si>
  <si>
    <t>9 Ангар пилорама\E33149364_1_20251203T193423Z.jpg</t>
  </si>
  <si>
    <t>ср 03.12.2025 — 19:34:23</t>
  </si>
  <si>
    <t>E33149364_1_20251203T202119Z.jpg</t>
  </si>
  <si>
    <t>9 Ангар пилорама\E33149364_1_20251203T202119Z.jpg</t>
  </si>
  <si>
    <t>ср 03.12.2025 — 20:21:19</t>
  </si>
  <si>
    <t>E33149364_1_20251203T204533Z.jpg</t>
  </si>
  <si>
    <t>9 Ангар пилорама\E33149364_1_20251203T204533Z.jpg</t>
  </si>
  <si>
    <t>ср 03.12.2025 — 20:45:33</t>
  </si>
  <si>
    <t>E33149364_1_20251203T213553Z.jpg</t>
  </si>
  <si>
    <t>9 Ангар пилорама\E33149364_1_20251203T213553Z.jpg</t>
  </si>
  <si>
    <t>ср 03.12.2025 — 21:35:53</t>
  </si>
  <si>
    <t>E33149364_1_20251203T231620Z.jpg</t>
  </si>
  <si>
    <t>9 Ангар пилорама\E33149364_1_20251203T231620Z.jpg</t>
  </si>
  <si>
    <t>ср 03.12.2025 — 23:16:20</t>
  </si>
  <si>
    <t>E33149364_1_20251204T061339Z.jpg</t>
  </si>
  <si>
    <t>9 Ангар пилорама\E33149364_1_20251204T061339Z.jpg</t>
  </si>
  <si>
    <t>чт 04.12.2025 — 06:13:39</t>
  </si>
  <si>
    <t>E33149364_1_20251204T095045Z.jpg</t>
  </si>
  <si>
    <t>9 Ангар пилорама\E33149364_1_20251204T095045Z.jpg</t>
  </si>
  <si>
    <t>чт 04.12.2025 — 09:50:45</t>
  </si>
  <si>
    <t>E33149364_1_20251204T122526Z.jpg</t>
  </si>
  <si>
    <t>9 Ангар пилорама\E33149364_1_20251204T122526Z.jpg</t>
  </si>
  <si>
    <t>чт 04.12.2025 — 12:25:26</t>
  </si>
  <si>
    <t>E33149364_1_20251204T154237Z.jpg</t>
  </si>
  <si>
    <t>9 Ангар пилорама\E33149364_1_20251204T154237Z.jpg</t>
  </si>
  <si>
    <t>чт 04.12.2025 — 15:42:37</t>
  </si>
  <si>
    <t>E33149364_1_20251204T155918Z.jpg</t>
  </si>
  <si>
    <t>9 Ангар пилорама\E33149364_1_20251204T155918Z.jpg</t>
  </si>
  <si>
    <t>чт 04.12.2025 — 15:59:18</t>
  </si>
  <si>
    <t>E33149364_1_20251204T162018Z.jpg</t>
  </si>
  <si>
    <t>9 Ангар пилорама\E33149364_1_20251204T162018Z.jpg</t>
  </si>
  <si>
    <t>чт 04.12.2025 — 16:20:18</t>
  </si>
  <si>
    <t>E33149364_1_20251204T162423Z.jpg</t>
  </si>
  <si>
    <t>9 Ангар пилорама\E33149364_1_20251204T162423Z.jpg</t>
  </si>
  <si>
    <t>чт 04.12.2025 — 16:24:23</t>
  </si>
  <si>
    <t>E33149364_1_20251204T213654Z.jpg</t>
  </si>
  <si>
    <t>9 Ангар пилорама\E33149364_1_20251204T213654Z.jpg</t>
  </si>
  <si>
    <t>чт 04.12.2025 — 21:36:54</t>
  </si>
  <si>
    <t>E33149364_1_20251204T220620Z.jpg</t>
  </si>
  <si>
    <t>9 Ангар пилорама\E33149364_1_20251204T220620Z.jpg</t>
  </si>
  <si>
    <t>чт 04.12.2025 — 22:06:20</t>
  </si>
  <si>
    <t>E33149364_1_20251205T065650Z.jpg</t>
  </si>
  <si>
    <t>9 Ангар пилорама\E33149364_1_20251205T065650Z.jpg</t>
  </si>
  <si>
    <t>пт 05.12.2025 — 06:56:50</t>
  </si>
  <si>
    <t>E33149364_1_20251205T071056Z.jpg</t>
  </si>
  <si>
    <t>9 Ангар пилорама\E33149364_1_20251205T071056Z.jpg</t>
  </si>
  <si>
    <t>пт 05.12.2025 — 07:10:56</t>
  </si>
  <si>
    <t>E33149364_1_20251205T074750Z.jpg</t>
  </si>
  <si>
    <t>9 Ангар пилорама\E33149364_1_20251205T074750Z.jpg</t>
  </si>
  <si>
    <t>пт 05.12.2025 — 07:47:50</t>
  </si>
  <si>
    <t>E33149364_1_20251205T092540Z.jpg</t>
  </si>
  <si>
    <t>9 Ангар пилорама\E33149364_1_20251205T092540Z.jpg</t>
  </si>
  <si>
    <t>пт 05.12.2025 — 09:25:40</t>
  </si>
  <si>
    <t>E33149364_1_20251205T093403Z.jpg</t>
  </si>
  <si>
    <t>9 Ангар пилорама\E33149364_1_20251205T093403Z.jpg</t>
  </si>
  <si>
    <t>пт 05.12.2025 — 09:34:03</t>
  </si>
  <si>
    <t>E33149364_1_20251205T112443Z.jpg</t>
  </si>
  <si>
    <t>9 Ангар пилорама\E33149364_1_20251205T112443Z.jpg</t>
  </si>
  <si>
    <t>пт 05.12.2025 — 11:24:43</t>
  </si>
  <si>
    <t>E33149364_1_20251205T145342Z.jpg</t>
  </si>
  <si>
    <t>9 Ангар пилорама\E33149364_1_20251205T145342Z.jpg</t>
  </si>
  <si>
    <t>пт 05.12.2025 — 14:53:42</t>
  </si>
  <si>
    <t>E33149364_1_20251205T205523Z.jpg</t>
  </si>
  <si>
    <t>9 Ангар пилорама\E33149364_1_20251205T205523Z.jpg</t>
  </si>
  <si>
    <t>пт 05.12.2025 — 20:55:23</t>
  </si>
  <si>
    <t>E33149364_1_20251205T213013Z.jpg</t>
  </si>
  <si>
    <t>9 Ангар пилорама\E33149364_1_20251205T213013Z.jpg</t>
  </si>
  <si>
    <t>пт 05.12.2025 — 21:30:13</t>
  </si>
  <si>
    <t>E33149364_1_20251205T235935Z.jpg</t>
  </si>
  <si>
    <t>9 Ангар пилорама\E33149364_1_20251205T235935Z.jpg</t>
  </si>
  <si>
    <t>пт 05.12.2025 — 23:59:35</t>
  </si>
  <si>
    <t>E33149364_1_20251206T110204Z.jpg</t>
  </si>
  <si>
    <t>9 Ангар пилорама\E33149364_1_20251206T110204Z.jpg</t>
  </si>
  <si>
    <t>сб 06.12.2025 — 11:02:04</t>
  </si>
  <si>
    <t>E33149364_1_20251206T152150Z.jpg</t>
  </si>
  <si>
    <t>9 Ангар пилорама\E33149364_1_20251206T152150Z.jpg</t>
  </si>
  <si>
    <t>сб 06.12.2025 — 15:21:50</t>
  </si>
  <si>
    <t>E33149364_1_20251206T160729Z.jpg</t>
  </si>
  <si>
    <t>9 Ангар пилорама\E33149364_1_20251206T160729Z.jpg</t>
  </si>
  <si>
    <t>сб 06.12.2025 — 16:07:29</t>
  </si>
  <si>
    <t>E33149364_1_20251206T164620Z.jpg</t>
  </si>
  <si>
    <t>9 Ангар пилорама\E33149364_1_20251206T164620Z.jpg</t>
  </si>
  <si>
    <t>сб 06.12.2025 — 16:46:20</t>
  </si>
  <si>
    <t>E33149364_1_20251206T171805Z.jpg</t>
  </si>
  <si>
    <t>9 Ангар пилорама\E33149364_1_20251206T171805Z.jpg</t>
  </si>
  <si>
    <t>сб 06.12.2025 — 17:18:05</t>
  </si>
  <si>
    <t>E33149364_1_20251206T190313Z.jpg</t>
  </si>
  <si>
    <t>9 Ангар пилорама\E33149364_1_20251206T190313Z.jpg</t>
  </si>
  <si>
    <t>сб 06.12.2025 — 19:03:13</t>
  </si>
  <si>
    <t>E33149364_1_20251206T193242Z.jpg</t>
  </si>
  <si>
    <t>9 Ангар пилорама\E33149364_1_20251206T193242Z.jpg</t>
  </si>
  <si>
    <t>сб 06.12.2025 — 19:32:42</t>
  </si>
  <si>
    <t>E33149364_1_20251206T203510Z.jpg</t>
  </si>
  <si>
    <t>9 Ангар пилорама\E33149364_1_20251206T203510Z.jpg</t>
  </si>
  <si>
    <t>сб 06.12.2025 — 20:35:10</t>
  </si>
  <si>
    <t>E33149364_1_20251206T210254Z.jpg</t>
  </si>
  <si>
    <t>9 Ангар пилорама\E33149364_1_20251206T210254Z.jpg</t>
  </si>
  <si>
    <t>сб 06.12.2025 — 21:02:54</t>
  </si>
  <si>
    <t>E33149364_3_20251201T150307Z.jpg</t>
  </si>
  <si>
    <t>10 Сушилка навес\E33149364_3_20251201T150307Z.jpg</t>
  </si>
  <si>
    <t>пн 01.12.2025 — 15:03:07</t>
  </si>
  <si>
    <t>E33149364_3_20251201T152144Z.jpg</t>
  </si>
  <si>
    <t>10 Сушилка навес\E33149364_3_20251201T152144Z.jpg</t>
  </si>
  <si>
    <t>пн 01.12.2025 — 15:21:44</t>
  </si>
  <si>
    <t>E33149364_3_20251202T093730Z.jpg</t>
  </si>
  <si>
    <t>10 Сушилка навес\E33149364_3_20251202T093730Z.jpg</t>
  </si>
  <si>
    <t>вт 02.12.2025 — 09:37:30</t>
  </si>
  <si>
    <t>E33149364_3_20251202T103857Z.jpg</t>
  </si>
  <si>
    <t>10 Сушилка навес\E33149364_3_20251202T103857Z.jpg</t>
  </si>
  <si>
    <t>вт 02.12.2025 — 10:38:57</t>
  </si>
  <si>
    <t>E33149364_3_20251202T150901Z.jpg</t>
  </si>
  <si>
    <t>10 Сушилка навес\E33149364_3_20251202T150901Z.jpg</t>
  </si>
  <si>
    <t>вт 02.12.2025 — 15:09:01</t>
  </si>
  <si>
    <t>E33149364_3_20251202T154408Z.jpg</t>
  </si>
  <si>
    <t>10 Сушилка навес\E33149364_3_20251202T154408Z.jpg</t>
  </si>
  <si>
    <t>вт 02.12.2025 — 15:44:08</t>
  </si>
  <si>
    <t>E33149364_3_20251202T154936Z.jpg</t>
  </si>
  <si>
    <t>10 Сушилка навес\E33149364_3_20251202T154936Z.jpg</t>
  </si>
  <si>
    <t>вт 02.12.2025 — 15:49:36</t>
  </si>
  <si>
    <t>E33149364_3_20251203T091612Z.jpg</t>
  </si>
  <si>
    <t>10 Сушилка навес\E33149364_3_20251203T091612Z.jpg</t>
  </si>
  <si>
    <t>ср 03.12.2025 — 09:16:12</t>
  </si>
  <si>
    <t>E33149364_3_20251203T092052Z.jpg</t>
  </si>
  <si>
    <t>10 Сушилка навес\E33149364_3_20251203T092052Z.jpg</t>
  </si>
  <si>
    <t>ср 03.12.2025 — 09:20:52</t>
  </si>
  <si>
    <t>E33149364_3_20251203T094840Z.jpg</t>
  </si>
  <si>
    <t>10 Сушилка навес\E33149364_3_20251203T094840Z.jpg</t>
  </si>
  <si>
    <t>ср 03.12.2025 — 09:48:40</t>
  </si>
  <si>
    <t>E33149364_3_20251203T160743Z.jpg</t>
  </si>
  <si>
    <t>10 Сушилка навес\E33149364_3_20251203T160743Z.jpg</t>
  </si>
  <si>
    <t>ср 03.12.2025 — 16:07:43</t>
  </si>
  <si>
    <t>E33149364_3_20251204T113203Z.jpg</t>
  </si>
  <si>
    <t>10 Сушилка навес\E33149364_3_20251204T113203Z.jpg</t>
  </si>
  <si>
    <t>чт 04.12.2025 — 11:32:03</t>
  </si>
  <si>
    <t>E33149364_3_20251204T161303Z.jpg</t>
  </si>
  <si>
    <t>10 Сушилка навес\E33149364_3_20251204T161303Z.jpg</t>
  </si>
  <si>
    <t>чт 04.12.2025 — 16:13:03</t>
  </si>
  <si>
    <t>E33149364_3_20251204T161331Z.jpg</t>
  </si>
  <si>
    <t>10 Сушилка навес\E33149364_3_20251204T161331Z.jpg</t>
  </si>
  <si>
    <t>чт 04.12.2025 — 16:13:31</t>
  </si>
  <si>
    <t>E33149364_3_20251204T162048Z.jpg</t>
  </si>
  <si>
    <t>10 Сушилка навес\E33149364_3_20251204T162048Z.jpg</t>
  </si>
  <si>
    <t>чт 04.12.2025 — 16:20:48</t>
  </si>
  <si>
    <t>E33149364_3_20251205T091616Z.jpg</t>
  </si>
  <si>
    <t>10 Сушилка навес\E33149364_3_20251205T091616Z.jpg</t>
  </si>
  <si>
    <t>пт 05.12.2025 — 09:16:16</t>
  </si>
  <si>
    <t>E33149364_3_20251205T093014Z.jpg</t>
  </si>
  <si>
    <t>10 Сушилка навес\E33149364_3_20251205T093014Z.jpg</t>
  </si>
  <si>
    <t>пт 05.12.2025 — 09:30:14</t>
  </si>
  <si>
    <t>E33149364_3_20251205T093022Z.jpg</t>
  </si>
  <si>
    <t>10 Сушилка навес\E33149364_3_20251205T093022Z.jpg</t>
  </si>
  <si>
    <t>пт 05.12.2025 — 09:30:22</t>
  </si>
  <si>
    <t>E33149364_3_20251205T094455Z.jpg</t>
  </si>
  <si>
    <t>10 Сушилка навес\E33149364_3_20251205T094455Z.jpg</t>
  </si>
  <si>
    <t>пт 05.12.2025 — 09:44:55</t>
  </si>
  <si>
    <t>E33149364_3_20251205T112650Z.jpg</t>
  </si>
  <si>
    <t>10 Сушилка навес\E33149364_3_20251205T112650Z.jpg</t>
  </si>
  <si>
    <t>пт 05.12.2025 — 11:26:50</t>
  </si>
  <si>
    <t>E33149364_3_20251205T145521Z.jpg</t>
  </si>
  <si>
    <t>10 Сушилка навес\E33149364_3_20251205T145521Z.jpg</t>
  </si>
  <si>
    <t>пт 05.12.2025 — 14:55:21</t>
  </si>
  <si>
    <t>E33149364_3_20251205T162055Z.jpg</t>
  </si>
  <si>
    <t>10 Сушилка навес\E33149364_3_20251205T162055Z.jpg</t>
  </si>
  <si>
    <t>пт 05.12.2025 — 16:20:55</t>
  </si>
  <si>
    <t>E33149364_3_20251206T161854Z.jpg</t>
  </si>
  <si>
    <t>10 Сушилка навес\E33149364_3_20251206T161854Z.jpg</t>
  </si>
  <si>
    <t>сб 06.12.2025 — 16:18:54</t>
  </si>
  <si>
    <t>E33149364_4_20251201T120829Z.jpg</t>
  </si>
  <si>
    <t>11 С ангара на базу\E33149364_4_20251201T120829Z.jpg</t>
  </si>
  <si>
    <t>пн 01.12.2025 — 12:08:29</t>
  </si>
  <si>
    <t>E33149364_4_20251202T170519Z.jpg</t>
  </si>
  <si>
    <t>11 С ангара на базу\E33149364_4_20251202T170519Z.jpg</t>
  </si>
  <si>
    <t>вт 02.12.2025 — 17:05:19</t>
  </si>
  <si>
    <t>E33149364_4_20251203T093002Z.jpg</t>
  </si>
  <si>
    <t>11 С ангара на базу\E33149364_4_20251203T093002Z.jpg</t>
  </si>
  <si>
    <t>ср 03.12.2025 — 09:30:02</t>
  </si>
  <si>
    <t>E33149364_4_20251203T093051Z.jpg</t>
  </si>
  <si>
    <t>11 С ангара на базу\E33149364_4_20251203T093051Z.jpg</t>
  </si>
  <si>
    <t>ср 03.12.2025 — 09:30:51</t>
  </si>
  <si>
    <t>E33149364_4_20251204T164154Z.jpg</t>
  </si>
  <si>
    <t>11 С ангара на базу\E33149364_4_20251204T164154Z.jpg</t>
  </si>
  <si>
    <t>чт 04.12.2025 — 16:41:54</t>
  </si>
  <si>
    <t>E33149364_4_20251205T140137Z.jpg</t>
  </si>
  <si>
    <t>11 С ангара на базу\E33149364_4_20251205T140137Z.jpg</t>
  </si>
  <si>
    <t>пт 05.12.2025 — 14:01:37</t>
  </si>
  <si>
    <t>E33149364_4_20251206T161905Z.jpg</t>
  </si>
  <si>
    <t>11 С ангара на базу\E33149364_4_20251206T161905Z.jpg</t>
  </si>
  <si>
    <t>сб 06.12.2025 — 16:19:05</t>
  </si>
  <si>
    <t>K07156189_20_20251201T100748Z.jpg</t>
  </si>
  <si>
    <t>12 Площадка 3 кран\K07156189_20_20251201T100748Z.jpg</t>
  </si>
  <si>
    <t>пн 01.12.2025 — 10:07:48</t>
  </si>
  <si>
    <t>K07156189_20_20251201T101247Z.jpg</t>
  </si>
  <si>
    <t>12 Площадка 3 кран\K07156189_20_20251201T101247Z.jpg</t>
  </si>
  <si>
    <t>пн 01.12.2025 — 10:12:47</t>
  </si>
  <si>
    <t>K07156189_20_20251201T113700Z.jpg</t>
  </si>
  <si>
    <t>12 Площадка 3 кран\K07156189_20_20251201T113700Z.jpg</t>
  </si>
  <si>
    <t>пн 01.12.2025 — 11:37:00</t>
  </si>
  <si>
    <t>K07156189_20_20251201T140958Z.jpg</t>
  </si>
  <si>
    <t>12 Площадка 3 кран\K07156189_20_20251201T140958Z.jpg</t>
  </si>
  <si>
    <t>пн 01.12.2025 — 14:09:58</t>
  </si>
  <si>
    <t>K07156189_20_20251201T152351Z.jpg</t>
  </si>
  <si>
    <t>12 Площадка 3 кран\K07156189_20_20251201T152351Z.jpg</t>
  </si>
  <si>
    <t>пн 01.12.2025 — 15:23:51</t>
  </si>
  <si>
    <t>K07156189_20_20251201T152530Z.jpg</t>
  </si>
  <si>
    <t>12 Площадка 3 кран\K07156189_20_20251201T152530Z.jpg</t>
  </si>
  <si>
    <t>пн 01.12.2025 — 15:25:30</t>
  </si>
  <si>
    <t>K07156189_20_20251201T172803Z.jpg</t>
  </si>
  <si>
    <t>12 Площадка 3 кран\K07156189_20_20251201T172803Z.jpg</t>
  </si>
  <si>
    <t>пн 01.12.2025 — 17:28:03</t>
  </si>
  <si>
    <t>K07156189_20_20251202T122248Z.jpg</t>
  </si>
  <si>
    <t>12 Площадка 3 кран\K07156189_20_20251202T122248Z.jpg</t>
  </si>
  <si>
    <t>вт 02.12.2025 — 12:22:48</t>
  </si>
  <si>
    <t>K07156189_20_20251202T152442Z.jpg</t>
  </si>
  <si>
    <t>12 Площадка 3 кран\K07156189_20_20251202T152442Z.jpg</t>
  </si>
  <si>
    <t>вт 02.12.2025 — 15:24:42</t>
  </si>
  <si>
    <t>K07156189_20_20251202T174004Z.jpg</t>
  </si>
  <si>
    <t>12 Площадка 3 кран\K07156189_20_20251202T174004Z.jpg</t>
  </si>
  <si>
    <t>вт 02.12.2025 — 17:40:04</t>
  </si>
  <si>
    <t>K07156189_20_20251203T092909Z.jpg</t>
  </si>
  <si>
    <t>12 Площадка 3 кран\K07156189_20_20251203T092909Z.jpg</t>
  </si>
  <si>
    <t>ср 03.12.2025 — 09:29:09</t>
  </si>
  <si>
    <t>K07156189_20_20251203T103242Z.jpg</t>
  </si>
  <si>
    <t>12 Площадка 3 кран\K07156189_20_20251203T103242Z.jpg</t>
  </si>
  <si>
    <t>ср 03.12.2025 — 10:32:42</t>
  </si>
  <si>
    <t>K07156189_20_20251203T112921Z.jpg</t>
  </si>
  <si>
    <t>12 Площадка 3 кран\K07156189_20_20251203T112921Z.jpg</t>
  </si>
  <si>
    <t>ср 03.12.2025 — 11:29:21</t>
  </si>
  <si>
    <t>K07156189_20_20251203T125315Z.jpg</t>
  </si>
  <si>
    <t>12 Площадка 3 кран\K07156189_20_20251203T125315Z.jpg</t>
  </si>
  <si>
    <t>ср 03.12.2025 — 12:53:15</t>
  </si>
  <si>
    <t>K07156189_20_20251203T172831Z.jpg</t>
  </si>
  <si>
    <t>12 Площадка 3 кран\K07156189_20_20251203T172831Z.jpg</t>
  </si>
  <si>
    <t>ср 03.12.2025 — 17:28:31</t>
  </si>
  <si>
    <t>K07156189_20_20251204T172002Z.jpg</t>
  </si>
  <si>
    <t>12 Площадка 3 кран\K07156189_20_20251204T172002Z.jpg</t>
  </si>
  <si>
    <t>чт 04.12.2025 — 17:20:02</t>
  </si>
  <si>
    <t>K07156189_20_20251205T141236Z.jpg</t>
  </si>
  <si>
    <t>12 Площадка 3 кран\K07156189_20_20251205T141236Z.jpg</t>
  </si>
  <si>
    <t>пт 05.12.2025 — 14:12:36</t>
  </si>
  <si>
    <t>K07156189_20_20251205T144311Z.jpg</t>
  </si>
  <si>
    <t>12 Площадка 3 кран\K07156189_20_20251205T144311Z.jpg</t>
  </si>
  <si>
    <t>пт 05.12.2025 — 14:43:11</t>
  </si>
  <si>
    <t>K07156189_20_20251205T172223Z.jpg</t>
  </si>
  <si>
    <t>12 Площадка 3 кран\K07156189_20_20251205T172223Z.jpg</t>
  </si>
  <si>
    <t>пт 05.12.2025 — 17:22:23</t>
  </si>
  <si>
    <t>K07156189_20_20251206T154924Z.jpg</t>
  </si>
  <si>
    <t>12 Площадка 3 кран\K07156189_20_20251206T154924Z.jpg</t>
  </si>
  <si>
    <t>сб 06.12.2025 — 15:49:24</t>
  </si>
  <si>
    <t>K07156189_23_20251201T173138Z.jpg</t>
  </si>
  <si>
    <t>13 Склад хол\K07156189_23_20251201T173138Z.jpg</t>
  </si>
  <si>
    <t>пн 01.12.2025 — 17:31:38</t>
  </si>
  <si>
    <t>K07156189_23_20251202T083805Z.jpg</t>
  </si>
  <si>
    <t>13 Склад хол\K07156189_23_20251202T083805Z.jpg</t>
  </si>
  <si>
    <t>вт 02.12.2025 — 08:38:05</t>
  </si>
  <si>
    <t>K07156189_23_20251203T175848Z.jpg</t>
  </si>
  <si>
    <t>13 Склад хол\K07156189_23_20251203T175848Z.jpg</t>
  </si>
  <si>
    <t>ср 03.12.2025 — 17:58:48</t>
  </si>
  <si>
    <t>K07156189_23_20251204T173508Z.jpg</t>
  </si>
  <si>
    <t>13 Склад хол\K07156189_23_20251204T173508Z.jpg</t>
  </si>
  <si>
    <t>чт 04.12.2025 — 17:35:08</t>
  </si>
  <si>
    <t>K07156189_23_20251205T174335Z.jpg</t>
  </si>
  <si>
    <t>13 Склад хол\K07156189_23_20251205T174335Z.jpg</t>
  </si>
  <si>
    <t>пт 05.12.2025 — 17:43:35</t>
  </si>
  <si>
    <t>K07156189_23_20251206T181237Z.jpg</t>
  </si>
  <si>
    <t>13 Склад хол\K07156189_23_20251206T181237Z.jpg</t>
  </si>
  <si>
    <t>сб 06.12.2025 — 18:12:37</t>
  </si>
  <si>
    <t>K07156189_18_20251201T093309Z.jpg</t>
  </si>
  <si>
    <t>7 Площадка 2 бетонщики\K07156189_18_20251201T093309Z.jpg</t>
  </si>
  <si>
    <t>пн 01.12.2025 — 09:33:09</t>
  </si>
  <si>
    <t>K07156189_18_20251201T093354Z.jpg</t>
  </si>
  <si>
    <t>7 Площадка 2 бетонщики\K07156189_18_20251201T093354Z.jpg</t>
  </si>
  <si>
    <t>пн 01.12.2025 — 09:33:54</t>
  </si>
  <si>
    <t>K07156189_18_20251201T093747Z.jpg</t>
  </si>
  <si>
    <t>7 Площадка 2 бетонщики\K07156189_18_20251201T093747Z.jpg</t>
  </si>
  <si>
    <t>пн 01.12.2025 — 09:37:47</t>
  </si>
  <si>
    <t>K07156189_18_20251201T094619Z.jpg</t>
  </si>
  <si>
    <t>7 Площадка 2 бетонщики\K07156189_18_20251201T094619Z.jpg</t>
  </si>
  <si>
    <t>пн 01.12.2025 — 09:46:19</t>
  </si>
  <si>
    <t>K07156189_18_20251201T095346Z.jpg</t>
  </si>
  <si>
    <t>7 Площадка 2 бетонщики\K07156189_18_20251201T095346Z.jpg</t>
  </si>
  <si>
    <t>пн 01.12.2025 — 09:53:46</t>
  </si>
  <si>
    <t>K07156189_18_20251201T100008Z.jpg</t>
  </si>
  <si>
    <t>7 Площадка 2 бетонщики\K07156189_18_20251201T100008Z.jpg</t>
  </si>
  <si>
    <t>пн 01.12.2025 — 10:00:08</t>
  </si>
  <si>
    <t>K07156189_18_20251201T100644Z.jpg</t>
  </si>
  <si>
    <t>7 Площадка 2 бетонщики\K07156189_18_20251201T100644Z.jpg</t>
  </si>
  <si>
    <t>пн 01.12.2025 — 10:06:44</t>
  </si>
  <si>
    <t>K07156189_18_20251201T101637Z.jpg</t>
  </si>
  <si>
    <t>7 Площадка 2 бетонщики\K07156189_18_20251201T101637Z.jpg</t>
  </si>
  <si>
    <t>пн 01.12.2025 — 10:16:37</t>
  </si>
  <si>
    <t>K07156189_18_20251201T115807Z.jpg</t>
  </si>
  <si>
    <t>7 Площадка 2 бетонщики\K07156189_18_20251201T115807Z.jpg</t>
  </si>
  <si>
    <t>пн 01.12.2025 — 11:58:07</t>
  </si>
  <si>
    <t>K07156189_18_20251201T121231Z.jpg</t>
  </si>
  <si>
    <t>7 Площадка 2 бетонщики\K07156189_18_20251201T121231Z.jpg</t>
  </si>
  <si>
    <t>пн 01.12.2025 — 12:12:31</t>
  </si>
  <si>
    <t>K07156189_18_20251201T152216Z.jpg</t>
  </si>
  <si>
    <t>7 Площадка 2 бетонщики\K07156189_18_20251201T152216Z.jpg</t>
  </si>
  <si>
    <t>пн 01.12.2025 — 15:22:16</t>
  </si>
  <si>
    <t>K07156189_18_20251201T155928Z.jpg</t>
  </si>
  <si>
    <t>7 Площадка 2 бетонщики\K07156189_18_20251201T155928Z.jpg</t>
  </si>
  <si>
    <t>пн 01.12.2025 — 15:59:28</t>
  </si>
  <si>
    <t>K07156189_18_20251202T122847Z.jpg</t>
  </si>
  <si>
    <t>7 Площадка 2 бетонщики\K07156189_18_20251202T122847Z.jpg</t>
  </si>
  <si>
    <t>вт 02.12.2025 — 12:28:47</t>
  </si>
  <si>
    <t>K07156189_18_20251202T150301Z.jpg</t>
  </si>
  <si>
    <t>7 Площадка 2 бетонщики\K07156189_18_20251202T150301Z.jpg</t>
  </si>
  <si>
    <t>вт 02.12.2025 — 15:03:01</t>
  </si>
  <si>
    <t>K07156189_18_20251202T152509Z.jpg</t>
  </si>
  <si>
    <t>7 Площадка 2 бетонщики\K07156189_18_20251202T152509Z.jpg</t>
  </si>
  <si>
    <t>вт 02.12.2025 — 15:25:09</t>
  </si>
  <si>
    <t>K07156189_18_20251204T092229Z.jpg</t>
  </si>
  <si>
    <t>7 Площадка 2 бетонщики\K07156189_18_20251204T092229Z.jpg</t>
  </si>
  <si>
    <t>чт 04.12.2025 — 09:22:29</t>
  </si>
  <si>
    <t>K07156189_18_20251204T113535Z.jpg</t>
  </si>
  <si>
    <t>7 Площадка 2 бетонщики\K07156189_18_20251204T113535Z.jpg</t>
  </si>
  <si>
    <t>чт 04.12.2025 — 11:35:35</t>
  </si>
  <si>
    <t>K07156189_18_20251204T131732Z.jpg</t>
  </si>
  <si>
    <t>7 Площадка 2 бетонщики\K07156189_18_20251204T131732Z.jpg</t>
  </si>
  <si>
    <t>чт 04.12.2025 — 13:17:32</t>
  </si>
  <si>
    <t>K07156189_18_20251205T122038Z.jpg</t>
  </si>
  <si>
    <t>7 Площадка 2 бетонщики\K07156189_18_20251205T122038Z.jpg</t>
  </si>
  <si>
    <t>пт 05.12.2025 — 12:20:38</t>
  </si>
  <si>
    <t>K07156189_18_20251205T123117Z.jpg</t>
  </si>
  <si>
    <t>7 Площадка 2 бетонщики\K07156189_18_20251205T123117Z.jpg</t>
  </si>
  <si>
    <t>пт 05.12.2025 — 12:31:17</t>
  </si>
  <si>
    <t>K07156189_18_20251205T142222Z.jpg</t>
  </si>
  <si>
    <t>7 Площадка 2 бетонщики\K07156189_18_20251205T142222Z.jpg</t>
  </si>
  <si>
    <t>пт 05.12.2025 — 14:22:22</t>
  </si>
  <si>
    <t>K07156189_18_20251205T142936Z.jpg</t>
  </si>
  <si>
    <t>7 Площадка 2 бетонщики\K07156189_18_20251205T142936Z.jpg</t>
  </si>
  <si>
    <t>пт 05.12.2025 — 14:29:36</t>
  </si>
  <si>
    <t>K07156189_18_20251205T144046Z.jpg</t>
  </si>
  <si>
    <t>7 Площадка 2 бетонщики\K07156189_18_20251205T144046Z.jpg</t>
  </si>
  <si>
    <t>пт 05.12.2025 — 14:40:46</t>
  </si>
  <si>
    <t>K07156189_18_20251205T144302Z.jpg</t>
  </si>
  <si>
    <t>7 Площадка 2 бетонщики\K07156189_18_20251205T144302Z.jpg</t>
  </si>
  <si>
    <t>пт 05.12.2025 — 14:43:02</t>
  </si>
  <si>
    <t>K07156189_18_20251206T162337Z.jpg</t>
  </si>
  <si>
    <t>7 Площадка 2 бетонщики\K07156189_18_20251206T162337Z.jpg</t>
  </si>
  <si>
    <t>сб 06.12.2025 — 16:23:37</t>
  </si>
  <si>
    <t>груз не видно</t>
  </si>
  <si>
    <t>разгрузка была у офиса</t>
  </si>
  <si>
    <t>неизвестно</t>
  </si>
  <si>
    <t>разные материалы</t>
  </si>
  <si>
    <t>перемещение</t>
  </si>
  <si>
    <t>ящики</t>
  </si>
  <si>
    <t>около мешков с опилками</t>
  </si>
  <si>
    <t>Проезд, на новую площадку</t>
  </si>
  <si>
    <t>для разгрузки</t>
  </si>
  <si>
    <t>старый брус</t>
  </si>
  <si>
    <t>для разгрузки у второго ангара</t>
  </si>
  <si>
    <t>бревна и отрезки бревен</t>
  </si>
  <si>
    <t>E33149364_8_20251204T122652Z.jpg</t>
  </si>
  <si>
    <t>3 Въезд на базу\E33149364_8_20251204T122652Z.jpg</t>
  </si>
  <si>
    <t>чт 04.12.2025 — 12:26:52</t>
  </si>
  <si>
    <t>разгрузка</t>
  </si>
  <si>
    <t>K07156189_21_20251202T092315Z.jpg</t>
  </si>
  <si>
    <t>4 Крыльцо офиса\K07156189_21_20251202T092315Z.jpg</t>
  </si>
  <si>
    <t>вт 02.12.2025 — 09:23:15</t>
  </si>
  <si>
    <t>материалы</t>
  </si>
  <si>
    <t>что-то наподобие балона</t>
  </si>
  <si>
    <t>канистра, ручная тележка</t>
  </si>
  <si>
    <t>стяжной ремень</t>
  </si>
  <si>
    <t>K07156189_22_20251201T114915Z.jpg</t>
  </si>
  <si>
    <t>5 Крыльцо общага\K07156189_22_20251201T114915Z.jpg</t>
  </si>
  <si>
    <t>K07156189_22_20251204T131325Z.jpg</t>
  </si>
  <si>
    <t>5 Крыльцо общага\K07156189_22_20251204T131325Z.jpg</t>
  </si>
  <si>
    <t>чт 04.12.2025 — 13:13:25</t>
  </si>
  <si>
    <t>на площадке Кран</t>
  </si>
  <si>
    <t>деревяная решетка</t>
  </si>
  <si>
    <t>с площадки Кран</t>
  </si>
  <si>
    <t>Окончание разгрузки</t>
  </si>
  <si>
    <t>пн 01.12.2025 — 09:32:25</t>
  </si>
  <si>
    <t>пн 01.12.2025 — 11:50:46</t>
  </si>
  <si>
    <t>пн 01.12.2025 — 15:25:40</t>
  </si>
  <si>
    <t>Очистка площадки</t>
  </si>
  <si>
    <t>826398429_1_20251201T093225Z.jpg</t>
  </si>
  <si>
    <t>6 Площадка 1 общага\826398429_1_20251201T093225Z.jpg</t>
  </si>
  <si>
    <t>826398429_1_20251201T115046Z.jpg</t>
  </si>
  <si>
    <t>6 Площадка 1 общага\826398429_1_20251201T115046Z.jpg</t>
  </si>
  <si>
    <t>826398429_1_20251201T152540Z.jpg</t>
  </si>
  <si>
    <t>6 Площадка 1 общага\826398429_1_20251201T152540Z.jpg</t>
  </si>
  <si>
    <t>K07156189_18_20251203T113923Z.jpg</t>
  </si>
  <si>
    <t>7 Площадка 2 бетонщики\K07156189_18_20251203T113923Z.jpg</t>
  </si>
  <si>
    <t>ср 03.12.2025 — 11:39:23</t>
  </si>
  <si>
    <t>K07156189_18_20251203T124700Z.jpg</t>
  </si>
  <si>
    <t>7 Площадка 2 бетонщики\K07156189_18_20251203T124700Z.jpg</t>
  </si>
  <si>
    <t>ср 03.12.2025 — 12:47:00</t>
  </si>
  <si>
    <t>K07156189_18_20251203T124820Z.jpg</t>
  </si>
  <si>
    <t>7 Площадка 2 бетонщики\K07156189_18_20251203T124820Z.jpg</t>
  </si>
  <si>
    <t>ср 03.12.2025 — 12:48:20</t>
  </si>
  <si>
    <t>K07156189_18_20251203T151923Z.jpg</t>
  </si>
  <si>
    <t>7 Площадка 2 бетонщики\K07156189_18_20251203T151923Z.jpg</t>
  </si>
  <si>
    <t>ср 03.12.2025 — 15:19:23</t>
  </si>
  <si>
    <t>K07156189_18_20251203T155704Z.jpg</t>
  </si>
  <si>
    <t>7 Площадка 2 бетонщики\K07156189_18_20251203T155704Z.jpg</t>
  </si>
  <si>
    <t>ср 03.12.2025 — 15:57:04</t>
  </si>
  <si>
    <t>K07156189_18_20251203T163434Z.jpg</t>
  </si>
  <si>
    <t>7 Площадка 2 бетонщики\K07156189_18_20251203T163434Z.jpg</t>
  </si>
  <si>
    <t>ср 03.12.2025 — 16:34:34</t>
  </si>
  <si>
    <t>Окончание загрузок</t>
  </si>
  <si>
    <t>площадка ангара</t>
  </si>
  <si>
    <t>Уборка опилок в мешки</t>
  </si>
  <si>
    <t>сотрудники</t>
  </si>
  <si>
    <t>для личного применения</t>
  </si>
  <si>
    <t>погрузчик базы</t>
  </si>
  <si>
    <t>без загрузки/выгрузки</t>
  </si>
  <si>
    <t>E33149364_8_20251207T160921Z.jpg</t>
  </si>
  <si>
    <t>3 Въезд на базу\E33149364_8_20251207T160921Z.jpg</t>
  </si>
  <si>
    <t>вс 07.12.2025 — 16:09:21</t>
  </si>
  <si>
    <t>E33149364_6_20251207T135449Z.jpg</t>
  </si>
  <si>
    <t>вс 07.12.2025 — 13:54:49</t>
  </si>
  <si>
    <t>E33149364_6_20251207T160931Z.jpg</t>
  </si>
  <si>
    <t>вс 07.12.2025 — 16:09:31</t>
  </si>
  <si>
    <t>K07156189_22_20251207T144613Z.jpg</t>
  </si>
  <si>
    <t>5 Крыльцо общага\K07156189_22_20251207T144613Z.jpg</t>
  </si>
  <si>
    <t>вс 07.12.2025 — 14:46:13</t>
  </si>
  <si>
    <t>K07156189_22_20251207T144918Z.jpg</t>
  </si>
  <si>
    <t>5 Крыльцо общага\K07156189_22_20251207T144918Z.jpg</t>
  </si>
  <si>
    <t>вс 07.12.2025 — 14:49:18</t>
  </si>
  <si>
    <t>K07156189_22_20251207T145349Z.jpg</t>
  </si>
  <si>
    <t>5 Крыльцо общага\K07156189_22_20251207T145349Z.jpg</t>
  </si>
  <si>
    <t>вс 07.12.2025 — 14:53:49</t>
  </si>
  <si>
    <t>K07156189_22_20251207T145713Z.jpg</t>
  </si>
  <si>
    <t>5 Крыльцо общага\K07156189_22_20251207T145713Z.jpg</t>
  </si>
  <si>
    <t>вс 07.12.2025 — 14:57:13</t>
  </si>
  <si>
    <t>K07156189_22_20251207T150226Z.jpg</t>
  </si>
  <si>
    <t>5 Крыльцо общага\K07156189_22_20251207T150226Z.jpg</t>
  </si>
  <si>
    <t>вс 07.12.2025 — 15:02:26</t>
  </si>
  <si>
    <t>K07156189_22_20251207T150604Z.jpg</t>
  </si>
  <si>
    <t>5 Крыльцо общага\K07156189_22_20251207T150604Z.jpg</t>
  </si>
  <si>
    <t>вс 07.12.2025 — 15:06:04</t>
  </si>
  <si>
    <t>K07156189_22_20251207T151708Z.jpg</t>
  </si>
  <si>
    <t>5 Крыльцо общага\K07156189_22_20251207T151708Z.jpg</t>
  </si>
  <si>
    <t>вс 07.12.2025 — 15:17:08</t>
  </si>
  <si>
    <t>K07156189_22_20251207T153906Z.jpg</t>
  </si>
  <si>
    <t>5 Крыльцо общага\K07156189_22_20251207T153906Z.jpg</t>
  </si>
  <si>
    <t>вс 07.12.2025 — 15:39:06</t>
  </si>
  <si>
    <t>K07156189_22_20251207T160838Z.jpg</t>
  </si>
  <si>
    <t>5 Крыльцо общага\K07156189_22_20251207T160838Z.jpg</t>
  </si>
  <si>
    <t>вс 07.12.2025 — 16:08:38</t>
  </si>
  <si>
    <t>826398429_1_20251207T112611Z.jpg</t>
  </si>
  <si>
    <t>6 Площадка 1 общага\826398429_1_20251207T112611Z.jpg</t>
  </si>
  <si>
    <t>вс 07.12.2025 — 11:26:11</t>
  </si>
  <si>
    <t>E33149364_2_20251207T162420Z.jpg</t>
  </si>
  <si>
    <t>8 Рейсмус\E33149364_2_20251207T162420Z.jpg</t>
  </si>
  <si>
    <t>вс 07.12.2025 — 16:24:20</t>
  </si>
  <si>
    <t>E33149364_3_20251207T120059Z.jpg</t>
  </si>
  <si>
    <t>10 Сушилка навес\E33149364_3_20251207T120059Z.jpg</t>
  </si>
  <si>
    <t>вс 07.12.2025 — 12:00:59</t>
  </si>
  <si>
    <t>E33149364_3_20251207T141706Z.jpg</t>
  </si>
  <si>
    <t>10 Сушилка навес\E33149364_3_20251207T141706Z.jpg</t>
  </si>
  <si>
    <t>вс 07.12.2025 — 14:17:06</t>
  </si>
  <si>
    <t>E33149364_3_20251207T142434Z.jpg</t>
  </si>
  <si>
    <t>10 Сушилка навес\E33149364_3_20251207T142434Z.jpg</t>
  </si>
  <si>
    <t>вс 07.12.2025 — 14:24:34</t>
  </si>
  <si>
    <t>E33149364_3_20251207T143320Z.jpg</t>
  </si>
  <si>
    <t>10 Сушилка навес\E33149364_3_20251207T143320Z.jpg</t>
  </si>
  <si>
    <t>вс 07.12.2025 — 14:33:20</t>
  </si>
  <si>
    <t>E33149364_3_20251207T144249Z.jpg</t>
  </si>
  <si>
    <t>10 Сушилка навес\E33149364_3_20251207T144249Z.jpg</t>
  </si>
  <si>
    <t>вс 07.12.2025 — 14:42:49</t>
  </si>
  <si>
    <t>E33149364_7_20251207T172642Z.jpg</t>
  </si>
  <si>
    <t>2 Пилорама поката\E33149364_7_20251207T172642Z.jpg</t>
  </si>
  <si>
    <t>вс 07.12.2025 — 17:26:42</t>
  </si>
  <si>
    <t>E33149364_4_20251207T142145Z.jpg</t>
  </si>
  <si>
    <t>11 С ангара на базу\E33149364_4_20251207T142145Z.jpg</t>
  </si>
  <si>
    <t>вс 07.12.2025 — 14:21:45</t>
  </si>
  <si>
    <t>E33149364_4_20251207T142711Z.jpg</t>
  </si>
  <si>
    <t>11 С ангара на базу\E33149364_4_20251207T142711Z.jpg</t>
  </si>
  <si>
    <t>вс 07.12.2025 — 14:27:11</t>
  </si>
  <si>
    <t>E33149364_4_20251207T142719Z.jpg</t>
  </si>
  <si>
    <t>11 С ангара на базу\E33149364_4_20251207T142719Z.jpg</t>
  </si>
  <si>
    <t>вс 07.12.2025 — 14:27:19</t>
  </si>
  <si>
    <t>E33149364_4_20251207T143138Z.jpg</t>
  </si>
  <si>
    <t>11 С ангара на базу\E33149364_4_20251207T143138Z.jpg</t>
  </si>
  <si>
    <t>вс 07.12.2025 — 14:31:38</t>
  </si>
  <si>
    <t>E33149364_4_20251207T143202Z.jpg</t>
  </si>
  <si>
    <t>11 С ангара на базу\E33149364_4_20251207T143202Z.jpg</t>
  </si>
  <si>
    <t>вс 07.12.2025 — 14:32:02</t>
  </si>
  <si>
    <t>E33149364_4_20251207T144324Z.jpg</t>
  </si>
  <si>
    <t>11 С ангара на базу\E33149364_4_20251207T144324Z.jpg</t>
  </si>
  <si>
    <t>вс 07.12.2025 — 14:43:24</t>
  </si>
  <si>
    <t>K07156189_20_20251207T152825Z.jpg</t>
  </si>
  <si>
    <t>12 Площадка 3 кран\K07156189_20_20251207T152825Z.jpg</t>
  </si>
  <si>
    <t>вс 07.12.2025 — 15:28:25</t>
  </si>
  <si>
    <t>K07156189_23_20251207T135531Z.jpg</t>
  </si>
  <si>
    <t>13 Склад хол\K07156189_23_20251207T135531Z.jpg</t>
  </si>
  <si>
    <t>вс 07.12.2025 — 13:55:31</t>
  </si>
  <si>
    <t>K07156189_23_20251207T162847Z.jpg</t>
  </si>
  <si>
    <t>13 Склад хол\K07156189_23_20251207T162847Z.jpg</t>
  </si>
  <si>
    <t>вс 07.12.2025 — 16:28:47</t>
  </si>
  <si>
    <t>K07156189_21_20251207T151441Z.jpg</t>
  </si>
  <si>
    <t>4 Крыльцо офиса\K07156189_21_20251207T151441Z.jpg</t>
  </si>
  <si>
    <t>вс 07.12.2025 — 15:14:41</t>
  </si>
  <si>
    <t>K07156189_18_20251207T152819Z.jpg</t>
  </si>
  <si>
    <t>7 Площадка 2 бетонщики\K07156189_18_20251207T152819Z.jpg</t>
  </si>
  <si>
    <t>вс 07.12.2025 — 15:28:19</t>
  </si>
  <si>
    <t>E33149364_1_20251207T094713Z.jpg</t>
  </si>
  <si>
    <t>9 Ангар пилорама\E33149364_1_20251207T094713Z.jpg</t>
  </si>
  <si>
    <t>вс 07.12.2025 — 09:47:13</t>
  </si>
  <si>
    <t>E33149364_1_20251207T145037Z.jpg</t>
  </si>
  <si>
    <t>9 Ангар пилорама\E33149364_1_20251207T145037Z.jpg</t>
  </si>
  <si>
    <t>вс 07.12.2025 — 14:50:37</t>
  </si>
  <si>
    <t>E33149364_1_20251207T153424Z.jpg</t>
  </si>
  <si>
    <t>9 Ангар пилорама\E33149364_1_20251207T153424Z.jpg</t>
  </si>
  <si>
    <t>вс 07.12.2025 — 15:34:24</t>
  </si>
  <si>
    <t>E33149364_1_20251207T161232Z.jpg</t>
  </si>
  <si>
    <t>9 Ангар пилорама\E33149364_1_20251207T161232Z.jpg</t>
  </si>
  <si>
    <t>вс 07.12.2025 — 16:12:32</t>
  </si>
  <si>
    <t>E33149364_1_20251207T172141Z.jpg</t>
  </si>
  <si>
    <t>9 Ангар пилорама\E33149364_1_20251207T172141Z.jpg</t>
  </si>
  <si>
    <t>вс 07.12.2025 — 17:21:41</t>
  </si>
  <si>
    <t>E33149364_1_20251207T180222Z.jpg</t>
  </si>
  <si>
    <t>9 Ангар пилорама\E33149364_1_20251207T180222Z.jpg</t>
  </si>
  <si>
    <t>вс 07.12.2025 — 18:02:22</t>
  </si>
  <si>
    <t>E33149364_1_20251207T185854Z.jpg</t>
  </si>
  <si>
    <t>9 Ангар пилорама\E33149364_1_20251207T185854Z.jpg</t>
  </si>
  <si>
    <t>вс 07.12.2025 — 18:58:54</t>
  </si>
  <si>
    <t>E33149364_1_20251207T205214Z.jpg</t>
  </si>
  <si>
    <t>9 Ангар пилорама\E33149364_1_20251207T205214Z.jpg</t>
  </si>
  <si>
    <t>вс 07.12.2025 — 20:52:14</t>
  </si>
  <si>
    <t>E33149364_1_20251207T214851Z.jpg</t>
  </si>
  <si>
    <t>9 Ангар пилорама\E33149364_1_20251207T214851Z.jpg</t>
  </si>
  <si>
    <t>вс 07.12.2025 — 21:48:51</t>
  </si>
  <si>
    <t>КамАЗ с КМУ</t>
  </si>
  <si>
    <t>доски, материалы</t>
  </si>
  <si>
    <t>загрузка с площадок навес и кран</t>
  </si>
  <si>
    <t>Выезд КАМАЗА с КМУ</t>
  </si>
  <si>
    <t>КАМАЗ с КМУ</t>
  </si>
  <si>
    <t>вынос досок у дверей на улицу</t>
  </si>
  <si>
    <t>Загрузка, другой ракурс</t>
  </si>
  <si>
    <t>навес, до загрузки</t>
  </si>
  <si>
    <t>навес, после загрузки</t>
  </si>
  <si>
    <t>пн 08.12.2025 — 09:25:22</t>
  </si>
  <si>
    <t>E33149364_7_20251208T145915Z.jpg</t>
  </si>
  <si>
    <t>2 Пилорама поката\E33149364_7_20251208T145915Z.jpg</t>
  </si>
  <si>
    <t>пн 08.12.2025 — 14:59:15</t>
  </si>
  <si>
    <t>E33149364_6_20251208T142216Z.jpg</t>
  </si>
  <si>
    <t>пн 08.12.2025 — 14:22:16</t>
  </si>
  <si>
    <t>E33149364_6_20251208T155849Z.jpg</t>
  </si>
  <si>
    <t>пн 08.12.2025 — 15:58:49</t>
  </si>
  <si>
    <t>E33149364_8_20251208T115423Z.jpg</t>
  </si>
  <si>
    <t>3 Въезд на базу\E33149364_8_20251208T115423Z.jpg</t>
  </si>
  <si>
    <t>пн 08.12.2025 — 11:54:23</t>
  </si>
  <si>
    <t>E33149364_8_20251208T163559Z.jpg</t>
  </si>
  <si>
    <t>3 Въезд на базу\E33149364_8_20251208T163559Z.jpg</t>
  </si>
  <si>
    <t>пн 08.12.2025 — 16:35:59</t>
  </si>
  <si>
    <t>E33149364_7_20251208T142248Z.jpg</t>
  </si>
  <si>
    <t>2 Пилорама поката\E33149364_7_20251208T142248Z.jpg</t>
  </si>
  <si>
    <t>пн 08.12.2025 — 14:22:48</t>
  </si>
  <si>
    <t>E33149364_7_20251208T151401Z.jpg</t>
  </si>
  <si>
    <t>2 Пилорама поката\E33149364_7_20251208T151401Z.jpg</t>
  </si>
  <si>
    <t>пн 08.12.2025 — 15:14:01</t>
  </si>
  <si>
    <t>E33149364_7_20251208T152415Z.jpg</t>
  </si>
  <si>
    <t>2 Пилорама поката\E33149364_7_20251208T152415Z.jpg</t>
  </si>
  <si>
    <t>пн 08.12.2025 — 15:24:15</t>
  </si>
  <si>
    <t>E33149364_7_20251208T155255Z.jpg</t>
  </si>
  <si>
    <t>2 Пилорама поката\E33149364_7_20251208T155255Z.jpg</t>
  </si>
  <si>
    <t>пн 08.12.2025 — 15:52:55</t>
  </si>
  <si>
    <t>E33149364_7_20251208T172555Z.jpg</t>
  </si>
  <si>
    <t>2 Пилорама поката\E33149364_7_20251208T172555Z.jpg</t>
  </si>
  <si>
    <t>пн 08.12.2025 — 17:25:55</t>
  </si>
  <si>
    <t>K07156189_21_20251208T165401Z.jpg</t>
  </si>
  <si>
    <t>4 Крыльцо офиса\K07156189_21_20251208T165401Z.jpg</t>
  </si>
  <si>
    <t>пн 08.12.2025 — 16:54:01</t>
  </si>
  <si>
    <t>1 Ангар Склад 2 въезд\E33149364_6_20251207T135449Z.jpg</t>
  </si>
  <si>
    <t>1 Ангар Склад 2 въезд\E33149364_6_20251207T160931Z.jpg</t>
  </si>
  <si>
    <t>1 Ангар Склад 2 въезд\E33149364_6_20251208T142216Z.jpg</t>
  </si>
  <si>
    <t>1 Ангар Склад 2 въезд\E33149364_6_20251208T155849Z.jpg</t>
  </si>
  <si>
    <t>K07156189_22_20251208T131240Z.jpg</t>
  </si>
  <si>
    <t>5 Крыльцо общага\K07156189_22_20251208T131240Z.jpg</t>
  </si>
  <si>
    <t>пн 08.12.2025 — 13:12:40</t>
  </si>
  <si>
    <t>K07156189_22_20251208T173524Z.jpg</t>
  </si>
  <si>
    <t>5 Крыльцо общага\K07156189_22_20251208T173524Z.jpg</t>
  </si>
  <si>
    <t>пн 08.12.2025 — 17:35:24</t>
  </si>
  <si>
    <t>826398429_1_20251208T112932Z.jpg</t>
  </si>
  <si>
    <t>6 Площадка 1 общага\826398429_1_20251208T112932Z.jpg</t>
  </si>
  <si>
    <t>пн 08.12.2025 — 11:29:32</t>
  </si>
  <si>
    <t>826398429_1_20251208T155027Z.jpg</t>
  </si>
  <si>
    <t>6 Площадка 1 общага\826398429_1_20251208T155027Z.jpg</t>
  </si>
  <si>
    <t>пн 08.12.2025 — 15:50:27</t>
  </si>
  <si>
    <t>K07156189_18_20251208T122517Z.jpg</t>
  </si>
  <si>
    <t>7 Площадка 2 бетонщики\K07156189_18_20251208T122517Z.jpg</t>
  </si>
  <si>
    <t>пн 08.12.2025 — 12:25:17</t>
  </si>
  <si>
    <t>K07156189_18_20251208T150801Z.jpg</t>
  </si>
  <si>
    <t>7 Площадка 2 бетонщики\K07156189_18_20251208T150801Z.jpg</t>
  </si>
  <si>
    <t>пн 08.12.2025 — 15:08:01</t>
  </si>
  <si>
    <t>K07156189_18_20251208T150952Z.jpg</t>
  </si>
  <si>
    <t>7 Площадка 2 бетонщики\K07156189_18_20251208T150952Z.jpg</t>
  </si>
  <si>
    <t>пн 08.12.2025 — 15:09:52</t>
  </si>
  <si>
    <t>E33149364_2_20251208T080617Z.jpg</t>
  </si>
  <si>
    <t>8 Рейсмус\E33149364_2_20251208T080617Z.jpg</t>
  </si>
  <si>
    <t>пн 08.12.2025 — 08:06:17</t>
  </si>
  <si>
    <t>E33149364_1_20251208T071219Z.jpg</t>
  </si>
  <si>
    <t>9 Ангар пилорама\E33149364_1_20251208T071219Z.jpg</t>
  </si>
  <si>
    <t>пн 08.12.2025 — 07:12:19</t>
  </si>
  <si>
    <t>E33149364_1_20251208T072909Z.jpg</t>
  </si>
  <si>
    <t>9 Ангар пилорама\E33149364_1_20251208T072909Z.jpg</t>
  </si>
  <si>
    <t>пн 08.12.2025 — 07:29:09</t>
  </si>
  <si>
    <t>E33149364_1_20251208T074333Z.jpg</t>
  </si>
  <si>
    <t>9 Ангар пилорама\E33149364_1_20251208T074333Z.jpg</t>
  </si>
  <si>
    <t>пн 08.12.2025 — 07:43:33</t>
  </si>
  <si>
    <t>E33149364_1_20251208T085008Z.jpg</t>
  </si>
  <si>
    <t>9 Ангар пилорама\E33149364_1_20251208T085008Z.jpg</t>
  </si>
  <si>
    <t>пн 08.12.2025 — 08:50:08</t>
  </si>
  <si>
    <t>E33149364_1_20251208T090846Z.jpg</t>
  </si>
  <si>
    <t>9 Ангар пилорама\E33149364_1_20251208T090846Z.jpg</t>
  </si>
  <si>
    <t>пн 08.12.2025 — 09:08:46</t>
  </si>
  <si>
    <t>E33149364_1_20251208T091722Z.jpg</t>
  </si>
  <si>
    <t>9 Ангар пилорама\E33149364_1_20251208T091722Z.jpg</t>
  </si>
  <si>
    <t>пн 08.12.2025 — 09:17:22</t>
  </si>
  <si>
    <t>E33149364_1_20251208T092944Z.jpg</t>
  </si>
  <si>
    <t>9 Ангар пилорама\E33149364_1_20251208T092944Z.jpg</t>
  </si>
  <si>
    <t>пн 08.12.2025 — 09:29:44</t>
  </si>
  <si>
    <t>E33149364_1_20251208T093349Z.jpg</t>
  </si>
  <si>
    <t>9 Ангар пилорама\E33149364_1_20251208T093349Z.jpg</t>
  </si>
  <si>
    <t>пн 08.12.2025 — 09:33:49</t>
  </si>
  <si>
    <t>E33149364_1_20251208T094253Z.jpg</t>
  </si>
  <si>
    <t>9 Ангар пилорама\E33149364_1_20251208T094253Z.jpg</t>
  </si>
  <si>
    <t>пн 08.12.2025 — 09:42:53</t>
  </si>
  <si>
    <t>E33149364_1_20251208T100027Z.jpg</t>
  </si>
  <si>
    <t>9 Ангар пилорама\E33149364_1_20251208T100027Z.jpg</t>
  </si>
  <si>
    <t>пн 08.12.2025 — 10:00:27</t>
  </si>
  <si>
    <t>E33149364_1_20251208T100335Z.jpg</t>
  </si>
  <si>
    <t>9 Ангар пилорама\E33149364_1_20251208T100335Z.jpg</t>
  </si>
  <si>
    <t>пн 08.12.2025 — 10:03:35</t>
  </si>
  <si>
    <t>E33149364_1_20251208T100917Z.jpg</t>
  </si>
  <si>
    <t>9 Ангар пилорама\E33149364_1_20251208T100917Z.jpg</t>
  </si>
  <si>
    <t>пн 08.12.2025 — 10:09:17</t>
  </si>
  <si>
    <t>E33149364_1_20251208T101634Z.jpg</t>
  </si>
  <si>
    <t>9 Ангар пилорама\E33149364_1_20251208T101634Z.jpg</t>
  </si>
  <si>
    <t>пн 08.12.2025 — 10:16:34</t>
  </si>
  <si>
    <t>E33149364_1_20251208T104102Z.jpg</t>
  </si>
  <si>
    <t>9 Ангар пилорама\E33149364_1_20251208T104102Z.jpg</t>
  </si>
  <si>
    <t>пн 08.12.2025 — 10:41:02</t>
  </si>
  <si>
    <t>E33149364_1_20251208T104850Z.jpg</t>
  </si>
  <si>
    <t>9 Ангар пилорама\E33149364_1_20251208T104850Z.jpg</t>
  </si>
  <si>
    <t>пн 08.12.2025 — 10:48:50</t>
  </si>
  <si>
    <t>E33149364_1_20251208T110316Z.jpg</t>
  </si>
  <si>
    <t>9 Ангар пилорама\E33149364_1_20251208T110316Z.jpg</t>
  </si>
  <si>
    <t>пн 08.12.2025 — 11:03:16</t>
  </si>
  <si>
    <t>E33149364_1_20251208T110504Z.jpg</t>
  </si>
  <si>
    <t>9 Ангар пилорама\E33149364_1_20251208T110504Z.jpg</t>
  </si>
  <si>
    <t>пн 08.12.2025 — 11:05:04</t>
  </si>
  <si>
    <t>E33149364_1_20251208T140050Z.jpg</t>
  </si>
  <si>
    <t>9 Ангар пилорама\E33149364_1_20251208T140050Z.jpg</t>
  </si>
  <si>
    <t>пн 08.12.2025 — 14:00:50</t>
  </si>
  <si>
    <t>E33149364_1_20251208T221822Z.jpg</t>
  </si>
  <si>
    <t>9 Ангар пилорама\E33149364_1_20251208T221822Z.jpg</t>
  </si>
  <si>
    <t>пн 08.12.2025 — 22:18:22</t>
  </si>
  <si>
    <t>E33149364_3_20251208T091125Z.jpg</t>
  </si>
  <si>
    <t>10 Сушилка навес\E33149364_3_20251208T091125Z.jpg</t>
  </si>
  <si>
    <t>пн 08.12.2025 — 09:11:25</t>
  </si>
  <si>
    <t>E33149364_3_20251208T091150Z.jpg</t>
  </si>
  <si>
    <t>10 Сушилка навес\E33149364_3_20251208T091150Z.jpg</t>
  </si>
  <si>
    <t>пн 08.12.2025 — 09:11:50</t>
  </si>
  <si>
    <t>E33149364_3_20251208T091659Z.jpg</t>
  </si>
  <si>
    <t>10 Сушилка навес\E33149364_3_20251208T091659Z.jpg</t>
  </si>
  <si>
    <t>пн 08.12.2025 — 09:16:59</t>
  </si>
  <si>
    <t>E33149364_3_20251208T092522Z.jpg</t>
  </si>
  <si>
    <t>10 Сушилка навес\E33149364_3_20251208T092522Z.jpg</t>
  </si>
  <si>
    <t>E33149364_3_20251208T092553Z.jpg</t>
  </si>
  <si>
    <t>10 Сушилка навес\E33149364_3_20251208T092553Z.jpg</t>
  </si>
  <si>
    <t>пн 08.12.2025 — 09:25:53</t>
  </si>
  <si>
    <t>E33149364_3_20251208T092620Z.jpg</t>
  </si>
  <si>
    <t>10 Сушилка навес\E33149364_3_20251208T092620Z.jpg</t>
  </si>
  <si>
    <t>пн 08.12.2025 — 09:26:20</t>
  </si>
  <si>
    <t>E33149364_3_20251208T092631Z.jpg</t>
  </si>
  <si>
    <t>10 Сушилка навес\E33149364_3_20251208T092631Z.jpg</t>
  </si>
  <si>
    <t>пн 08.12.2025 — 09:26:31</t>
  </si>
  <si>
    <t>E33149364_3_20251208T092639Z.jpg</t>
  </si>
  <si>
    <t>10 Сушилка навес\E33149364_3_20251208T092639Z.jpg</t>
  </si>
  <si>
    <t>пн 08.12.2025 — 09:26:39</t>
  </si>
  <si>
    <t>E33149364_3_20251208T092720Z.jpg</t>
  </si>
  <si>
    <t>10 Сушилка навес\E33149364_3_20251208T092720Z.jpg</t>
  </si>
  <si>
    <t>пн 08.12.2025 — 09:27:20</t>
  </si>
  <si>
    <t>E33149364_3_20251208T095905Z.jpg</t>
  </si>
  <si>
    <t>10 Сушилка навес\E33149364_3_20251208T095905Z.jpg</t>
  </si>
  <si>
    <t>пн 08.12.2025 — 09:59:05</t>
  </si>
  <si>
    <t>E33149364_3_20251208T100034Z.jpg</t>
  </si>
  <si>
    <t>10 Сушилка навес\E33149364_3_20251208T100034Z.jpg</t>
  </si>
  <si>
    <t>пн 08.12.2025 — 10:00:34</t>
  </si>
  <si>
    <t>E33149364_3_20251208T100416Z.jpg</t>
  </si>
  <si>
    <t>10 Сушилка навес\E33149364_3_20251208T100416Z.jpg</t>
  </si>
  <si>
    <t>пн 08.12.2025 — 10:04:16</t>
  </si>
  <si>
    <t>E33149364_3_20251208T100431Z.jpg</t>
  </si>
  <si>
    <t>10 Сушилка навес\E33149364_3_20251208T100431Z.jpg</t>
  </si>
  <si>
    <t>пн 08.12.2025 — 10:04:31</t>
  </si>
  <si>
    <t>E33149364_3_20251208T101134Z.jpg</t>
  </si>
  <si>
    <t>10 Сушилка навес\E33149364_3_20251208T101134Z.jpg</t>
  </si>
  <si>
    <t>пн 08.12.2025 — 10:11:34</t>
  </si>
  <si>
    <t>E33149364_3_20251208T101227Z.jpg</t>
  </si>
  <si>
    <t>10 Сушилка навес\E33149364_3_20251208T101227Z.jpg</t>
  </si>
  <si>
    <t>пн 08.12.2025 — 10:12:27</t>
  </si>
  <si>
    <t>E33149364_3_20251208T101253Z.jpg</t>
  </si>
  <si>
    <t>10 Сушилка навес\E33149364_3_20251208T101253Z.jpg</t>
  </si>
  <si>
    <t>пн 08.12.2025 — 10:12:53</t>
  </si>
  <si>
    <t>E33149364_3_20251208T110517Z.jpg</t>
  </si>
  <si>
    <t>10 Сушилка навес\E33149364_3_20251208T110517Z.jpg</t>
  </si>
  <si>
    <t>пн 08.12.2025 — 11:05:17</t>
  </si>
  <si>
    <t>E33149364_3_20251208T110539Z.jpg</t>
  </si>
  <si>
    <t>10 Сушилка навес\E33149364_3_20251208T110539Z.jpg</t>
  </si>
  <si>
    <t>пн 08.12.2025 — 11:05:39</t>
  </si>
  <si>
    <t>E33149364_3_20251208T111458Z.jpg</t>
  </si>
  <si>
    <t>10 Сушилка навес\E33149364_3_20251208T111458Z.jpg</t>
  </si>
  <si>
    <t>пн 08.12.2025 — 11:14:58</t>
  </si>
  <si>
    <t>E33149364_3_20251208T142549Z.jpg</t>
  </si>
  <si>
    <t>10 Сушилка навес\E33149364_3_20251208T142549Z.jpg</t>
  </si>
  <si>
    <t>пн 08.12.2025 — 14:25:49</t>
  </si>
  <si>
    <t>E33149364_3_20251208T151329Z.jpg</t>
  </si>
  <si>
    <t>10 Сушилка навес\E33149364_3_20251208T151329Z.jpg</t>
  </si>
  <si>
    <t>пн 08.12.2025 — 15:13:29</t>
  </si>
  <si>
    <t>E33149364_3_20251208T152332Z.jpg</t>
  </si>
  <si>
    <t>10 Сушилка навес\E33149364_3_20251208T152332Z.jpg</t>
  </si>
  <si>
    <t>пн 08.12.2025 — 15:23:32</t>
  </si>
  <si>
    <t>E33149364_3_20251208T172344Z.jpg</t>
  </si>
  <si>
    <t>10 Сушилка навес\E33149364_3_20251208T172344Z.jpg</t>
  </si>
  <si>
    <t>пн 08.12.2025 — 17:23:44</t>
  </si>
  <si>
    <t>E33149364_4_20251208T100527Z.jpg</t>
  </si>
  <si>
    <t>11 С ангара на базу\E33149364_4_20251208T100527Z.jpg</t>
  </si>
  <si>
    <t>пн 08.12.2025 — 10:05:27</t>
  </si>
  <si>
    <t>E33149364_4_20251208T110553Z.jpg</t>
  </si>
  <si>
    <t>11 С ангара на базу\E33149364_4_20251208T110553Z.jpg</t>
  </si>
  <si>
    <t>пн 08.12.2025 — 11:05:53</t>
  </si>
  <si>
    <t>K07156189_20_20251208T083934Z.jpg</t>
  </si>
  <si>
    <t>12 Площадка 3 кран\K07156189_20_20251208T083934Z.jpg</t>
  </si>
  <si>
    <t>пн 08.12.2025 — 08:39:34</t>
  </si>
  <si>
    <t>K07156189_20_20251208T102342Z.jpg</t>
  </si>
  <si>
    <t>12 Площадка 3 кран\K07156189_20_20251208T102342Z.jpg</t>
  </si>
  <si>
    <t>пн 08.12.2025 — 10:23:42</t>
  </si>
  <si>
    <t>K07156189_20_20251208T171258Z.jpg</t>
  </si>
  <si>
    <t>12 Площадка 3 кран\K07156189_20_20251208T171258Z.jpg</t>
  </si>
  <si>
    <t>пн 08.12.2025 — 17:12:58</t>
  </si>
  <si>
    <t>K07156189_23_20251208T091434Z.jpg</t>
  </si>
  <si>
    <t>13 Склад хол\K07156189_23_20251208T091434Z.jpg</t>
  </si>
  <si>
    <t>пн 08.12.2025 — 09:14:34</t>
  </si>
  <si>
    <t>K07156189_23_20251208T170359Z.jpg</t>
  </si>
  <si>
    <t>13 Склад хол\K07156189_23_20251208T170359Z.jpg</t>
  </si>
  <si>
    <t>пн 08.12.2025 — 17:03:59</t>
  </si>
  <si>
    <t>стоит в слепой зоне</t>
  </si>
  <si>
    <t>Сотрудники и Газель фургон, голубая кабина, серый тент</t>
  </si>
  <si>
    <t>Вывоз на улицу</t>
  </si>
  <si>
    <t>Пиломатериалы, сотрудники</t>
  </si>
  <si>
    <t>трактор и КАМАЗ базы</t>
  </si>
  <si>
    <t>стоянка</t>
  </si>
  <si>
    <t>трактор базы</t>
  </si>
  <si>
    <t>E33149364_6_20251209T101406Z.jpg</t>
  </si>
  <si>
    <t>1 Ангар Склад 2 въезд\E33149364_6_20251209T101406Z.jpg</t>
  </si>
  <si>
    <t>вт 09.12.2025 — 10:14:06</t>
  </si>
  <si>
    <t>E33149364_6_20251209T113012Z.jpg</t>
  </si>
  <si>
    <t>1 Ангар Склад 2 въезд\E33149364_6_20251209T113012Z.jpg</t>
  </si>
  <si>
    <t>вт 09.12.2025 — 11:30:12</t>
  </si>
  <si>
    <t>E33149364_6_20251209T121518Z.jpg</t>
  </si>
  <si>
    <t>1 Ангар Склад 2 въезд\E33149364_6_20251209T121518Z.jpg</t>
  </si>
  <si>
    <t>вт 09.12.2025 — 12:15:18</t>
  </si>
  <si>
    <t>E33149364_6_20251209T122353Z.jpg</t>
  </si>
  <si>
    <t>1 Ангар Склад 2 въезд\E33149364_6_20251209T122353Z.jpg</t>
  </si>
  <si>
    <t>вт 09.12.2025 — 12:23:53</t>
  </si>
  <si>
    <t>E33149364_6_20251209T151412Z.jpg</t>
  </si>
  <si>
    <t>1 Ангар Склад 2 въезд\E33149364_6_20251209T151412Z.jpg</t>
  </si>
  <si>
    <t>вт 09.12.2025 — 15:14:12</t>
  </si>
  <si>
    <t>E33149364_6_20251209T164025Z.jpg</t>
  </si>
  <si>
    <t>1 Ангар Склад 2 въезд\E33149364_6_20251209T164025Z.jpg</t>
  </si>
  <si>
    <t>вт 09.12.2025 — 16:40:25</t>
  </si>
  <si>
    <t>E33149364_6_20251210T124635Z.jpg</t>
  </si>
  <si>
    <t>1 Ангар Склад 2 въезд\E33149364_6_20251210T124635Z.jpg</t>
  </si>
  <si>
    <t>ср 10.12.2025 — 12:46:35</t>
  </si>
  <si>
    <t>E33149364_6_20251210T152006Z.jpg</t>
  </si>
  <si>
    <t>1 Ангар Склад 2 въезд\E33149364_6_20251210T152006Z.jpg</t>
  </si>
  <si>
    <t>ср 10.12.2025 — 15:20:06</t>
  </si>
  <si>
    <t>Грузовик Volvo FH12 с платформой</t>
  </si>
  <si>
    <t>E33149364_7_20251209T100657Z.jpg</t>
  </si>
  <si>
    <t>2 Пилорама поката\E33149364_7_20251209T100657Z.jpg</t>
  </si>
  <si>
    <t>вт 09.12.2025 — 10:06:57</t>
  </si>
  <si>
    <t>E33149364_7_20251209T102454Z.jpg</t>
  </si>
  <si>
    <t>2 Пилорама поката\E33149364_7_20251209T102454Z.jpg</t>
  </si>
  <si>
    <t>вт 09.12.2025 — 10:24:54</t>
  </si>
  <si>
    <t>E33149364_7_20251209T102507Z.jpg</t>
  </si>
  <si>
    <t>2 Пилорама поката\E33149364_7_20251209T102507Z.jpg</t>
  </si>
  <si>
    <t>вт 09.12.2025 — 10:25:07</t>
  </si>
  <si>
    <t>E33149364_7_20251209T151459Z.jpg</t>
  </si>
  <si>
    <t>2 Пилорама поката\E33149364_7_20251209T151459Z.jpg</t>
  </si>
  <si>
    <t>вт 09.12.2025 — 15:14:59</t>
  </si>
  <si>
    <t>E33149364_7_20251209T162901Z.jpg</t>
  </si>
  <si>
    <t>2 Пилорама поката\E33149364_7_20251209T162901Z.jpg</t>
  </si>
  <si>
    <t>вт 09.12.2025 — 16:29:01</t>
  </si>
  <si>
    <t>E33149364_7_20251210T090238Z.jpg</t>
  </si>
  <si>
    <t>2 Пилорама поката\E33149364_7_20251210T090238Z.jpg</t>
  </si>
  <si>
    <t>ср 10.12.2025 — 09:02:38</t>
  </si>
  <si>
    <t>E33149364_7_20251210T090249Z.jpg</t>
  </si>
  <si>
    <t>2 Пилорама поката\E33149364_7_20251210T090249Z.jpg</t>
  </si>
  <si>
    <t>ср 10.12.2025 — 09:02:49</t>
  </si>
  <si>
    <t>E33149364_7_20251210T091115Z.jpg</t>
  </si>
  <si>
    <t>2 Пилорама поката\E33149364_7_20251210T091115Z.jpg</t>
  </si>
  <si>
    <t>ср 10.12.2025 — 09:11:15</t>
  </si>
  <si>
    <t>E33149364_7_20251210T091135Z.jpg</t>
  </si>
  <si>
    <t>2 Пилорама поката\E33149364_7_20251210T091135Z.jpg</t>
  </si>
  <si>
    <t>ср 10.12.2025 — 09:11:35</t>
  </si>
  <si>
    <t>E33149364_7_20251210T124722Z.jpg</t>
  </si>
  <si>
    <t>2 Пилорама поката\E33149364_7_20251210T124722Z.jpg</t>
  </si>
  <si>
    <t>ср 10.12.2025 — 12:47:22</t>
  </si>
  <si>
    <t>E33149364_7_20251210T135133Z.jpg</t>
  </si>
  <si>
    <t>2 Пилорама поката\E33149364_7_20251210T135133Z.jpg</t>
  </si>
  <si>
    <t>ср 10.12.2025 — 13:51:33</t>
  </si>
  <si>
    <t>826398429_1_20251209T174123Z.jpg</t>
  </si>
  <si>
    <t>6 Площадка 1 общага\826398429_1_20251209T174123Z.jpg</t>
  </si>
  <si>
    <t>вт 09.12.2025 — 17:41:23</t>
  </si>
  <si>
    <t>826398429_1_20251210T161005Z.jpg</t>
  </si>
  <si>
    <t>6 Площадка 1 общага\826398429_1_20251210T161005Z.jpg</t>
  </si>
  <si>
    <t>ср 10.12.2025 — 16:10:05</t>
  </si>
  <si>
    <t>826398429_1_20251211T173704Z.jpg</t>
  </si>
  <si>
    <t>6 Площадка 1 общага\826398429_1_20251211T173704Z.jpg</t>
  </si>
  <si>
    <t>чт 11.12.2025 — 17:37:04</t>
  </si>
  <si>
    <t>K07156189_18_20251209T174254Z.jpg</t>
  </si>
  <si>
    <t>C:\ВИДЕОНАБЛЮДЕНИЕ\7 Площадка 2 бетонщики\captrue\</t>
  </si>
  <si>
    <t>7 Площадка 2 бетонщики\K07156189_18_20251209T174254Z.jpg</t>
  </si>
  <si>
    <t>вт 09.12.2025 — 17:42:54</t>
  </si>
  <si>
    <t>K07156189_18_20251210T162643Z.jpg</t>
  </si>
  <si>
    <t>7 Площадка 2 бетонщики\K07156189_18_20251210T162643Z.jpg</t>
  </si>
  <si>
    <t>ср 10.12.2025 — 16:26:43</t>
  </si>
  <si>
    <t>K07156189_18_20251211T143805Z.jpg</t>
  </si>
  <si>
    <t>7 Площадка 2 бетонщики\K07156189_18_20251211T143805Z.jpg</t>
  </si>
  <si>
    <t>чт 11.12.2025 — 14:38:05</t>
  </si>
  <si>
    <t>E33149364_1_20251209T123629Z.jpg</t>
  </si>
  <si>
    <t>9 Ангар пилорама\E33149364_1_20251209T123629Z.jpg</t>
  </si>
  <si>
    <t>вт 09.12.2025 — 12:36:29</t>
  </si>
  <si>
    <t>E33149364_1_20251209T145548Z.jpg</t>
  </si>
  <si>
    <t>9 Ангар пилорама\E33149364_1_20251209T145548Z.jpg</t>
  </si>
  <si>
    <t>вт 09.12.2025 — 14:55:48</t>
  </si>
  <si>
    <t>E33149364_1_20251209T150456Z.jpg</t>
  </si>
  <si>
    <t>9 Ангар пилорама\E33149364_1_20251209T150456Z.jpg</t>
  </si>
  <si>
    <t>вт 09.12.2025 — 15:04:56</t>
  </si>
  <si>
    <t>E33149364_1_20251209T154214Z.jpg</t>
  </si>
  <si>
    <t>9 Ангар пилорама\E33149364_1_20251209T154214Z.jpg</t>
  </si>
  <si>
    <t>вт 09.12.2025 — 15:42:14</t>
  </si>
  <si>
    <t>E33149364_1_20251209T161325Z.jpg</t>
  </si>
  <si>
    <t>9 Ангар пилорама\E33149364_1_20251209T161325Z.jpg</t>
  </si>
  <si>
    <t>вт 09.12.2025 — 16:13:25</t>
  </si>
  <si>
    <t>E33149364_1_20251209T162454Z.jpg</t>
  </si>
  <si>
    <t>9 Ангар пилорама\E33149364_1_20251209T162454Z.jpg</t>
  </si>
  <si>
    <t>вт 09.12.2025 — 16:24:54</t>
  </si>
  <si>
    <t>E33149364_1_20251209T201058Z.jpg</t>
  </si>
  <si>
    <t>9 Ангар пилорама\E33149364_1_20251209T201058Z.jpg</t>
  </si>
  <si>
    <t>вт 09.12.2025 — 20:10:58</t>
  </si>
  <si>
    <t>E33149364_1_20251209T224429Z.jpg</t>
  </si>
  <si>
    <t>9 Ангар пилорама\E33149364_1_20251209T224429Z.jpg</t>
  </si>
  <si>
    <t>вт 09.12.2025 — 22:44:29</t>
  </si>
  <si>
    <t>E33149364_1_20251209T232227Z.jpg</t>
  </si>
  <si>
    <t>9 Ангар пилорама\E33149364_1_20251209T232227Z.jpg</t>
  </si>
  <si>
    <t>вт 09.12.2025 — 23:22:27</t>
  </si>
  <si>
    <t>E33149364_1_20251210T083250Z.jpg</t>
  </si>
  <si>
    <t>9 Ангар пилорама\E33149364_1_20251210T083250Z.jpg</t>
  </si>
  <si>
    <t>ср 10.12.2025 — 08:32:50</t>
  </si>
  <si>
    <t>E33149364_1_20251210T095622Z.jpg</t>
  </si>
  <si>
    <t>9 Ангар пилорама\E33149364_1_20251210T095622Z.jpg</t>
  </si>
  <si>
    <t>ср 10.12.2025 — 09:56:22</t>
  </si>
  <si>
    <t>E33149364_1_20251210T105941Z.jpg</t>
  </si>
  <si>
    <t>9 Ангар пилорама\E33149364_1_20251210T105941Z.jpg</t>
  </si>
  <si>
    <t>ср 10.12.2025 — 10:59:41</t>
  </si>
  <si>
    <t>E33149364_1_20251210T110617Z.jpg</t>
  </si>
  <si>
    <t>9 Ангар пилорама\E33149364_1_20251210T110617Z.jpg</t>
  </si>
  <si>
    <t>ср 10.12.2025 — 11:06:17</t>
  </si>
  <si>
    <t>E33149364_1_20251210T115405Z.jpg</t>
  </si>
  <si>
    <t>9 Ангар пилорама\E33149364_1_20251210T115405Z.jpg</t>
  </si>
  <si>
    <t>ср 10.12.2025 — 11:54:05</t>
  </si>
  <si>
    <t>E33149364_1_20251210T120731Z.jpg</t>
  </si>
  <si>
    <t>9 Ангар пилорама\E33149364_1_20251210T120731Z.jpg</t>
  </si>
  <si>
    <t>ср 10.12.2025 — 12:07:31</t>
  </si>
  <si>
    <t>E33149364_1_20251210T123147Z.jpg</t>
  </si>
  <si>
    <t>9 Ангар пилорама\E33149364_1_20251210T123147Z.jpg</t>
  </si>
  <si>
    <t>ср 10.12.2025 — 12:31:47</t>
  </si>
  <si>
    <t>E33149364_1_20251210T125645Z.jpg</t>
  </si>
  <si>
    <t>9 Ангар пилорама\E33149364_1_20251210T125645Z.jpg</t>
  </si>
  <si>
    <t>ср 10.12.2025 — 12:56:45</t>
  </si>
  <si>
    <t>E33149364_1_20251210T154006Z.jpg</t>
  </si>
  <si>
    <t>9 Ангар пилорама\E33149364_1_20251210T154006Z.jpg</t>
  </si>
  <si>
    <t>ср 10.12.2025 — 15:40:06</t>
  </si>
  <si>
    <t>E33149364_1_20251210T154352Z.jpg</t>
  </si>
  <si>
    <t>9 Ангар пилорама\E33149364_1_20251210T154352Z.jpg</t>
  </si>
  <si>
    <t>ср 10.12.2025 — 15:43:52</t>
  </si>
  <si>
    <t>E33149364_1_20251210T155933Z.jpg</t>
  </si>
  <si>
    <t>9 Ангар пилорама\E33149364_1_20251210T155933Z.jpg</t>
  </si>
  <si>
    <t>ср 10.12.2025 — 15:59:33</t>
  </si>
  <si>
    <t>E33149364_1_20251211T091221Z.jpg</t>
  </si>
  <si>
    <t>9 Ангар пилорама\E33149364_1_20251211T091221Z.jpg</t>
  </si>
  <si>
    <t>чт 11.12.2025 — 09:12:21</t>
  </si>
  <si>
    <t>E33149364_1_20251211T201257Z.jpg</t>
  </si>
  <si>
    <t>9 Ангар пилорама\E33149364_1_20251211T201257Z.jpg</t>
  </si>
  <si>
    <t>чт 11.12.2025 — 20:12:57</t>
  </si>
  <si>
    <t>E33149364_1_20251211T203243Z.jpg</t>
  </si>
  <si>
    <t>9 Ангар пилорама\E33149364_1_20251211T203243Z.jpg</t>
  </si>
  <si>
    <t>чт 11.12.2025 — 20:32:43</t>
  </si>
  <si>
    <t>E33149364_1_20251211T214101Z.jpg</t>
  </si>
  <si>
    <t>9 Ангар пилорама\E33149364_1_20251211T214101Z.jpg</t>
  </si>
  <si>
    <t>чт 11.12.2025 — 21:41:01</t>
  </si>
  <si>
    <t>E33149364_1_20251211T231657Z.jpg</t>
  </si>
  <si>
    <t>9 Ангар пилорама\E33149364_1_20251211T231657Z.jpg</t>
  </si>
  <si>
    <t>чт 11.12.2025 — 23:16:57</t>
  </si>
  <si>
    <t>E33149364_4_20251209T145412Z.jpg</t>
  </si>
  <si>
    <t>C:\ВИДЕОНАБЛЮДЕНИЕ\11 С ангара на базу\captrue\</t>
  </si>
  <si>
    <t>11 С ангара на базу\E33149364_4_20251209T145412Z.jpg</t>
  </si>
  <si>
    <t>вт 09.12.2025 — 14:54:12</t>
  </si>
  <si>
    <t>E33149364_4_20251209T150204Z.jpg</t>
  </si>
  <si>
    <t>11 С ангара на базу\E33149364_4_20251209T150204Z.jpg</t>
  </si>
  <si>
    <t>вт 09.12.2025 — 15:02:04</t>
  </si>
  <si>
    <t>E33149364_4_20251209T151029Z.jpg</t>
  </si>
  <si>
    <t>11 С ангара на базу\E33149364_4_20251209T151029Z.jpg</t>
  </si>
  <si>
    <t>вт 09.12.2025 — 15:10:29</t>
  </si>
  <si>
    <t>E33149364_4_20251210T121206Z.jpg</t>
  </si>
  <si>
    <t>11 С ангара на базу\E33149364_4_20251210T121206Z.jpg</t>
  </si>
  <si>
    <t>ср 10.12.2025 — 12:12:06</t>
  </si>
  <si>
    <t>E33149364_4_20251211T145553Z.jpg</t>
  </si>
  <si>
    <t>11 С ангара на базу\E33149364_4_20251211T145553Z.jpg</t>
  </si>
  <si>
    <t>чт 11.12.2025 — 14:55:53</t>
  </si>
  <si>
    <t>E33149364_4_20251211T145746Z.jpg</t>
  </si>
  <si>
    <t>11 С ангара на базу\E33149364_4_20251211T145746Z.jpg</t>
  </si>
  <si>
    <t>чт 11.12.2025 — 14:57:46</t>
  </si>
  <si>
    <t>E33149364_4_20251211T151503Z.jpg</t>
  </si>
  <si>
    <t>11 С ангара на базу\E33149364_4_20251211T151503Z.jpg</t>
  </si>
  <si>
    <t>чт 11.12.2025 — 15:15:03</t>
  </si>
  <si>
    <t>E33149364_4_20251211T172016Z.jpg</t>
  </si>
  <si>
    <t>11 С ангара на базу\E33149364_4_20251211T172016Z.jpg</t>
  </si>
  <si>
    <t>чт 11.12.2025 — 17:20:16</t>
  </si>
  <si>
    <t>K07156189_20_20251209T175359Z.jpg</t>
  </si>
  <si>
    <t>12 Площадка 3 кран\K07156189_20_20251209T175359Z.jpg</t>
  </si>
  <si>
    <t>вт 09.12.2025 — 17:53:59</t>
  </si>
  <si>
    <t>K07156189_20_20251210T155451Z.jpg</t>
  </si>
  <si>
    <t>12 Площадка 3 кран\K07156189_20_20251210T155451Z.jpg</t>
  </si>
  <si>
    <t>ср 10.12.2025 — 15:54:51</t>
  </si>
  <si>
    <t>K07156189_20_20251211T102226Z.jpg</t>
  </si>
  <si>
    <t>12 Площадка 3 кран\K07156189_20_20251211T102226Z.jpg</t>
  </si>
  <si>
    <t>чт 11.12.2025 — 10:22:26</t>
  </si>
  <si>
    <t>K07156189_23_20251209T101251Z.jpg</t>
  </si>
  <si>
    <t>13 Склад хол\K07156189_23_20251209T101251Z.jpg</t>
  </si>
  <si>
    <t>вт 09.12.2025 — 10:12:51</t>
  </si>
  <si>
    <t>K07156189_23_20251209T101315Z.jpg</t>
  </si>
  <si>
    <t>13 Склад хол\K07156189_23_20251209T101315Z.jpg</t>
  </si>
  <si>
    <t>вт 09.12.2025 — 10:13:15</t>
  </si>
  <si>
    <t>K07156189_23_20251209T154233Z.jpg</t>
  </si>
  <si>
    <t>13 Склад хол\K07156189_23_20251209T154233Z.jpg</t>
  </si>
  <si>
    <t>вт 09.12.2025 — 15:42:33</t>
  </si>
  <si>
    <t>K07156189_23_20251210T120334Z.jpg</t>
  </si>
  <si>
    <t>13 Склад хол\K07156189_23_20251210T120334Z.jpg</t>
  </si>
  <si>
    <t>ср 10.12.2025 — 12:03:34</t>
  </si>
  <si>
    <t>K07156189_23_20251210T121132Z.jpg</t>
  </si>
  <si>
    <t>13 Склад хол\K07156189_23_20251210T121132Z.jpg</t>
  </si>
  <si>
    <t>ср 10.12.2025 — 12:11:32</t>
  </si>
  <si>
    <t>K07156189_23_20251211T204316Z.jpg</t>
  </si>
  <si>
    <t>13 Склад хол\K07156189_23_20251211T204316Z.jpg</t>
  </si>
  <si>
    <t>чт 11.12.2025 — 20:43:16</t>
  </si>
  <si>
    <t>E33149364_8_20251209T121555Z.jpg</t>
  </si>
  <si>
    <t>3 Въезд на базу\E33149364_8_20251209T121555Z.jpg</t>
  </si>
  <si>
    <t>вт 09.12.2025 — 12:15:55</t>
  </si>
  <si>
    <t>E33149364_8_20251209T125803Z.jpg</t>
  </si>
  <si>
    <t>3 Въезд на базу\E33149364_8_20251209T125803Z.jpg</t>
  </si>
  <si>
    <t>вт 09.12.2025 — 12:58:03</t>
  </si>
  <si>
    <t>E33149364_8_20251209T170557Z.jpg</t>
  </si>
  <si>
    <t>3 Въезд на базу\E33149364_8_20251209T170557Z.jpg</t>
  </si>
  <si>
    <t>вт 09.12.2025 — 17:05:57</t>
  </si>
  <si>
    <t>E33149364_8_20251210T151750Z.jpg</t>
  </si>
  <si>
    <t>3 Въезд на базу\E33149364_8_20251210T151750Z.jpg</t>
  </si>
  <si>
    <t>ср 10.12.2025 — 15:17:50</t>
  </si>
  <si>
    <t>K07156189_21_20251209T121737Z.jpg</t>
  </si>
  <si>
    <t>C:\ВИДЕОНАБЛЮДЕНИЕ\4 Крыльцо офиса\captrue\</t>
  </si>
  <si>
    <t>4 Крыльцо офиса\K07156189_21_20251209T121737Z.jpg</t>
  </si>
  <si>
    <t>вт 09.12.2025 — 12:17:37</t>
  </si>
  <si>
    <t>K07156189_21_20251209T121745Z.jpg</t>
  </si>
  <si>
    <t>4 Крыльцо офиса\K07156189_21_20251209T121745Z.jpg</t>
  </si>
  <si>
    <t>вт 09.12.2025 — 12:17:45</t>
  </si>
  <si>
    <t>K07156189_21_20251209T121915Z.jpg</t>
  </si>
  <si>
    <t>4 Крыльцо офиса\K07156189_21_20251209T121915Z.jpg</t>
  </si>
  <si>
    <t>вт 09.12.2025 — 12:19:15</t>
  </si>
  <si>
    <t>K07156189_21_20251210T150852Z.jpg</t>
  </si>
  <si>
    <t>4 Крыльцо офиса\K07156189_21_20251210T150852Z.jpg</t>
  </si>
  <si>
    <t>ср 10.12.2025 — 15:08:52</t>
  </si>
  <si>
    <t>K07156189_22_20251209T161435Z.jpg</t>
  </si>
  <si>
    <t>5 Крыльцо общага\K07156189_22_20251209T161435Z.jpg</t>
  </si>
  <si>
    <t>вт 09.12.2025 — 16:14:35</t>
  </si>
  <si>
    <t>K07156189_22_20251210T111616Z.jpg</t>
  </si>
  <si>
    <t>5 Крыльцо общага\K07156189_22_20251210T111616Z.jpg</t>
  </si>
  <si>
    <t>ср 10.12.2025 — 11:16:16</t>
  </si>
  <si>
    <t>K07156189_22_20251210T161541Z.jpg</t>
  </si>
  <si>
    <t>5 Крыльцо общага\K07156189_22_20251210T161541Z.jpg</t>
  </si>
  <si>
    <t>ср 10.12.2025 — 16:15:41</t>
  </si>
  <si>
    <t>E33149364_2_20251209T162636Z.jpg</t>
  </si>
  <si>
    <t>8 Рейсмус\E33149364_2_20251209T162636Z.jpg</t>
  </si>
  <si>
    <t>вт 09.12.2025 — 16:26:36</t>
  </si>
  <si>
    <t>E33149364_2_20251210T105719Z.jpg</t>
  </si>
  <si>
    <t>8 Рейсмус\E33149364_2_20251210T105719Z.jpg</t>
  </si>
  <si>
    <t>ср 10.12.2025 — 10:57:19</t>
  </si>
  <si>
    <t>E33149364_2_20251210T144538Z.jpg</t>
  </si>
  <si>
    <t>8 Рейсмус\E33149364_2_20251210T144538Z.jpg</t>
  </si>
  <si>
    <t>ср 10.12.2025 — 14:45:38</t>
  </si>
  <si>
    <t>E33149364_2_20251210T144542Z.jpg</t>
  </si>
  <si>
    <t>8 Рейсмус\E33149364_2_20251210T144542Z.jpg</t>
  </si>
  <si>
    <t>ср 10.12.2025 — 14:45:42</t>
  </si>
  <si>
    <t>E33149364_2_20251210T144651Z.jpg</t>
  </si>
  <si>
    <t>8 Рейсмус\E33149364_2_20251210T144651Z.jpg</t>
  </si>
  <si>
    <t>ср 10.12.2025 — 14:46:51</t>
  </si>
  <si>
    <t>E33149364_2_20251210T152944Z.jpg</t>
  </si>
  <si>
    <t>8 Рейсмус\E33149364_2_20251210T152944Z.jpg</t>
  </si>
  <si>
    <t>ср 10.12.2025 — 15:29:44</t>
  </si>
  <si>
    <t>E33149364_2_20251210T155125Z.jpg</t>
  </si>
  <si>
    <t>8 Рейсмус\E33149364_2_20251210T155125Z.jpg</t>
  </si>
  <si>
    <t>ср 10.12.2025 — 15:51:25</t>
  </si>
  <si>
    <t>E33149364_2_20251210T155629Z.jpg</t>
  </si>
  <si>
    <t>8 Рейсмус\E33149364_2_20251210T155629Z.jpg</t>
  </si>
  <si>
    <t>ср 10.12.2025 — 15:56:29</t>
  </si>
  <si>
    <t>E33149364_2_20251211T233847Z.jpg</t>
  </si>
  <si>
    <t>8 Рейсмус\E33149364_2_20251211T233847Z.jpg</t>
  </si>
  <si>
    <t>чт 11.12.2025 — 23:38:47</t>
  </si>
  <si>
    <t>E33149364_3_20251209T085928Z.jpg</t>
  </si>
  <si>
    <t>10 Сушилка навес\E33149364_3_20251209T085928Z.jpg</t>
  </si>
  <si>
    <t>вт 09.12.2025 — 08:59:28</t>
  </si>
  <si>
    <t>E33149364_3_20251209T100711Z.jpg</t>
  </si>
  <si>
    <t>10 Сушилка навес\E33149364_3_20251209T100711Z.jpg</t>
  </si>
  <si>
    <t>вт 09.12.2025 — 10:07:11</t>
  </si>
  <si>
    <t>E33149364_3_20251209T113832Z.jpg</t>
  </si>
  <si>
    <t>10 Сушилка навес\E33149364_3_20251209T113832Z.jpg</t>
  </si>
  <si>
    <t>вт 09.12.2025 — 11:38:32</t>
  </si>
  <si>
    <t>E33149364_3_20251209T145541Z.jpg</t>
  </si>
  <si>
    <t>10 Сушилка навес\E33149364_3_20251209T145541Z.jpg</t>
  </si>
  <si>
    <t>вт 09.12.2025 — 14:55:41</t>
  </si>
  <si>
    <t>E33149364_3_20251209T150325Z.jpg</t>
  </si>
  <si>
    <t>10 Сушилка навес\E33149364_3_20251209T150325Z.jpg</t>
  </si>
  <si>
    <t>вт 09.12.2025 — 15:03:25</t>
  </si>
  <si>
    <t>E33149364_3_20251209T151206Z.jpg</t>
  </si>
  <si>
    <t>10 Сушилка навес\E33149364_3_20251209T151206Z.jpg</t>
  </si>
  <si>
    <t>вт 09.12.2025 — 15:12:06</t>
  </si>
  <si>
    <t>E33149364_3_20251210T084548Z.jpg</t>
  </si>
  <si>
    <t>10 Сушилка навес\E33149364_3_20251210T084548Z.jpg</t>
  </si>
  <si>
    <t>ср 10.12.2025 — 08:45:48</t>
  </si>
  <si>
    <t>E33149364_3_20251210T090139Z.jpg</t>
  </si>
  <si>
    <t>10 Сушилка навес\E33149364_3_20251210T090139Z.jpg</t>
  </si>
  <si>
    <t>ср 10.12.2025 — 09:01:39</t>
  </si>
  <si>
    <t>E33149364_3_20251210T090149Z.jpg</t>
  </si>
  <si>
    <t>10 Сушилка навес\E33149364_3_20251210T090149Z.jpg</t>
  </si>
  <si>
    <t>ср 10.12.2025 — 09:01:49</t>
  </si>
  <si>
    <t>E33149364_3_20251210T090932Z.jpg</t>
  </si>
  <si>
    <t>10 Сушилка навес\E33149364_3_20251210T090932Z.jpg</t>
  </si>
  <si>
    <t>ср 10.12.2025 — 09:09:32</t>
  </si>
  <si>
    <t>E33149364_3_20251210T091054Z.jpg</t>
  </si>
  <si>
    <t>10 Сушилка навес\E33149364_3_20251210T091054Z.jpg</t>
  </si>
  <si>
    <t>ср 10.12.2025 — 09:10:54</t>
  </si>
  <si>
    <t>E33149364_3_20251210T094520Z.jpg</t>
  </si>
  <si>
    <t>10 Сушилка навес\E33149364_3_20251210T094520Z.jpg</t>
  </si>
  <si>
    <t>ср 10.12.2025 — 09:45:20</t>
  </si>
  <si>
    <t>E33149364_3_20251210T115614Z.jpg</t>
  </si>
  <si>
    <t>10 Сушилка навес\E33149364_3_20251210T115614Z.jpg</t>
  </si>
  <si>
    <t>ср 10.12.2025 — 11:56:14</t>
  </si>
  <si>
    <t>E33149364_3_20251210T115623Z.jpg</t>
  </si>
  <si>
    <t>10 Сушилка навес\E33149364_3_20251210T115623Z.jpg</t>
  </si>
  <si>
    <t>ср 10.12.2025 — 11:56:23</t>
  </si>
  <si>
    <t>E33149364_3_20251210T120511Z.jpg</t>
  </si>
  <si>
    <t>10 Сушилка навес\E33149364_3_20251210T120511Z.jpg</t>
  </si>
  <si>
    <t>ср 10.12.2025 — 12:05:11</t>
  </si>
  <si>
    <t>E33149364_3_20251210T121317Z.jpg</t>
  </si>
  <si>
    <t>10 Сушилка навес\E33149364_3_20251210T121317Z.jpg</t>
  </si>
  <si>
    <t>ср 10.12.2025 — 12:13:17</t>
  </si>
  <si>
    <t>E33149364_3_20251211T091501Z.jpg</t>
  </si>
  <si>
    <t>10 Сушилка навес\E33149364_3_20251211T091501Z.jpg</t>
  </si>
  <si>
    <t>чт 11.12.2025 — 09:15:01</t>
  </si>
  <si>
    <t>E33149364_3_20251211T132030Z.jpg</t>
  </si>
  <si>
    <t>10 Сушилка навес\E33149364_3_20251211T132030Z.jpg</t>
  </si>
  <si>
    <t>чт 11.12.2025 — 13:20:30</t>
  </si>
  <si>
    <t>E33149364_3_20251211T165723Z.jpg</t>
  </si>
  <si>
    <t>10 Сушилка навес\E33149364_3_20251211T165723Z.jpg</t>
  </si>
  <si>
    <t>чт 11.12.2025 — 16:57:23</t>
  </si>
  <si>
    <t>E33149364_7_20251211T145657Z.jpg</t>
  </si>
  <si>
    <t>2 Пилорама поката\E33149364_7_20251211T145657Z.jpg</t>
  </si>
  <si>
    <t>чт 11.12.2025 — 14:56:57</t>
  </si>
  <si>
    <t>E33149364_7_20251212T103754Z.jpg</t>
  </si>
  <si>
    <t>2 Пилорама поката\E33149364_7_20251212T103754Z.jpg</t>
  </si>
  <si>
    <t>пт 12.12.2025 — 10:37:54</t>
  </si>
  <si>
    <t>E33149364_7_20251212T110134Z.jpg</t>
  </si>
  <si>
    <t>2 Пилорама поката\E33149364_7_20251212T110134Z.jpg</t>
  </si>
  <si>
    <t>пт 12.12.2025 — 11:01:34</t>
  </si>
  <si>
    <t>E33149364_7_20251212T111818Z.jpg</t>
  </si>
  <si>
    <t>2 Пилорама поката\E33149364_7_20251212T111818Z.jpg</t>
  </si>
  <si>
    <t>пт 12.12.2025 — 11:18:18</t>
  </si>
  <si>
    <t>E33149364_7_20251212T112745Z.jpg</t>
  </si>
  <si>
    <t>2 Пилорама поката\E33149364_7_20251212T112745Z.jpg</t>
  </si>
  <si>
    <t>пт 12.12.2025 — 11:27:45</t>
  </si>
  <si>
    <t>E33149364_7_20251212T113413Z.jpg</t>
  </si>
  <si>
    <t>2 Пилорама поката\E33149364_7_20251212T113413Z.jpg</t>
  </si>
  <si>
    <t>пт 12.12.2025 — 11:34:13</t>
  </si>
  <si>
    <t>E33149364_7_20251212T114437Z.jpg</t>
  </si>
  <si>
    <t>2 Пилорама поката\E33149364_7_20251212T114437Z.jpg</t>
  </si>
  <si>
    <t>пт 12.12.2025 — 11:44:37</t>
  </si>
  <si>
    <t>E33149364_7_20251212T120819Z.jpg</t>
  </si>
  <si>
    <t>2 Пилорама поката\E33149364_7_20251212T120819Z.jpg</t>
  </si>
  <si>
    <t>пт 12.12.2025 — 12:08:19</t>
  </si>
  <si>
    <t>E33149364_7_20251212T122100Z.jpg</t>
  </si>
  <si>
    <t>2 Пилорама поката\E33149364_7_20251212T122100Z.jpg</t>
  </si>
  <si>
    <t>пт 12.12.2025 — 12:21:00</t>
  </si>
  <si>
    <t>K07156189_21_20251211T113255Z.jpg</t>
  </si>
  <si>
    <t>4 Крыльцо офиса\K07156189_21_20251211T113255Z.jpg</t>
  </si>
  <si>
    <t>чт 11.12.2025 — 11:32:55</t>
  </si>
  <si>
    <t>K07156189_21_20251211T161131Z.jpg</t>
  </si>
  <si>
    <t>4 Крыльцо офиса\K07156189_21_20251211T161131Z.jpg</t>
  </si>
  <si>
    <t>чт 11.12.2025 — 16:11:31</t>
  </si>
  <si>
    <t>K07156189_21_20251212T151252Z.jpg</t>
  </si>
  <si>
    <t>4 Крыльцо офиса\K07156189_21_20251212T151252Z.jpg</t>
  </si>
  <si>
    <t>пт 12.12.2025 — 15:12:52</t>
  </si>
  <si>
    <t>K07156189_21_20251212T174226Z.jpg</t>
  </si>
  <si>
    <t>4 Крыльцо офиса\K07156189_21_20251212T174226Z.jpg</t>
  </si>
  <si>
    <t>пт 12.12.2025 — 17:42:26</t>
  </si>
  <si>
    <t>E33149364_6_20251211T170609Z.jpg</t>
  </si>
  <si>
    <t>1 Ангар Склад 2 въезд\E33149364_6_20251211T170609Z.jpg</t>
  </si>
  <si>
    <t>чт 11.12.2025 — 17:06:09</t>
  </si>
  <si>
    <t>E33149364_6_20251212T174150Z.jpg</t>
  </si>
  <si>
    <t>1 Ангар Склад 2 въезд\E33149364_6_20251212T174150Z.jpg</t>
  </si>
  <si>
    <t>пт 12.12.2025 — 17:41:50</t>
  </si>
  <si>
    <t>E33149364_8_20251211T132921Z.jpg</t>
  </si>
  <si>
    <t>3 Въезд на базу\E33149364_8_20251211T132921Z.jpg</t>
  </si>
  <si>
    <t>чт 11.12.2025 — 13:29:21</t>
  </si>
  <si>
    <t>E33149364_8_20251211T160622Z.jpg</t>
  </si>
  <si>
    <t>3 Въезд на базу\E33149364_8_20251211T160622Z.jpg</t>
  </si>
  <si>
    <t>чт 11.12.2025 — 16:06:22</t>
  </si>
  <si>
    <t>E33149364_8_20251212T113525Z.jpg</t>
  </si>
  <si>
    <t>3 Въезд на базу\E33149364_8_20251212T113525Z.jpg</t>
  </si>
  <si>
    <t>пт 12.12.2025 — 11:35:25</t>
  </si>
  <si>
    <t>K07156189_22_20251211T171045Z.jpg</t>
  </si>
  <si>
    <t>5 Крыльцо общага\K07156189_22_20251211T171045Z.jpg</t>
  </si>
  <si>
    <t>чт 11.12.2025 — 17:10:45</t>
  </si>
  <si>
    <t>K07156189_22_20251212T101437Z.jpg</t>
  </si>
  <si>
    <t>5 Крыльцо общага\K07156189_22_20251212T101437Z.jpg</t>
  </si>
  <si>
    <t>пт 12.12.2025 — 10:14:37</t>
  </si>
  <si>
    <t>K07156189_22_20251212T103657Z.jpg</t>
  </si>
  <si>
    <t>5 Крыльцо общага\K07156189_22_20251212T103657Z.jpg</t>
  </si>
  <si>
    <t>пт 12.12.2025 — 10:36:57</t>
  </si>
  <si>
    <t>K07156189_22_20251212T165922Z.jpg</t>
  </si>
  <si>
    <t>5 Крыльцо общага\K07156189_22_20251212T165922Z.jpg</t>
  </si>
  <si>
    <t>пт 12.12.2025 — 16:59:22</t>
  </si>
  <si>
    <t>826398429_1_20251212T114142Z.jpg</t>
  </si>
  <si>
    <t>6 Площадка 1 общага\826398429_1_20251212T114142Z.jpg</t>
  </si>
  <si>
    <t>пт 12.12.2025 — 11:41:42</t>
  </si>
  <si>
    <t>826398429_1_20251212T120448Z.jpg</t>
  </si>
  <si>
    <t>6 Площадка 1 общага\826398429_1_20251212T120448Z.jpg</t>
  </si>
  <si>
    <t>пт 12.12.2025 — 12:04:48</t>
  </si>
  <si>
    <t>826398429_1_20251212T121831Z.jpg</t>
  </si>
  <si>
    <t>6 Площадка 1 общага\826398429_1_20251212T121831Z.jpg</t>
  </si>
  <si>
    <t>пт 12.12.2025 — 12:18:31</t>
  </si>
  <si>
    <t>E33149364_2_20251212T122335Z.jpg</t>
  </si>
  <si>
    <t>8 Рейсмус\E33149364_2_20251212T122335Z.jpg</t>
  </si>
  <si>
    <t>пт 12.12.2025 — 12:23:35</t>
  </si>
  <si>
    <t>E33149364_3_20251212T090346Z.jpg</t>
  </si>
  <si>
    <t>10 Сушилка навес\E33149364_3_20251212T090346Z.jpg</t>
  </si>
  <si>
    <t>пт 12.12.2025 — 09:03:46</t>
  </si>
  <si>
    <t>E33149364_3_20251212T100840Z.jpg</t>
  </si>
  <si>
    <t>10 Сушилка навес\E33149364_3_20251212T100840Z.jpg</t>
  </si>
  <si>
    <t>пт 12.12.2025 — 10:08:40</t>
  </si>
  <si>
    <t>E33149364_3_20251212T103736Z.jpg</t>
  </si>
  <si>
    <t>10 Сушилка навес\E33149364_3_20251212T103736Z.jpg</t>
  </si>
  <si>
    <t>пт 12.12.2025 — 10:37:36</t>
  </si>
  <si>
    <t>E33149364_3_20251212T104151Z.jpg</t>
  </si>
  <si>
    <t>10 Сушилка навес\E33149364_3_20251212T104151Z.jpg</t>
  </si>
  <si>
    <t>пт 12.12.2025 — 10:41:51</t>
  </si>
  <si>
    <t>E33149364_3_20251212T104200Z.jpg</t>
  </si>
  <si>
    <t>10 Сушилка навес\E33149364_3_20251212T104200Z.jpg</t>
  </si>
  <si>
    <t>пт 12.12.2025 — 10:42:00</t>
  </si>
  <si>
    <t>E33149364_3_20251212T104711Z.jpg</t>
  </si>
  <si>
    <t>10 Сушилка навес\E33149364_3_20251212T104711Z.jpg</t>
  </si>
  <si>
    <t>пт 12.12.2025 — 10:47:11</t>
  </si>
  <si>
    <t>E33149364_3_20251212T104833Z.jpg</t>
  </si>
  <si>
    <t>10 Сушилка навес\E33149364_3_20251212T104833Z.jpg</t>
  </si>
  <si>
    <t>пт 12.12.2025 — 10:48:33</t>
  </si>
  <si>
    <t>E33149364_3_20251212T110052Z.jpg</t>
  </si>
  <si>
    <t>10 Сушилка навес\E33149364_3_20251212T110052Z.jpg</t>
  </si>
  <si>
    <t>пт 12.12.2025 — 11:00:52</t>
  </si>
  <si>
    <t>E33149364_3_20251212T111741Z.jpg</t>
  </si>
  <si>
    <t>10 Сушилка навес\E33149364_3_20251212T111741Z.jpg</t>
  </si>
  <si>
    <t>пт 12.12.2025 — 11:17:41</t>
  </si>
  <si>
    <t>E33149364_3_20251212T112701Z.jpg</t>
  </si>
  <si>
    <t>10 Сушилка навес\E33149364_3_20251212T112701Z.jpg</t>
  </si>
  <si>
    <t>пт 12.12.2025 — 11:27:01</t>
  </si>
  <si>
    <t>E33149364_3_20251212T113333Z.jpg</t>
  </si>
  <si>
    <t>10 Сушилка навес\E33149364_3_20251212T113333Z.jpg</t>
  </si>
  <si>
    <t>пт 12.12.2025 — 11:33:33</t>
  </si>
  <si>
    <t>E33149364_3_20251212T114400Z.jpg</t>
  </si>
  <si>
    <t>10 Сушилка навес\E33149364_3_20251212T114400Z.jpg</t>
  </si>
  <si>
    <t>пт 12.12.2025 — 11:44:00</t>
  </si>
  <si>
    <t>E33149364_3_20251212T120737Z.jpg</t>
  </si>
  <si>
    <t>10 Сушилка навес\E33149364_3_20251212T120737Z.jpg</t>
  </si>
  <si>
    <t>пт 12.12.2025 — 12:07:37</t>
  </si>
  <si>
    <t>E33149364_3_20251212T122024Z.jpg</t>
  </si>
  <si>
    <t>10 Сушилка навес\E33149364_3_20251212T122024Z.jpg</t>
  </si>
  <si>
    <t>пт 12.12.2025 — 12:20:24</t>
  </si>
  <si>
    <t>E33149364_3_20251212T161944Z.jpg</t>
  </si>
  <si>
    <t>10 Сушилка навес\E33149364_3_20251212T161944Z.jpg</t>
  </si>
  <si>
    <t>пт 12.12.2025 — 16:19:44</t>
  </si>
  <si>
    <t>E33149364_4_20251212T104310Z.jpg</t>
  </si>
  <si>
    <t>11 С ангара на базу\E33149364_4_20251212T104310Z.jpg</t>
  </si>
  <si>
    <t>пт 12.12.2025 — 10:43:10</t>
  </si>
  <si>
    <t>E33149364_4_20251212T143646Z.jpg</t>
  </si>
  <si>
    <t>11 С ангара на базу\E33149364_4_20251212T143646Z.jpg</t>
  </si>
  <si>
    <t>пт 12.12.2025 — 14:36:46</t>
  </si>
  <si>
    <t>E33149364_4_20251212T165109Z.jpg</t>
  </si>
  <si>
    <t>11 С ангара на базу\E33149364_4_20251212T165109Z.jpg</t>
  </si>
  <si>
    <t>пт 12.12.2025 — 16:51:09</t>
  </si>
  <si>
    <t>E33149364_1_20251212T002648Z.jpg</t>
  </si>
  <si>
    <t>9 Ангар пилорама\E33149364_1_20251212T002648Z.jpg</t>
  </si>
  <si>
    <t>пт 12.12.2025 — 00:26:48</t>
  </si>
  <si>
    <t>E33149364_1_20251212T004421Z.jpg</t>
  </si>
  <si>
    <t>9 Ангар пилорама\E33149364_1_20251212T004421Z.jpg</t>
  </si>
  <si>
    <t>пт 12.12.2025 — 00:44:21</t>
  </si>
  <si>
    <t>E33149364_1_20251212T005907Z.jpg</t>
  </si>
  <si>
    <t>9 Ангар пилорама\E33149364_1_20251212T005907Z.jpg</t>
  </si>
  <si>
    <t>пт 12.12.2025 — 00:59:07</t>
  </si>
  <si>
    <t>E33149364_1_20251212T071338Z.jpg</t>
  </si>
  <si>
    <t>9 Ангар пилорама\E33149364_1_20251212T071338Z.jpg</t>
  </si>
  <si>
    <t>пт 12.12.2025 — 07:13:38</t>
  </si>
  <si>
    <t>E33149364_1_20251212T074050Z.jpg</t>
  </si>
  <si>
    <t>9 Ангар пилорама\E33149364_1_20251212T074050Z.jpg</t>
  </si>
  <si>
    <t>пт 12.12.2025 — 07:40:50</t>
  </si>
  <si>
    <t>E33149364_1_20251212T082706Z.jpg</t>
  </si>
  <si>
    <t>9 Ангар пилорама\E33149364_1_20251212T082706Z.jpg</t>
  </si>
  <si>
    <t>пт 12.12.2025 — 08:27:06</t>
  </si>
  <si>
    <t>E33149364_1_20251212T083357Z.jpg</t>
  </si>
  <si>
    <t>9 Ангар пилорама\E33149364_1_20251212T083357Z.jpg</t>
  </si>
  <si>
    <t>пт 12.12.2025 — 08:33:57</t>
  </si>
  <si>
    <t>E33149364_1_20251212T084503Z.jpg</t>
  </si>
  <si>
    <t>9 Ангар пилорама\E33149364_1_20251212T084503Z.jpg</t>
  </si>
  <si>
    <t>пт 12.12.2025 — 08:45:03</t>
  </si>
  <si>
    <t>E33149364_1_20251212T084933Z.jpg</t>
  </si>
  <si>
    <t>9 Ангар пилорама\E33149364_1_20251212T084933Z.jpg</t>
  </si>
  <si>
    <t>пт 12.12.2025 — 08:49:33</t>
  </si>
  <si>
    <t>E33149364_1_20251212T090335Z.jpg</t>
  </si>
  <si>
    <t>9 Ангар пилорама\E33149364_1_20251212T090335Z.jpg</t>
  </si>
  <si>
    <t>пт 12.12.2025 — 09:03:35</t>
  </si>
  <si>
    <t>E33149364_1_20251212T091806Z.jpg</t>
  </si>
  <si>
    <t>9 Ангар пилорама\E33149364_1_20251212T091806Z.jpg</t>
  </si>
  <si>
    <t>пт 12.12.2025 — 09:18:06</t>
  </si>
  <si>
    <t>E33149364_1_20251212T100937Z.jpg</t>
  </si>
  <si>
    <t>9 Ангар пилорама\E33149364_1_20251212T100937Z.jpg</t>
  </si>
  <si>
    <t>пт 12.12.2025 — 10:09:37</t>
  </si>
  <si>
    <t>E33149364_1_20251212T104324Z.jpg</t>
  </si>
  <si>
    <t>9 Ангар пилорама\E33149364_1_20251212T104324Z.jpg</t>
  </si>
  <si>
    <t>пт 12.12.2025 — 10:43:24</t>
  </si>
  <si>
    <t>E33149364_1_20251212T122354Z.jpg</t>
  </si>
  <si>
    <t>9 Ангар пилорама\E33149364_1_20251212T122354Z.jpg</t>
  </si>
  <si>
    <t>пт 12.12.2025 — 12:23:54</t>
  </si>
  <si>
    <t>E33149364_1_20251212T194305Z.jpg</t>
  </si>
  <si>
    <t>9 Ангар пилорама\E33149364_1_20251212T194305Z.jpg</t>
  </si>
  <si>
    <t>пт 12.12.2025 — 19:43:05</t>
  </si>
  <si>
    <t>E33149364_1_20251212T202356Z.jpg</t>
  </si>
  <si>
    <t>9 Ангар пилорама\E33149364_1_20251212T202356Z.jpg</t>
  </si>
  <si>
    <t>пт 12.12.2025 — 20:23:56</t>
  </si>
  <si>
    <t>E33149364_1_20251212T210351Z.jpg</t>
  </si>
  <si>
    <t>9 Ангар пилорама\E33149364_1_20251212T210351Z.jpg</t>
  </si>
  <si>
    <t>пт 12.12.2025 — 21:03:51</t>
  </si>
  <si>
    <t>E33149364_1_20251212T222522Z.jpg</t>
  </si>
  <si>
    <t>9 Ангар пилорама\E33149364_1_20251212T222522Z.jpg</t>
  </si>
  <si>
    <t>пт 12.12.2025 — 22:25:22</t>
  </si>
  <si>
    <t>E33149364_1_20251212T230011Z.jpg</t>
  </si>
  <si>
    <t>9 Ангар пилорама\E33149364_1_20251212T230011Z.jpg</t>
  </si>
  <si>
    <t>пт 12.12.2025 — 23:00:11</t>
  </si>
  <si>
    <t>K07156189_23_20251212T101415Z.jpg</t>
  </si>
  <si>
    <t>13 Склад хол\K07156189_23_20251212T101415Z.jpg</t>
  </si>
  <si>
    <t>пт 12.12.2025 — 10:14:15</t>
  </si>
  <si>
    <t>K07156189_23_20251212T112535Z.jpg</t>
  </si>
  <si>
    <t>13 Склад хол\K07156189_23_20251212T112535Z.jpg</t>
  </si>
  <si>
    <t>пт 12.12.2025 — 11:25:35</t>
  </si>
  <si>
    <t>K07156189_23_20251212T114222Z.jpg</t>
  </si>
  <si>
    <t>13 Склад хол\K07156189_23_20251212T114222Z.jpg</t>
  </si>
  <si>
    <t>пт 12.12.2025 — 11:42:22</t>
  </si>
  <si>
    <t>K07156189_23_20251213T131512Z.jpg</t>
  </si>
  <si>
    <t>13 Склад хол\K07156189_23_20251213T131512Z.jpg</t>
  </si>
  <si>
    <t>сб 13.12.2025 — 13:15:12</t>
  </si>
  <si>
    <t>K07156189_23_20251213T135952Z.jpg</t>
  </si>
  <si>
    <t>13 Склад хол\K07156189_23_20251213T135952Z.jpg</t>
  </si>
  <si>
    <t>сб 13.12.2025 — 13:59:52</t>
  </si>
  <si>
    <t>K07156189_20_20251212T093952Z.jpg</t>
  </si>
  <si>
    <t>12 Площадка 3 кран\K07156189_20_20251212T093952Z.jpg</t>
  </si>
  <si>
    <t>пт 12.12.2025 — 09:39:52</t>
  </si>
  <si>
    <t>K07156189_20_20251212T103652Z.jpg</t>
  </si>
  <si>
    <t>12 Площадка 3 кран\K07156189_20_20251212T103652Z.jpg</t>
  </si>
  <si>
    <t>пт 12.12.2025 — 10:36:52</t>
  </si>
  <si>
    <t>K07156189_20_20251212T103702Z.jpg</t>
  </si>
  <si>
    <t>12 Площадка 3 кран\K07156189_20_20251212T103702Z.jpg</t>
  </si>
  <si>
    <t>пт 12.12.2025 — 10:37:02</t>
  </si>
  <si>
    <t>K07156189_20_20251212T173713Z.jpg</t>
  </si>
  <si>
    <t>12 Площадка 3 кран\K07156189_20_20251212T173713Z.jpg</t>
  </si>
  <si>
    <t>пт 12.12.2025 — 17:37:13</t>
  </si>
  <si>
    <t>K07156189_20_20251213T173539Z.jpg</t>
  </si>
  <si>
    <t>12 Площадка 3 кран\K07156189_20_20251213T173539Z.jpg</t>
  </si>
  <si>
    <t>сб 13.12.2025 — 17:35:39</t>
  </si>
  <si>
    <t>E33149364_7_20251213T173441Z.jpg</t>
  </si>
  <si>
    <t>2 Пилорама поката\E33149364_7_20251213T173441Z.jpg</t>
  </si>
  <si>
    <t>сб 13.12.2025 — 17:34:41</t>
  </si>
  <si>
    <t>E33149364_6_20251213T095058Z.jpg</t>
  </si>
  <si>
    <t>1 Ангар Склад 2 въезд\E33149364_6_20251213T095058Z.jpg</t>
  </si>
  <si>
    <t>сб 13.12.2025 — 09:50:58</t>
  </si>
  <si>
    <t>E33149364_6_20251213T124230Z.jpg</t>
  </si>
  <si>
    <t>1 Ангар Склад 2 въезд\E33149364_6_20251213T124230Z.jpg</t>
  </si>
  <si>
    <t>сб 13.12.2025 — 12:42:30</t>
  </si>
  <si>
    <t>E33149364_6_20251213T124254Z.jpg</t>
  </si>
  <si>
    <t>1 Ангар Склад 2 въезд\E33149364_6_20251213T124254Z.jpg</t>
  </si>
  <si>
    <t>сб 13.12.2025 — 12:42:54</t>
  </si>
  <si>
    <t>E33149364_6_20251213T125310Z.jpg</t>
  </si>
  <si>
    <t>1 Ангар Склад 2 въезд\E33149364_6_20251213T125310Z.jpg</t>
  </si>
  <si>
    <t>сб 13.12.2025 — 12:53:10</t>
  </si>
  <si>
    <t>E33149364_6_20251213T125340Z.jpg</t>
  </si>
  <si>
    <t>1 Ангар Склад 2 въезд\E33149364_6_20251213T125340Z.jpg</t>
  </si>
  <si>
    <t>сб 13.12.2025 — 12:53:40</t>
  </si>
  <si>
    <t>E33149364_6_20251213T125657Z.jpg</t>
  </si>
  <si>
    <t>1 Ангар Склад 2 въезд\E33149364_6_20251213T125657Z.jpg</t>
  </si>
  <si>
    <t>сб 13.12.2025 — 12:56:57</t>
  </si>
  <si>
    <t>E33149364_6_20251213T132821Z.jpg</t>
  </si>
  <si>
    <t>1 Ангар Склад 2 въезд\E33149364_6_20251213T132821Z.jpg</t>
  </si>
  <si>
    <t>сб 13.12.2025 — 13:28:21</t>
  </si>
  <si>
    <t>K07156189_21_20251213T094612Z.jpg</t>
  </si>
  <si>
    <t>4 Крыльцо офиса\K07156189_21_20251213T094612Z.jpg</t>
  </si>
  <si>
    <t>сб 13.12.2025 — 09:46:12</t>
  </si>
  <si>
    <t>K07156189_21_20251213T094846Z.jpg</t>
  </si>
  <si>
    <t>4 Крыльцо офиса\K07156189_21_20251213T094846Z.jpg</t>
  </si>
  <si>
    <t>сб 13.12.2025 — 09:48:46</t>
  </si>
  <si>
    <t>K07156189_21_20251213T124242Z.jpg</t>
  </si>
  <si>
    <t>4 Крыльцо офиса\K07156189_21_20251213T124242Z.jpg</t>
  </si>
  <si>
    <t>сб 13.12.2025 — 12:42:42</t>
  </si>
  <si>
    <t>K07156189_21_20251213T124305Z.jpg</t>
  </si>
  <si>
    <t>4 Крыльцо офиса\K07156189_21_20251213T124305Z.jpg</t>
  </si>
  <si>
    <t>сб 13.12.2025 — 12:43:05</t>
  </si>
  <si>
    <t>K07156189_21_20251213T125306Z.jpg</t>
  </si>
  <si>
    <t>4 Крыльцо офиса\K07156189_21_20251213T125306Z.jpg</t>
  </si>
  <si>
    <t>сб 13.12.2025 — 12:53:06</t>
  </si>
  <si>
    <t>K07156189_21_20251213T125325Z.jpg</t>
  </si>
  <si>
    <t>4 Крыльцо офиса\K07156189_21_20251213T125325Z.jpg</t>
  </si>
  <si>
    <t>сб 13.12.2025 — 12:53:25</t>
  </si>
  <si>
    <t>K07156189_21_20251213T125714Z.jpg</t>
  </si>
  <si>
    <t>4 Крыльцо офиса\K07156189_21_20251213T125714Z.jpg</t>
  </si>
  <si>
    <t>сб 13.12.2025 — 12:57:14</t>
  </si>
  <si>
    <t>E33149364_8_20251213T094752Z.jpg</t>
  </si>
  <si>
    <t>3 Въезд на базу\E33149364_8_20251213T094752Z.jpg</t>
  </si>
  <si>
    <t>сб 13.12.2025 — 09:47:52</t>
  </si>
  <si>
    <t>E33149364_8_20251213T124738Z.jpg</t>
  </si>
  <si>
    <t>3 Въезд на базу\E33149364_8_20251213T124738Z.jpg</t>
  </si>
  <si>
    <t>сб 13.12.2025 — 12:47:38</t>
  </si>
  <si>
    <t>E33149364_8_20251213T170414Z.jpg</t>
  </si>
  <si>
    <t>3 Въезд на базу\E33149364_8_20251213T170414Z.jpg</t>
  </si>
  <si>
    <t>сб 13.12.2025 — 17:04:14</t>
  </si>
  <si>
    <t>K07156189_22_20251213T172533Z.jpg</t>
  </si>
  <si>
    <t>5 Крыльцо общага\K07156189_22_20251213T172533Z.jpg</t>
  </si>
  <si>
    <t>сб 13.12.2025 — 17:25:33</t>
  </si>
  <si>
    <t>826398429_1_20251213T172513Z.jpg</t>
  </si>
  <si>
    <t>6 Площадка 1 общага\826398429_1_20251213T172513Z.jpg</t>
  </si>
  <si>
    <t>сб 13.12.2025 — 17:25:13</t>
  </si>
  <si>
    <t>E33149364_2_20251213T113003Z.jpg</t>
  </si>
  <si>
    <t>8 Рейсмус\E33149364_2_20251213T113003Z.jpg</t>
  </si>
  <si>
    <t>сб 13.12.2025 — 11:30:03</t>
  </si>
  <si>
    <t>E33149364_1_20251213T083002Z.jpg</t>
  </si>
  <si>
    <t>9 Ангар пилорама\E33149364_1_20251213T083002Z.jpg</t>
  </si>
  <si>
    <t>сб 13.12.2025 — 08:30:02</t>
  </si>
  <si>
    <t>E33149364_1_20251213T085806Z.jpg</t>
  </si>
  <si>
    <t>9 Ангар пилорама\E33149364_1_20251213T085806Z.jpg</t>
  </si>
  <si>
    <t>сб 13.12.2025 — 08:58:06</t>
  </si>
  <si>
    <t>E33149364_1_20251213T100353Z.jpg</t>
  </si>
  <si>
    <t>9 Ангар пилорама\E33149364_1_20251213T100353Z.jpg</t>
  </si>
  <si>
    <t>сб 13.12.2025 — 10:03:53</t>
  </si>
  <si>
    <t>E33149364_1_20251213T162351Z.jpg</t>
  </si>
  <si>
    <t>9 Ангар пилорама\E33149364_1_20251213T162351Z.jpg</t>
  </si>
  <si>
    <t>сб 13.12.2025 — 16:23:51</t>
  </si>
  <si>
    <t>E33149364_3_20251213T091811Z.jpg</t>
  </si>
  <si>
    <t>10 Сушилка навес\E33149364_3_20251213T091811Z.jpg</t>
  </si>
  <si>
    <t>сб 13.12.2025 — 09:18:11</t>
  </si>
  <si>
    <t>E33149364_3_20251213T095738Z.jpg</t>
  </si>
  <si>
    <t>10 Сушилка навес\E33149364_3_20251213T095738Z.jpg</t>
  </si>
  <si>
    <t>сб 13.12.2025 — 09:57:38</t>
  </si>
  <si>
    <t>E33149364_3_20251213T131200Z.jpg</t>
  </si>
  <si>
    <t>10 Сушилка навес\E33149364_3_20251213T131200Z.jpg</t>
  </si>
  <si>
    <t>сб 13.12.2025 — 13:12:00</t>
  </si>
  <si>
    <t>E33149364_3_20251213T171104Z.jpg</t>
  </si>
  <si>
    <t>10 Сушилка навес\E33149364_3_20251213T171104Z.jpg</t>
  </si>
  <si>
    <t>сб 13.12.2025 — 17:11:04</t>
  </si>
  <si>
    <t>E33149364_4_20251213T091533Z.jpg</t>
  </si>
  <si>
    <t>11 С ангара на базу\E33149364_4_20251213T091533Z.jpg</t>
  </si>
  <si>
    <t>сб 13.12.2025 — 09:15:33</t>
  </si>
  <si>
    <t>E33149364_4_20251213T091609Z.jpg</t>
  </si>
  <si>
    <t>11 С ангара на базу\E33149364_4_20251213T091609Z.jpg</t>
  </si>
  <si>
    <t>сб 13.12.2025 — 09:16:09</t>
  </si>
  <si>
    <t>E33149364_4_20251213T092548Z.jpg</t>
  </si>
  <si>
    <t>11 С ангара на базу\E33149364_4_20251213T092548Z.jpg</t>
  </si>
  <si>
    <t>сб 13.12.2025 — 09:25:48</t>
  </si>
  <si>
    <t>E33149364_4_20251213T093052Z.jpg</t>
  </si>
  <si>
    <t>11 С ангара на базу\E33149364_4_20251213T093052Z.jpg</t>
  </si>
  <si>
    <t>сб 13.12.2025 — 09:30:52</t>
  </si>
  <si>
    <t>E33149364_4_20251213T093128Z.jpg</t>
  </si>
  <si>
    <t>11 С ангара на базу\E33149364_4_20251213T093128Z.jpg</t>
  </si>
  <si>
    <t>сб 13.12.2025 — 09:31:28</t>
  </si>
  <si>
    <t>E33149364_4_20251213T093200Z.jpg</t>
  </si>
  <si>
    <t>11 С ангара на базу\E33149364_4_20251213T093200Z.jpg</t>
  </si>
  <si>
    <t>сб 13.12.2025 — 09:32:00</t>
  </si>
  <si>
    <t>E33149364_4_20251213T093527Z.jpg</t>
  </si>
  <si>
    <t>11 С ангара на базу\E33149364_4_20251213T093527Z.jpg</t>
  </si>
  <si>
    <t>сб 13.12.2025 — 09:35:27</t>
  </si>
  <si>
    <t>E33149364_4_20251213T093558Z.jpg</t>
  </si>
  <si>
    <t>11 С ангара на базу\E33149364_4_20251213T093558Z.jpg</t>
  </si>
  <si>
    <t>сб 13.12.2025 — 09:35:58</t>
  </si>
  <si>
    <t>E33149364_4_20251213T093825Z.jpg</t>
  </si>
  <si>
    <t>11 С ангара на базу\E33149364_4_20251213T093825Z.jpg</t>
  </si>
  <si>
    <t>сб 13.12.2025 — 09:38:25</t>
  </si>
  <si>
    <t>E33149364_4_20251213T093918Z.jpg</t>
  </si>
  <si>
    <t>11 С ангара на базу\E33149364_4_20251213T093918Z.jpg</t>
  </si>
  <si>
    <t>сб 13.12.2025 — 09:39:18</t>
  </si>
  <si>
    <t>E33149364_4_20251213T094242Z.jpg</t>
  </si>
  <si>
    <t>11 С ангара на базу\E33149364_4_20251213T094242Z.jpg</t>
  </si>
  <si>
    <t>сб 13.12.2025 — 09:42:42</t>
  </si>
  <si>
    <t>E33149364_4_20251213T130837Z.jpg</t>
  </si>
  <si>
    <t>11 С ангара на базу\E33149364_4_20251213T130837Z.jpg</t>
  </si>
  <si>
    <t>сб 13.12.2025 — 13:08:37</t>
  </si>
  <si>
    <t>E33149364_4_20251213T131040Z.jpg</t>
  </si>
  <si>
    <t>11 С ангара на базу\E33149364_4_20251213T131040Z.jpg</t>
  </si>
  <si>
    <t>сб 13.12.2025 — 13:10:40</t>
  </si>
  <si>
    <t>E33149364_4_20251213T131053Z.jpg</t>
  </si>
  <si>
    <t>11 С ангара на базу\E33149364_4_20251213T131053Z.jpg</t>
  </si>
  <si>
    <t>сб 13.12.2025 — 13:10:53</t>
  </si>
  <si>
    <t>E33149364_4_20251213T131327Z.jpg</t>
  </si>
  <si>
    <t>11 С ангара на базу\E33149364_4_20251213T131327Z.jpg</t>
  </si>
  <si>
    <t>сб 13.12.2025 — 13:13:27</t>
  </si>
  <si>
    <t>E33149364_4_20251213T131336Z.jpg</t>
  </si>
  <si>
    <t>11 С ангара на базу\E33149364_4_20251213T131336Z.jpg</t>
  </si>
  <si>
    <t>сб 13.12.2025 — 13:13:36</t>
  </si>
  <si>
    <t>E33149364_4_20251213T131736Z.jpg</t>
  </si>
  <si>
    <t>11 С ангара на базу\E33149364_4_20251213T131736Z.jpg</t>
  </si>
  <si>
    <t>сб 13.12.2025 — 13:17:36</t>
  </si>
  <si>
    <t>E33149364_4_20251213T171029Z.jpg</t>
  </si>
  <si>
    <t>11 С ангара на базу\E33149364_4_20251213T171029Z.jpg</t>
  </si>
  <si>
    <t>сб 13.12.2025 — 17:10:29</t>
  </si>
  <si>
    <t>K07156189_21_20251213T130609Z.jpg</t>
  </si>
  <si>
    <t>4 Крыльцо офиса\K07156189_21_20251213T130609Z.jpg</t>
  </si>
  <si>
    <t>сб 13.12.2025 — 13:06:09</t>
  </si>
  <si>
    <t>въезд на базу по дороге без камеры</t>
  </si>
  <si>
    <t>самосвал КамАЗ-65115 зеленый</t>
  </si>
  <si>
    <t>самосвал КамАЗ-55111 красный</t>
  </si>
  <si>
    <t>бортовой КамАЗ желтый с UNIC</t>
  </si>
  <si>
    <t>ремни, чурки</t>
  </si>
  <si>
    <t>загрузки не было - осталось после разгрузки</t>
  </si>
  <si>
    <t>обрезки пиломатериалов</t>
  </si>
  <si>
    <t>Стоянка</t>
  </si>
  <si>
    <t>ветки</t>
  </si>
  <si>
    <t>металлическая рама</t>
  </si>
  <si>
    <t>Убытие на територию</t>
  </si>
  <si>
    <t>коробка</t>
  </si>
  <si>
    <t>выезд с територии по дороге без камеры</t>
  </si>
  <si>
    <t>доставка в ангар</t>
  </si>
  <si>
    <t>Распиливание горбыля</t>
  </si>
  <si>
    <t>обрезки горбыля</t>
  </si>
  <si>
    <t>Згрузка в трактор базы</t>
  </si>
  <si>
    <t>рулон материалов</t>
  </si>
  <si>
    <t>чурки</t>
  </si>
  <si>
    <t>бруса из ангара</t>
  </si>
  <si>
    <t>Разбор штабеля</t>
  </si>
  <si>
    <t>около стены ангара</t>
  </si>
  <si>
    <t>предположительно порожний</t>
  </si>
  <si>
    <t>Начало загрузки</t>
  </si>
  <si>
    <t>пиломатериалы</t>
  </si>
  <si>
    <t>чурки, ремень</t>
  </si>
  <si>
    <t>КАМАЗ базы</t>
  </si>
  <si>
    <t>Провоз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</si>
</sst>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1" applyNumberFormat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0" borderId="0" xfId="0" applyFont="1"/>
    <xf numFmtId="0" fontId="0" fillId="0" borderId="0" xfId="0" applyAlignment="1">
      <alignment horizontal="left"/>
    </xf>
  </cellXfs>
  <cellStyles count="2">
    <cellStyle name="Гиперссылка" xfId="1" builtinId="8"/>
    <cellStyle name="Обычный" xfId="0" builtinId="0"/>
  </cellStyles>
  <dxfs count="58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164" formatCode="[$-F400]h:mm:ss\ AM/PM"/>
    </dxf>
    <dxf>
      <numFmt numFmtId="19" formatCode="dd/mm/yyyy"/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64" formatCode="[$-F400]h:mm:ss\ AM/PM"/>
    </dxf>
    <dxf>
      <numFmt numFmtId="19" formatCode="dd/mm/yyyy"/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99FFCC"/>
      <color rgb="FFD6C9D9"/>
      <color rgb="FFC3B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CC4D67-CBB9-42A8-AB9C-9EFFCE2EAA98}" autoFormatId="16" applyNumberFormats="0" applyBorderFormats="0" applyFontFormats="0" applyPatternFormats="0" applyAlignmentFormats="0" applyWidthHeightFormats="0">
  <queryTableRefresh nextId="47" unboundColumnsRight="2">
    <queryTableFields count="14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  <queryTableField id="45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2F647AE-BC39-4CFB-A5BF-F061B45F9564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1767D81-30F8-41B0-916A-CFF26993C4E0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710D1B5-D349-49C5-84AA-D006CBE970CC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A3B218EF-22CC-47C4-BE73-82DDA05E04CC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E374610E-209A-428E-A271-85318850BF64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94EE713B-6EEE-4F50-9C22-A9D07107D2AC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FC5F7406-1862-4A36-ACBD-D3F92C922FB1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C5B5B3B7-59A9-4791-9B8E-845933ABE266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DD119D9-7F92-4E78-916F-EE9C976B43C4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E75D2C4-902B-47F8-AB24-632C416D20CE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E9A3254-11ED-4B57-B063-7A1F06511961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69D9897-BBEB-4E1C-997D-D7B11908FE19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3C56455A-1A3F-4DB3-A851-D2F3AAF3BAC6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День нед" tableColumnId="1"/>
      <queryTableField id="2" name="Дата" tableColumnId="2"/>
      <queryTableField id="3" name="Время" tableColumnId="3"/>
      <queryTableField id="4" name="Событие" tableColumnId="4"/>
      <queryTableField id="5" name="Объект" tableColumnId="5"/>
      <queryTableField id="6" name="Груз" tableColumnId="6"/>
      <queryTableField id="7" name="Кол-во" tableColumnId="7"/>
      <queryTableField id="8" name="Примечание" tableColumnId="8"/>
      <queryTableField id="9" name="Name" tableColumnId="9"/>
      <queryTableField id="10" name="Folder Path" tableColumnId="10"/>
      <queryTableField id="11" name="RelativePath" tableColumnId="11"/>
      <queryTableField id="12" name="Подпись" tableColumnId="12"/>
      <queryTableField id="13" dataBound="0" tableColumnId="1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81536E4-D180-4D52-9CE9-7E154EB823EE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День нед" tableColumnId="1"/>
      <queryTableField id="2" name="Дата" tableColumnId="2"/>
      <queryTableField id="3" name="Время" tableColumnId="3"/>
      <queryTableField id="4" name="Событие" tableColumnId="4"/>
      <queryTableField id="5" name="Объект" tableColumnId="5"/>
      <queryTableField id="6" name="Груз" tableColumnId="6"/>
      <queryTableField id="7" name="Кол-во" tableColumnId="7"/>
      <queryTableField id="8" name="Примечание" tableColumnId="8"/>
      <queryTableField id="9" name="Name" tableColumnId="9"/>
      <queryTableField id="10" name="Folder Path" tableColumnId="10"/>
      <queryTableField id="11" name="RelativePath" tableColumnId="11"/>
      <queryTableField id="12" name="Подпись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468AF39-21AE-47BD-BA18-EADB2FC1D520}" name="склад2въезд" displayName="склад2въезд" ref="A1:N121" tableType="queryTable" totalsRowShown="0">
  <tableColumns count="14">
    <tableColumn id="11" xr3:uid="{6F8E650D-029B-40AD-86B4-92C160128A4F}" uniqueName="11" name="День нед" queryTableFieldId="39" dataDxfId="573"/>
    <tableColumn id="8" xr3:uid="{7C2AA400-8F21-45B7-B47D-9CF2CFB5DD00}" uniqueName="8" name="Дата" queryTableFieldId="19" dataDxfId="572"/>
    <tableColumn id="9" xr3:uid="{7CB7ABF0-C98D-49E4-A494-985A43D5F40F}" uniqueName="9" name="Время" queryTableFieldId="20" dataDxfId="571"/>
    <tableColumn id="5" xr3:uid="{613A944B-9245-4C6D-9CCE-5037AD552DED}" uniqueName="5" name="Событие" queryTableFieldId="27" dataDxfId="570"/>
    <tableColumn id="7" xr3:uid="{FFEA85A5-3527-4483-91CE-57F760AB9F33}" uniqueName="7" name="Объект" queryTableFieldId="29" dataDxfId="569"/>
    <tableColumn id="10" xr3:uid="{A2E2C27E-C1B2-4B74-A427-E1854B0E2C76}" uniqueName="10" name="Груз" queryTableFieldId="30" dataDxfId="568"/>
    <tableColumn id="13" xr3:uid="{AB674DCD-0F60-4883-BFF7-A30E966D200F}" uniqueName="13" name="Кол-во" queryTableFieldId="31"/>
    <tableColumn id="14" xr3:uid="{D8488D76-D14B-449E-8E8F-1CB357011AC0}" uniqueName="14" name="Примечание" queryTableFieldId="32" dataDxfId="567"/>
    <tableColumn id="4" xr3:uid="{B2B57637-8A7D-4C5F-A6F8-E38F3EA43620}" uniqueName="4" name="Name" queryTableFieldId="14" dataDxfId="566"/>
    <tableColumn id="1" xr3:uid="{79275791-6385-434B-9F1B-8BDC003824A7}" uniqueName="1" name="Folder Path" queryTableFieldId="11" dataDxfId="565"/>
    <tableColumn id="2" xr3:uid="{50583BB7-B8EA-4423-BEF7-17D576686CF7}" uniqueName="2" name="RelativePath" queryTableFieldId="2"/>
    <tableColumn id="12" xr3:uid="{60696081-272C-495A-8355-8B4F143E181C}" uniqueName="12" name="Подпись" queryTableFieldId="23"/>
    <tableColumn id="3" xr3:uid="{94D24BDB-3014-4110-BD38-842CF55F76A9}" uniqueName="3" name="Ссылка на фото" queryTableFieldId="3" dataDxfId="564" dataCellStyle="Гиперссылка">
      <calculatedColumnFormula>HYPERLINK(склад2въезд[[#This Row],[RelativePath]])</calculatedColumnFormula>
    </tableColumn>
    <tableColumn id="6" xr3:uid="{C0B12114-AD04-4077-92E1-69698E6901AC}" uniqueName="6" name="Камера" queryTableFieldId="45" dataDxfId="563">
      <calculatedColumnFormula>VLOOKUP(склад2въезд[[#This Row],[Name]], СпрСобытий!$F:$G, 2, FALSE)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B78437E-DF25-42E3-A639-D251D2C25B36}" name="склад2въезд14" displayName="склад2въезд14" ref="A1:M153" tableType="queryTable" totalsRowShown="0">
  <autoFilter ref="A1:M153" xr:uid="{B468AF39-21AE-47BD-BA18-EADB2FC1D520}"/>
  <tableColumns count="13">
    <tableColumn id="11" xr3:uid="{6804E693-7D64-41A5-9B58-B7D348C4DC92}" uniqueName="11" name="День нед" queryTableFieldId="39" dataDxfId="548"/>
    <tableColumn id="8" xr3:uid="{40827FD9-94EC-4CF6-B212-59CF3E913897}" uniqueName="8" name="Дата" queryTableFieldId="19" dataDxfId="547"/>
    <tableColumn id="9" xr3:uid="{1F8E8ADE-5BFB-4171-9A0A-859E22042D3B}" uniqueName="9" name="Время" queryTableFieldId="20" dataDxfId="546"/>
    <tableColumn id="5" xr3:uid="{9D19F2E1-3C70-4F2F-8ED7-6D41C17A9366}" uniqueName="5" name="Событие" queryTableFieldId="27" dataDxfId="545"/>
    <tableColumn id="7" xr3:uid="{8C8CC69A-BA0A-4417-AE7D-B89E26F69F9B}" uniqueName="7" name="Объект" queryTableFieldId="29" dataDxfId="544"/>
    <tableColumn id="10" xr3:uid="{375C36FB-077D-4AA3-B6F7-74ACE46C2638}" uniqueName="10" name="Груз" queryTableFieldId="30" dataDxfId="543"/>
    <tableColumn id="13" xr3:uid="{81ED3F67-619B-4A16-8B4E-D625F79E4618}" uniqueName="13" name="Кол-во" queryTableFieldId="31"/>
    <tableColumn id="14" xr3:uid="{F0A631A4-7DA2-4318-BC1E-7D9C0FC7F958}" uniqueName="14" name="Примечание" queryTableFieldId="32" dataDxfId="542"/>
    <tableColumn id="4" xr3:uid="{4A5BB282-D54C-4C68-A1D9-B3A819F9FCF6}" uniqueName="4" name="Name" queryTableFieldId="14" dataDxfId="541"/>
    <tableColumn id="1" xr3:uid="{7BD19058-41FF-4EFE-8283-68501A5B1623}" uniqueName="1" name="Folder Path" queryTableFieldId="11" dataDxfId="540"/>
    <tableColumn id="2" xr3:uid="{C0D011CD-12CC-40C6-A4C2-5C5924BC0CE8}" uniqueName="2" name="RelativePath" queryTableFieldId="2"/>
    <tableColumn id="12" xr3:uid="{E1E19A69-F8B5-4906-87CB-F6F597CD0A04}" uniqueName="12" name="Подпись" queryTableFieldId="23"/>
    <tableColumn id="3" xr3:uid="{AD949686-AA02-4C8F-939B-B93E0B9CB447}" uniqueName="3" name="Ссылка на фото" queryTableFieldId="3" dataDxfId="539" dataCellStyle="Гиперссылка">
      <calculatedColumnFormula>HYPERLINK(склад2въезд14[[#This Row],[RelativePath]])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D9200F-8646-4189-8FE2-2D74568CD34D}" name="склад2въезд18" displayName="склад2въезд18" ref="A1:M84" tableType="queryTable" totalsRowShown="0">
  <autoFilter ref="A1:M84" xr:uid="{B468AF39-21AE-47BD-BA18-EADB2FC1D520}"/>
  <tableColumns count="13">
    <tableColumn id="11" xr3:uid="{8C7989A8-AE95-4BFB-859E-9F3F94DCD873}" uniqueName="11" name="День нед" queryTableFieldId="39" dataDxfId="524"/>
    <tableColumn id="8" xr3:uid="{B651DAE5-1AB7-4761-9820-CB58DA0D9C46}" uniqueName="8" name="Дата" queryTableFieldId="19" dataDxfId="523"/>
    <tableColumn id="9" xr3:uid="{22B6AE73-6E8B-4F81-B85C-3D141AD4D773}" uniqueName="9" name="Время" queryTableFieldId="20" dataDxfId="522"/>
    <tableColumn id="5" xr3:uid="{CB5AF0FF-A861-4F29-BFD9-751A47066C68}" uniqueName="5" name="Событие" queryTableFieldId="27" dataDxfId="521"/>
    <tableColumn id="7" xr3:uid="{63916370-0910-4B95-ABB4-D88865AA9E43}" uniqueName="7" name="Объект" queryTableFieldId="29" dataDxfId="520"/>
    <tableColumn id="10" xr3:uid="{DDC7656E-7390-4778-A2CE-EEC7AC518263}" uniqueName="10" name="Груз" queryTableFieldId="30" dataDxfId="519"/>
    <tableColumn id="13" xr3:uid="{4463FFB4-0652-440D-8482-87D1855937EE}" uniqueName="13" name="Кол-во" queryTableFieldId="31"/>
    <tableColumn id="14" xr3:uid="{09BCE72F-589D-4690-9E88-0D2CF7AE17B1}" uniqueName="14" name="Примечание" queryTableFieldId="32" dataDxfId="518"/>
    <tableColumn id="4" xr3:uid="{96665EED-E1B8-437C-869A-35CB5BA419D3}" uniqueName="4" name="Name" queryTableFieldId="14" dataDxfId="517"/>
    <tableColumn id="1" xr3:uid="{1F225BD8-B59D-4058-9D99-17124C1F38FB}" uniqueName="1" name="Folder Path" queryTableFieldId="11" dataDxfId="516"/>
    <tableColumn id="2" xr3:uid="{8B9441C5-A40B-49FF-A353-74DA85DFBAFB}" uniqueName="2" name="RelativePath" queryTableFieldId="2"/>
    <tableColumn id="12" xr3:uid="{9561A71C-FB8E-4FBD-A9C5-ABEFF75149BD}" uniqueName="12" name="Подпись" queryTableFieldId="23"/>
    <tableColumn id="3" xr3:uid="{24213E06-E9FE-4EB9-8129-7D188870CDFE}" uniqueName="3" name="Ссылка на фото" queryTableFieldId="3" dataDxfId="515" dataCellStyle="Гиперссылка">
      <calculatedColumnFormula>HYPERLINK(склад2въезд18[[#This Row],[RelativePath]])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023115F-AE52-45B7-A551-6473482FD415}" name="склад2въезд13" displayName="склад2въезд13" ref="A1:M98" tableType="queryTable" totalsRowShown="0">
  <tableColumns count="13">
    <tableColumn id="11" xr3:uid="{F25D1388-C4DF-49FB-9BF5-0132CEDCCAEA}" uniqueName="11" name="День нед" queryTableFieldId="39" dataDxfId="500"/>
    <tableColumn id="8" xr3:uid="{9EDCCA26-9FD6-4F66-9134-186F89CA663B}" uniqueName="8" name="Дата" queryTableFieldId="19" dataDxfId="499"/>
    <tableColumn id="9" xr3:uid="{FB005DB9-8D3C-48A5-94F1-246606C665DD}" uniqueName="9" name="Время" queryTableFieldId="20" dataDxfId="498"/>
    <tableColumn id="5" xr3:uid="{6D19407C-64CF-4FC5-95E7-163AA12EB226}" uniqueName="5" name="Событие" queryTableFieldId="27" dataDxfId="497"/>
    <tableColumn id="7" xr3:uid="{007BF834-0BCB-4416-8941-11DA4EDFCE5B}" uniqueName="7" name="Объект" queryTableFieldId="29" dataDxfId="496"/>
    <tableColumn id="10" xr3:uid="{E896F002-4451-441D-B0CB-52AD69A6E5C3}" uniqueName="10" name="Груз" queryTableFieldId="30" dataDxfId="495"/>
    <tableColumn id="13" xr3:uid="{71ED881F-DB96-49B4-8EB6-0965DF3B4E1D}" uniqueName="13" name="Кол-во" queryTableFieldId="31"/>
    <tableColumn id="14" xr3:uid="{7F71EF15-8B53-4729-8B8E-03910AA280C0}" uniqueName="14" name="Примечание" queryTableFieldId="32" dataDxfId="494"/>
    <tableColumn id="4" xr3:uid="{9F6560FA-27F8-4BE9-BA58-3B0E40F582E5}" uniqueName="4" name="Name" queryTableFieldId="14" dataDxfId="493"/>
    <tableColumn id="1" xr3:uid="{44892CD0-9118-4535-9434-E49462140346}" uniqueName="1" name="Folder Path" queryTableFieldId="11" dataDxfId="492"/>
    <tableColumn id="2" xr3:uid="{0589704F-1F91-45A9-B461-C51F9508D545}" uniqueName="2" name="RelativePath" queryTableFieldId="2"/>
    <tableColumn id="12" xr3:uid="{E0E86CA4-5140-481F-BA8B-27853BD1F848}" uniqueName="12" name="Подпись" queryTableFieldId="23"/>
    <tableColumn id="3" xr3:uid="{CA2D6CF4-A791-44F5-A7E6-D7D4C1263363}" uniqueName="3" name="Ссылка на фото" queryTableFieldId="3" dataDxfId="491" dataCellStyle="Гиперссылка">
      <calculatedColumnFormula>HYPERLINK(склад2въезд13[[#This Row],[RelativePath]])</calculatedColumnFormula>
    </tableColumn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2CEBC4B-C1F7-440A-89E1-D2C387C57505}" name="склад2въезд1319" displayName="склад2въезд1319" ref="A1:M106" tableType="queryTable" totalsRowShown="0">
  <tableColumns count="13">
    <tableColumn id="11" xr3:uid="{390CB009-E9E0-4C0F-93C3-AF6B408B816B}" uniqueName="11" name="День нед" queryTableFieldId="39" dataDxfId="476"/>
    <tableColumn id="8" xr3:uid="{E0A1C296-A368-479C-9A74-85306B3C03D4}" uniqueName="8" name="Дата" queryTableFieldId="19" dataDxfId="475"/>
    <tableColumn id="9" xr3:uid="{86401298-83EB-49D3-ACBA-E743586F5CCB}" uniqueName="9" name="Время" queryTableFieldId="20" dataDxfId="474"/>
    <tableColumn id="5" xr3:uid="{FFB4F03A-A400-4544-A729-2375A1F7D5E8}" uniqueName="5" name="Событие" queryTableFieldId="27" dataDxfId="473"/>
    <tableColumn id="7" xr3:uid="{D96DCF3C-D325-4D0C-94A1-DBE97CC5C9DC}" uniqueName="7" name="Объект" queryTableFieldId="29" dataDxfId="472"/>
    <tableColumn id="10" xr3:uid="{76D99262-42F5-447E-95AC-9C2A84BF344C}" uniqueName="10" name="Груз" queryTableFieldId="30" dataDxfId="471"/>
    <tableColumn id="13" xr3:uid="{9E0DFA30-4E38-4C7F-A920-948C68AB5961}" uniqueName="13" name="Кол-во" queryTableFieldId="31"/>
    <tableColumn id="14" xr3:uid="{8D017526-0906-42CD-84C7-6F5633D731AA}" uniqueName="14" name="Примечание" queryTableFieldId="32" dataDxfId="470"/>
    <tableColumn id="4" xr3:uid="{D16AEB37-7A8A-406F-8ED7-B8D53BAA9BD9}" uniqueName="4" name="Name" queryTableFieldId="14" dataDxfId="469"/>
    <tableColumn id="1" xr3:uid="{1746BE5F-089A-476F-AE8D-5F2B27E9AEEA}" uniqueName="1" name="Folder Path" queryTableFieldId="11" dataDxfId="468"/>
    <tableColumn id="2" xr3:uid="{371602A2-FCBB-4D63-8C56-F0ABDDA2EB01}" uniqueName="2" name="RelativePath" queryTableFieldId="2"/>
    <tableColumn id="12" xr3:uid="{CEAC1587-D10C-4CD2-B948-898418535E4B}" uniqueName="12" name="Подпись" queryTableFieldId="23"/>
    <tableColumn id="3" xr3:uid="{94A18438-2800-42C3-B705-35A251A4E9DB}" uniqueName="3" name="Ссылка на фото" queryTableFieldId="3" dataDxfId="467" dataCellStyle="Гиперссылка">
      <calculatedColumnFormula>HYPERLINK(склад2въезд1319[[#This Row],[RelativePath]])</calculatedColumnFormula>
    </tableColumn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8F4ACDB-DB88-4A9C-BA31-8E383171EE0D}" name="склад2въезд131920" displayName="склад2въезд131920" ref="A1:M71" tableType="queryTable" totalsRowShown="0">
  <tableColumns count="13">
    <tableColumn id="11" xr3:uid="{45D23538-AB74-404E-8577-E2B7A36436AF}" uniqueName="11" name="День нед" queryTableFieldId="39" dataDxfId="452"/>
    <tableColumn id="8" xr3:uid="{40B01B94-168F-4547-A2BC-AA7F91350AB3}" uniqueName="8" name="Дата" queryTableFieldId="19" dataDxfId="451"/>
    <tableColumn id="9" xr3:uid="{A2C94EFB-3081-4BA9-85C2-DFF0455AFA43}" uniqueName="9" name="Время" queryTableFieldId="20" dataDxfId="450"/>
    <tableColumn id="5" xr3:uid="{244D3D34-C9EC-4B9C-BE81-12A0C0BB4342}" uniqueName="5" name="Событие" queryTableFieldId="27" dataDxfId="449"/>
    <tableColumn id="7" xr3:uid="{C449A112-E8A8-4956-B85C-2BA12316F170}" uniqueName="7" name="Объект" queryTableFieldId="29" dataDxfId="448"/>
    <tableColumn id="10" xr3:uid="{C8411557-C312-4542-93DA-DF5949399E11}" uniqueName="10" name="Груз" queryTableFieldId="30" dataDxfId="447"/>
    <tableColumn id="13" xr3:uid="{728CDA5C-7E8A-4466-AA7E-283B880FBCFF}" uniqueName="13" name="Кол-во" queryTableFieldId="31"/>
    <tableColumn id="14" xr3:uid="{44F4DC42-7B60-4953-840A-E24DB944EB12}" uniqueName="14" name="Примечание" queryTableFieldId="32" dataDxfId="446"/>
    <tableColumn id="4" xr3:uid="{6A396D44-0898-4737-A4C1-8D6D40981793}" uniqueName="4" name="Name" queryTableFieldId="14" dataDxfId="445"/>
    <tableColumn id="1" xr3:uid="{328F21C9-48B9-4081-9B8C-BBD168BD38D1}" uniqueName="1" name="Folder Path" queryTableFieldId="11" dataDxfId="444"/>
    <tableColumn id="2" xr3:uid="{3705F086-3D5A-401E-8F67-966277F18B1E}" uniqueName="2" name="RelativePath" queryTableFieldId="2"/>
    <tableColumn id="12" xr3:uid="{CDB905A2-F005-4E58-9652-9A2090A0817F}" uniqueName="12" name="Подпись" queryTableFieldId="23"/>
    <tableColumn id="3" xr3:uid="{70835F14-5E8D-4CDE-9048-BDFE727D7AC5}" uniqueName="3" name="Ссылка на фото" queryTableFieldId="3" dataDxfId="443" dataCellStyle="Гиперссылка">
      <calculatedColumnFormula>HYPERLINK(склад2въезд131920[[#This Row],[RelativePath]])</calculatedColumnFormula>
    </tableColumn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E213CBC-E0EB-4ADF-8EF9-0CF8C6E2E044}" name="склад2въезд13192021" displayName="склад2въезд13192021" ref="A1:M197" tableType="queryTable" totalsRowShown="0">
  <tableColumns count="13">
    <tableColumn id="11" xr3:uid="{2311EAC9-4673-4BE2-ADB0-E8CEB0BD9945}" uniqueName="11" name="День нед" queryTableFieldId="39" dataDxfId="427"/>
    <tableColumn id="8" xr3:uid="{F1C9804A-F8E7-4755-B717-859265C587A2}" uniqueName="8" name="Дата" queryTableFieldId="19" dataDxfId="426"/>
    <tableColumn id="9" xr3:uid="{1C2BA522-8D4F-4713-849C-1F60357B476E}" uniqueName="9" name="Время" queryTableFieldId="20" dataDxfId="425"/>
    <tableColumn id="5" xr3:uid="{6E084A00-DC62-4E93-8ABC-4651FD4D2408}" uniqueName="5" name="Событие" queryTableFieldId="27" dataDxfId="424"/>
    <tableColumn id="7" xr3:uid="{C9F6EF14-DBE7-4655-9D20-5B253923C11E}" uniqueName="7" name="Объект" queryTableFieldId="29" dataDxfId="423"/>
    <tableColumn id="10" xr3:uid="{0ADEC0F9-9FE9-4E92-BD38-0B8CDDE1BDBD}" uniqueName="10" name="Груз" queryTableFieldId="30" dataDxfId="422"/>
    <tableColumn id="13" xr3:uid="{364531C4-5E2D-40F1-92E4-426F02069FF4}" uniqueName="13" name="Кол-во" queryTableFieldId="31"/>
    <tableColumn id="14" xr3:uid="{BA19AB3B-8FBB-4409-ADBC-B2604B0F169D}" uniqueName="14" name="Примечание" queryTableFieldId="32" dataDxfId="421"/>
    <tableColumn id="4" xr3:uid="{FE606B6B-0A78-44A2-B44F-54FBA553BAD6}" uniqueName="4" name="Name" queryTableFieldId="14" dataDxfId="420"/>
    <tableColumn id="1" xr3:uid="{34274AB2-665A-4EF1-8C79-4944C9C122A7}" uniqueName="1" name="Folder Path" queryTableFieldId="11" dataDxfId="419"/>
    <tableColumn id="2" xr3:uid="{BBF6B4F2-75F4-45AA-8E2F-273BC1796C35}" uniqueName="2" name="RelativePath" queryTableFieldId="2"/>
    <tableColumn id="12" xr3:uid="{477C980D-135F-4FE5-9991-5C385F9261DC}" uniqueName="12" name="Подпись" queryTableFieldId="23"/>
    <tableColumn id="3" xr3:uid="{3137ECA1-193C-433B-B573-56E36643DA35}" uniqueName="3" name="Ссылка на фото" queryTableFieldId="3" dataDxfId="418" dataCellStyle="Гиперссылка">
      <calculatedColumnFormula>HYPERLINK(склад2въезд13192021[[#This Row],[RelativePath]])</calculatedColumnFormula>
    </tableColumn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01666C7-2ADC-41E5-9698-D1FCAF1C95C5}" name="склад2въезд1319202122" displayName="склад2въезд1319202122" ref="A1:M128" tableType="queryTable" totalsRowShown="0">
  <tableColumns count="13">
    <tableColumn id="11" xr3:uid="{72CE202A-C56C-4D63-9F9F-0DFF72BB5190}" uniqueName="11" name="День нед" queryTableFieldId="39" dataDxfId="403"/>
    <tableColumn id="8" xr3:uid="{0D9F5C4C-70B0-46E2-9E29-649E206B6616}" uniqueName="8" name="Дата" queryTableFieldId="19" dataDxfId="402"/>
    <tableColumn id="9" xr3:uid="{7C8561D4-BD7D-493F-BC95-213F2D55F3FD}" uniqueName="9" name="Время" queryTableFieldId="20" dataDxfId="401"/>
    <tableColumn id="5" xr3:uid="{E48795B2-2732-4E4A-81E8-B1585581420B}" uniqueName="5" name="Событие" queryTableFieldId="27" dataDxfId="400"/>
    <tableColumn id="7" xr3:uid="{F684EE24-0636-4EC2-AB94-A65EA5355534}" uniqueName="7" name="Объект" queryTableFieldId="29" dataDxfId="399"/>
    <tableColumn id="10" xr3:uid="{0C1B5273-277F-4438-B52D-9F868AD13DEE}" uniqueName="10" name="Груз" queryTableFieldId="30" dataDxfId="398"/>
    <tableColumn id="13" xr3:uid="{11C2785F-3A2F-40C1-A811-32F611DCB4C1}" uniqueName="13" name="Кол-во" queryTableFieldId="31"/>
    <tableColumn id="14" xr3:uid="{87191137-0169-4119-A8F8-91543021FBD6}" uniqueName="14" name="Примечание" queryTableFieldId="32" dataDxfId="397"/>
    <tableColumn id="4" xr3:uid="{729433F6-F4FD-435B-851D-D34CC9060068}" uniqueName="4" name="Name" queryTableFieldId="14" dataDxfId="396"/>
    <tableColumn id="1" xr3:uid="{7A9B9B80-B872-4A82-9D9D-98A75E20F89B}" uniqueName="1" name="Folder Path" queryTableFieldId="11" dataDxfId="395"/>
    <tableColumn id="2" xr3:uid="{E88A71B9-AF3F-4A8B-A11B-CB806CF47852}" uniqueName="2" name="RelativePath" queryTableFieldId="2"/>
    <tableColumn id="12" xr3:uid="{3E85E07A-B6DD-435B-AD36-2A267B0A4EED}" uniqueName="12" name="Подпись" queryTableFieldId="23"/>
    <tableColumn id="3" xr3:uid="{F5DBCAE6-89E4-4C52-A4A0-21D736CC62F3}" uniqueName="3" name="Ссылка на фото" queryTableFieldId="3" dataDxfId="394" dataCellStyle="Гиперссылка">
      <calculatedColumnFormula>HYPERLINK(склад2въезд1319202122[[#This Row],[RelativePath]])</calculatedColumnFormula>
    </tableColumn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03BDD-2226-43CD-B4F2-91F8CB0922B3}" name="склад2въезд13192021222" displayName="склад2въезд13192021222" ref="A1:M357" tableType="queryTable" totalsRowShown="0">
  <tableColumns count="13">
    <tableColumn id="11" xr3:uid="{2CE691F0-1D02-41BD-8E81-7716875609CD}" uniqueName="11" name="День нед" queryTableFieldId="39" dataDxfId="379"/>
    <tableColumn id="8" xr3:uid="{1A2A3B97-F602-468E-8AD3-5DD492638A71}" uniqueName="8" name="Дата" queryTableFieldId="19" dataDxfId="378"/>
    <tableColumn id="9" xr3:uid="{E8725BDD-FF6C-47C3-9100-825160B93721}" uniqueName="9" name="Время" queryTableFieldId="20" dataDxfId="377"/>
    <tableColumn id="5" xr3:uid="{F68EB906-7F6F-4765-A5C8-9B40064179BE}" uniqueName="5" name="Событие" queryTableFieldId="27" dataDxfId="376"/>
    <tableColumn id="7" xr3:uid="{812FE0F9-0D7E-497C-893A-B104BA069155}" uniqueName="7" name="Объект" queryTableFieldId="29" dataDxfId="375"/>
    <tableColumn id="10" xr3:uid="{1679E688-A047-4936-9EBC-9BDCFEA4CD95}" uniqueName="10" name="Груз" queryTableFieldId="30" dataDxfId="374"/>
    <tableColumn id="13" xr3:uid="{0D808D7A-A301-4F46-9B16-B3B1BA2A38CB}" uniqueName="13" name="Кол-во" queryTableFieldId="31"/>
    <tableColumn id="14" xr3:uid="{B9C5A903-FDAD-4765-A8A6-FDCF4E43A5DB}" uniqueName="14" name="Примечание" queryTableFieldId="32" dataDxfId="373"/>
    <tableColumn id="4" xr3:uid="{F9F7F55E-2CCF-4A6B-892F-1C76C0668832}" uniqueName="4" name="Name" queryTableFieldId="14" dataDxfId="372"/>
    <tableColumn id="1" xr3:uid="{0AF9B05B-8D0E-4B8A-81D0-358A18429CE8}" uniqueName="1" name="Folder Path" queryTableFieldId="11" dataDxfId="371"/>
    <tableColumn id="2" xr3:uid="{3CBD6510-6BBF-44B3-92AF-7F24779AC0A7}" uniqueName="2" name="RelativePath" queryTableFieldId="2"/>
    <tableColumn id="12" xr3:uid="{F63A70E4-09D6-4151-A422-1D10EE1CA254}" uniqueName="12" name="Подпись" queryTableFieldId="23"/>
    <tableColumn id="3" xr3:uid="{27273983-B6FF-40BF-94E3-6F75AD1E3097}" uniqueName="3" name="Ссылка на фото" queryTableFieldId="3" dataDxfId="370" dataCellStyle="Гиперссылка">
      <calculatedColumnFormula>HYPERLINK(склад2въезд13192021222[[#This Row],[RelativePath]])</calculatedColumnFormula>
    </tableColumn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ABA9EC-2604-4E01-8D83-50A76DC6BE2E}" name="склад2въезд131920212223" displayName="склад2въезд131920212223" ref="A1:M346" tableType="queryTable" totalsRowShown="0">
  <tableColumns count="13">
    <tableColumn id="11" xr3:uid="{96A6BDDB-7ED5-4607-80F3-3FD842EAEE0A}" uniqueName="11" name="День нед" queryTableFieldId="39" dataDxfId="355"/>
    <tableColumn id="8" xr3:uid="{FBEC9ECA-BD5C-442E-BB86-7CCAEF9464D2}" uniqueName="8" name="Дата" queryTableFieldId="19" dataDxfId="354"/>
    <tableColumn id="9" xr3:uid="{68242AF7-BC60-4380-843B-35A6CC4A66E6}" uniqueName="9" name="Время" queryTableFieldId="20" dataDxfId="353"/>
    <tableColumn id="5" xr3:uid="{C98BCFD6-9DE9-4A28-B769-F5737933429D}" uniqueName="5" name="Событие" queryTableFieldId="27" dataDxfId="352"/>
    <tableColumn id="7" xr3:uid="{4D44F8D4-93A4-4851-894E-AC8CDD93BD71}" uniqueName="7" name="Объект" queryTableFieldId="29" dataDxfId="351"/>
    <tableColumn id="10" xr3:uid="{0A838B00-A88A-40EE-A542-7E8E08968D89}" uniqueName="10" name="Груз" queryTableFieldId="30" dataDxfId="350"/>
    <tableColumn id="13" xr3:uid="{9FBAF186-646A-4BE0-A16E-D38F0B863C8B}" uniqueName="13" name="Кол-во" queryTableFieldId="31"/>
    <tableColumn id="14" xr3:uid="{7A7D71D5-8981-4AAD-BAE4-398304605172}" uniqueName="14" name="Примечание" queryTableFieldId="32" dataDxfId="349"/>
    <tableColumn id="4" xr3:uid="{4FA2E248-D5A3-4824-875F-C328FA9AC2F9}" uniqueName="4" name="Name" queryTableFieldId="14" dataDxfId="348"/>
    <tableColumn id="1" xr3:uid="{B01A6B83-82C4-4172-AD5B-D2AF410DBE1B}" uniqueName="1" name="Folder Path" queryTableFieldId="11" dataDxfId="347"/>
    <tableColumn id="2" xr3:uid="{36F23A81-C182-4B96-AD4F-045C3BB1AE52}" uniqueName="2" name="RelativePath" queryTableFieldId="2"/>
    <tableColumn id="12" xr3:uid="{935DD45A-7AC9-4D7E-9CCF-23E198588F2C}" uniqueName="12" name="Подпись" queryTableFieldId="23"/>
    <tableColumn id="3" xr3:uid="{A9966869-4716-4ABD-B14F-CFFD1BF3FF87}" uniqueName="3" name="Ссылка на фото" queryTableFieldId="3" dataDxfId="346" dataCellStyle="Гиперссылка">
      <calculatedColumnFormula>HYPERLINK(склад2въезд131920212223[[#This Row],[RelativePath]])</calculatedColumnFormula>
    </tableColumn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16578D-E04F-40F0-B158-4859132E2925}" name="склад2въезд1319202122237" displayName="склад2въезд1319202122237" ref="A1:M151" tableType="queryTable" totalsRowShown="0">
  <tableColumns count="13">
    <tableColumn id="11" xr3:uid="{2AD64508-44AB-4871-8C82-4C5A1E5A5DD2}" uniqueName="11" name="День нед" queryTableFieldId="39" dataDxfId="331"/>
    <tableColumn id="8" xr3:uid="{C788117B-4896-492B-97B3-B2502F0537D8}" uniqueName="8" name="Дата" queryTableFieldId="19" dataDxfId="330"/>
    <tableColumn id="9" xr3:uid="{E3EF5757-6705-492A-BD76-A47D414757C0}" uniqueName="9" name="Время" queryTableFieldId="20" dataDxfId="329"/>
    <tableColumn id="5" xr3:uid="{EF049B28-F832-4F3D-AB4F-3C396920BF5B}" uniqueName="5" name="Событие" queryTableFieldId="27" dataDxfId="328"/>
    <tableColumn id="7" xr3:uid="{DDB63E42-2809-4377-A568-A326109989E9}" uniqueName="7" name="Объект" queryTableFieldId="29" dataDxfId="327"/>
    <tableColumn id="10" xr3:uid="{A4FCF3D3-582A-4DEF-8FB8-9D050C82517D}" uniqueName="10" name="Груз" queryTableFieldId="30" dataDxfId="326"/>
    <tableColumn id="13" xr3:uid="{7FFA3FD7-FA79-41AD-B08D-DFF0328826F1}" uniqueName="13" name="Кол-во" queryTableFieldId="31"/>
    <tableColumn id="14" xr3:uid="{6CD2FBA5-04E8-46EA-9F48-5BC770178C2A}" uniqueName="14" name="Примечание" queryTableFieldId="32" dataDxfId="325"/>
    <tableColumn id="4" xr3:uid="{DA63B8EC-3587-40B4-A86A-92B91C78723D}" uniqueName="4" name="Name" queryTableFieldId="14" dataDxfId="324"/>
    <tableColumn id="1" xr3:uid="{360C7476-DEC6-4377-8E95-D472C6673B12}" uniqueName="1" name="Folder Path" queryTableFieldId="11" dataDxfId="323"/>
    <tableColumn id="2" xr3:uid="{C7F5155C-DC23-49BC-B05A-561AE34FCE17}" uniqueName="2" name="RelativePath" queryTableFieldId="2"/>
    <tableColumn id="12" xr3:uid="{E0B1EDAF-9E63-47B2-81B5-F7F92F58367F}" uniqueName="12" name="Подпись" queryTableFieldId="23"/>
    <tableColumn id="3" xr3:uid="{FD9D18DE-9242-4455-BED4-1081811B6FC0}" uniqueName="3" name="Ссылка на фото" queryTableFieldId="3" dataDxfId="322" dataCellStyle="Гиперссылка">
      <calculatedColumnFormula>HYPERLINK(склад2въезд1319202122237[[#This Row],[RelativePath]])</calculatedColumnFormula>
    </tableColumn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892581-70D3-4878-8547-D5446AA754A9}" name="склад2въезд13192021222378" displayName="склад2въезд13192021222378" ref="A1:M97" tableType="queryTable" totalsRowShown="0">
  <tableColumns count="13">
    <tableColumn id="11" xr3:uid="{C40005DE-8CA6-428A-9DF2-E715CC943F02}" uniqueName="11" name="День нед" queryTableFieldId="39" dataDxfId="307"/>
    <tableColumn id="8" xr3:uid="{55C75F47-F14F-483C-9C7A-95288D9463D6}" uniqueName="8" name="Дата" queryTableFieldId="19" dataDxfId="306"/>
    <tableColumn id="9" xr3:uid="{79D3981C-638A-4D64-BACB-D64D85DAC855}" uniqueName="9" name="Время" queryTableFieldId="20" dataDxfId="305"/>
    <tableColumn id="5" xr3:uid="{B0B848B5-29B2-4292-89A5-7DE5A2F72D15}" uniqueName="5" name="Событие" queryTableFieldId="27" dataDxfId="304"/>
    <tableColumn id="7" xr3:uid="{A9E0C8AC-2336-4969-BC3E-110E6C33529C}" uniqueName="7" name="Объект" queryTableFieldId="29" dataDxfId="303"/>
    <tableColumn id="10" xr3:uid="{F8691CA5-2689-452F-9550-C52E06B35BD6}" uniqueName="10" name="Груз" queryTableFieldId="30" dataDxfId="302"/>
    <tableColumn id="13" xr3:uid="{B76CA90C-80A6-4113-9508-639148A532FE}" uniqueName="13" name="Кол-во" queryTableFieldId="31"/>
    <tableColumn id="14" xr3:uid="{61246AFF-D24F-4835-8905-11E7E4B6703E}" uniqueName="14" name="Примечание" queryTableFieldId="32" dataDxfId="301"/>
    <tableColumn id="4" xr3:uid="{E9716AC2-8439-4E67-8698-BA6CD84F7B9C}" uniqueName="4" name="Name" queryTableFieldId="14" dataDxfId="300"/>
    <tableColumn id="1" xr3:uid="{9AB30DEC-91E3-4633-A156-B937B586CECB}" uniqueName="1" name="Folder Path" queryTableFieldId="11" dataDxfId="299"/>
    <tableColumn id="2" xr3:uid="{AB07D8A2-605D-4F30-9BBC-543473817AD5}" uniqueName="2" name="RelativePath" queryTableFieldId="2"/>
    <tableColumn id="12" xr3:uid="{E3EB9334-2561-4913-99D1-4568DB0E4771}" uniqueName="12" name="Подпись" queryTableFieldId="23"/>
    <tableColumn id="3" xr3:uid="{5A1CB639-3CAB-4304-B2F4-3C39383AA3D9}" uniqueName="3" name="Ссылка на фото" queryTableFieldId="3" dataDxfId="298" dataCellStyle="Гиперссылка">
      <calculatedColumnFormula>HYPERLINK(склад2въезд13192021222378[[#This Row],[RelativePath]])</calculatedColumnFormula>
    </tableColumn>
  </tableColumns>
  <tableStyleInfo name="TableStyleLight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56B6E0-CB90-4912-9508-CAD4D9CE8021}" name="склад2въезд131920212223789" displayName="склад2въезд131920212223789" ref="A1:M60" tableType="queryTable" totalsRowShown="0">
  <tableColumns count="13">
    <tableColumn id="11" xr3:uid="{B21CFC33-55C8-4073-BBD2-E0A5154A10D6}" uniqueName="11" name="День нед" queryTableFieldId="39" dataDxfId="283"/>
    <tableColumn id="8" xr3:uid="{004370C0-0D3C-4162-A392-32C741C3A58B}" uniqueName="8" name="Дата" queryTableFieldId="19" dataDxfId="282"/>
    <tableColumn id="9" xr3:uid="{6537DA5E-247D-44FB-ACE3-933B3C9B9408}" uniqueName="9" name="Время" queryTableFieldId="20" dataDxfId="281"/>
    <tableColumn id="5" xr3:uid="{4FA9309D-407E-48C1-B1F9-C33DEA7645B1}" uniqueName="5" name="Событие" queryTableFieldId="27" dataDxfId="280"/>
    <tableColumn id="7" xr3:uid="{76E54E9E-D730-4C99-9BF5-96E9384FF63C}" uniqueName="7" name="Объект" queryTableFieldId="29" dataDxfId="279"/>
    <tableColumn id="10" xr3:uid="{B9F78DE2-7938-486B-9BE2-F824D0E7A6C4}" uniqueName="10" name="Груз" queryTableFieldId="30" dataDxfId="278"/>
    <tableColumn id="13" xr3:uid="{7EA685FC-1E5C-44AB-9351-A2A1406114E7}" uniqueName="13" name="Кол-во" queryTableFieldId="31"/>
    <tableColumn id="14" xr3:uid="{D9B5BB24-F3A6-47FF-982A-CC5A0BAA1B06}" uniqueName="14" name="Примечание" queryTableFieldId="32" dataDxfId="277"/>
    <tableColumn id="4" xr3:uid="{921D28C1-5761-48A7-B447-6A4446F87545}" uniqueName="4" name="Name" queryTableFieldId="14" dataDxfId="276"/>
    <tableColumn id="1" xr3:uid="{F1A648C1-8DB5-4DEF-B011-BD85E17FCAA3}" uniqueName="1" name="Folder Path" queryTableFieldId="11" dataDxfId="275"/>
    <tableColumn id="2" xr3:uid="{92722281-25C2-4975-9C90-A4C6DB4E30AC}" uniqueName="2" name="RelativePath" queryTableFieldId="2"/>
    <tableColumn id="12" xr3:uid="{08774137-9F9D-4151-B213-FB3021CC5846}" uniqueName="12" name="Подпись" queryTableFieldId="23"/>
    <tableColumn id="3" xr3:uid="{8AE043D7-B40C-4B97-9613-F77A0D59F3BE}" uniqueName="3" name="Ссылка на фото" queryTableFieldId="3" dataDxfId="274" dataCellStyle="Гиперссылка">
      <calculatedColumnFormula>HYPERLINK(склад2въезд131920212223789[[#This Row],[RelativePath]])</calculatedColumnFormula>
    </tableColumn>
  </tableColumns>
  <tableStyleInfo name="TableStyleLight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F6D5DF-B535-4FB1-B418-CBC4B76C174A}" name="Таблица3" displayName="Таблица3" ref="A1:M170" tableType="queryTable" totalsRowShown="0">
  <autoFilter ref="A1:M170" xr:uid="{34F6D5DF-B535-4FB1-B418-CBC4B76C174A}"/>
  <tableColumns count="13">
    <tableColumn id="1" xr3:uid="{A9417591-EE1C-4FCF-A9DE-546847216A4D}" uniqueName="1" name="День нед" queryTableFieldId="1"/>
    <tableColumn id="2" xr3:uid="{3019A727-3826-4B11-9F36-8030E84F0207}" uniqueName="2" name="Дата" queryTableFieldId="2" dataDxfId="267"/>
    <tableColumn id="3" xr3:uid="{8C3702C1-E43C-496C-A204-7587B7ED5C05}" uniqueName="3" name="Время" queryTableFieldId="3" dataDxfId="266"/>
    <tableColumn id="4" xr3:uid="{C16264D0-558B-425C-8205-E671C6E3EB9E}" uniqueName="4" name="Событие" queryTableFieldId="4" dataDxfId="265"/>
    <tableColumn id="5" xr3:uid="{704C03AA-AEFB-4BC0-9B1F-AA2EECFA0C4D}" uniqueName="5" name="Объект" queryTableFieldId="5"/>
    <tableColumn id="6" xr3:uid="{DED7548F-D1CE-46E8-B1E7-8A5A06603C00}" uniqueName="6" name="Груз" queryTableFieldId="6"/>
    <tableColumn id="7" xr3:uid="{2B8646BA-144D-4684-B159-8751A6D941E6}" uniqueName="7" name="Кол-во" queryTableFieldId="7"/>
    <tableColumn id="8" xr3:uid="{D7ACFC57-AE7D-42C5-9D93-BBAFFBFB84CA}" uniqueName="8" name="Примечание" queryTableFieldId="8"/>
    <tableColumn id="9" xr3:uid="{2BC0F9EA-6A13-41D3-82A5-F4CFE7150460}" uniqueName="9" name="Name" queryTableFieldId="9" dataDxfId="264"/>
    <tableColumn id="10" xr3:uid="{37082223-0A57-495F-97B8-0BCE1F173A2E}" uniqueName="10" name="Folder Path" queryTableFieldId="10" dataDxfId="263"/>
    <tableColumn id="11" xr3:uid="{EBD0C845-C42C-451D-83F4-EBC294BB2922}" uniqueName="11" name="RelativePath" queryTableFieldId="11"/>
    <tableColumn id="12" xr3:uid="{8C3E88FE-F826-4E20-978D-18AD86489ED3}" uniqueName="12" name="Подпись" queryTableFieldId="12"/>
    <tableColumn id="13" xr3:uid="{0C2584DC-3A1B-4C4E-BD86-497B7F970B06}" uniqueName="13" name="Ссылка на фото" queryTableFieldId="13" dataDxfId="262" dataCellStyle="Гиперссылка">
      <calculatedColumnFormula>HYPERLINK(Таблица3[[#This Row],[RelativePath]])</calculatedColumnFormula>
    </tableColumn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D6A7BD-F20C-48FF-BC40-E14A40EFAB36}" name="СторонТрансп" displayName="СторонТрансп" ref="A1:M339" tableType="queryTable" totalsRowShown="0">
  <tableColumns count="13">
    <tableColumn id="1" xr3:uid="{858CB388-E343-467B-BA8A-53D69E23D756}" uniqueName="1" name="День нед" queryTableFieldId="1"/>
    <tableColumn id="2" xr3:uid="{F5CABA67-3CE5-4553-B70E-837B2217100D}" uniqueName="2" name="Дата" queryTableFieldId="2" dataDxfId="255"/>
    <tableColumn id="3" xr3:uid="{A5BADAB4-5066-43B1-85E5-70A52776C24E}" uniqueName="3" name="Время" queryTableFieldId="3" dataDxfId="254"/>
    <tableColumn id="4" xr3:uid="{B1D585FC-DA3D-434B-94C8-40BA68B5131D}" uniqueName="4" name="Событие" queryTableFieldId="4" dataDxfId="253"/>
    <tableColumn id="5" xr3:uid="{398D4202-3874-46B1-9870-9B7E0340B7DD}" uniqueName="5" name="Объект" queryTableFieldId="5"/>
    <tableColumn id="6" xr3:uid="{CF0283CE-9B5F-4CCA-9837-192116BBFC0C}" uniqueName="6" name="Груз" queryTableFieldId="6"/>
    <tableColumn id="7" xr3:uid="{710B0949-5E10-403E-AA3B-B2D275F86F4A}" uniqueName="7" name="Кол-во" queryTableFieldId="7"/>
    <tableColumn id="8" xr3:uid="{65B12C1B-3354-41F8-83DC-7E7248EC2E3E}" uniqueName="8" name="Примечание" queryTableFieldId="8"/>
    <tableColumn id="9" xr3:uid="{B7BE0FDB-41A6-4908-BCC5-7DC825279AC8}" uniqueName="9" name="Name" queryTableFieldId="9" dataDxfId="252"/>
    <tableColumn id="10" xr3:uid="{2646CF32-E994-4A14-AEA5-9E938118AF27}" uniqueName="10" name="Folder Path" queryTableFieldId="10" dataDxfId="251"/>
    <tableColumn id="11" xr3:uid="{49C8BFF4-92D3-4258-8648-1A963AE4A14F}" uniqueName="11" name="RelativePath" queryTableFieldId="11"/>
    <tableColumn id="12" xr3:uid="{3E7BA114-C5F2-4345-889D-0EE87FEDC827}" uniqueName="12" name="Подпись" queryTableFieldId="12"/>
    <tableColumn id="13" xr3:uid="{91DD4FF9-6DD7-4BF6-9690-90C0B76AF9CC}" uniqueName="13" name="Ссылка на фото" queryTableFieldId="13" dataDxfId="250" dataCellStyle="Гиперссылка">
      <calculatedColumnFormula>HYPERLINK(СторонТрансп[[#This Row],[RelativePath]])</calculatedColumnFormula>
    </tableColumn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03833C3-A4ED-4039-95A7-46694D1CE00F}" name="СпрСклад2въезд" displayName="СпрСклад2въезд" ref="A1:G1940" totalsRowShown="0">
  <autoFilter ref="A1:G1940" xr:uid="{803833C3-A4ED-4039-95A7-46694D1CE00F}">
    <filterColumn colId="6">
      <filters>
        <filter val="Склад хол"/>
      </filters>
    </filterColumn>
  </autoFilter>
  <tableColumns count="7">
    <tableColumn id="2" xr3:uid="{8587D406-750A-438B-BB0E-C88724DDFFE1}" name="Событие"/>
    <tableColumn id="6" xr3:uid="{4E30FC4B-01D2-4C14-A759-803F0D63D379}" name="Объект"/>
    <tableColumn id="5" xr3:uid="{4F9CF1A6-1913-46DB-B3B1-A9653D06B049}" name="Груз"/>
    <tableColumn id="3" xr3:uid="{7DBC9D61-FD8A-43A0-B549-D3142D4BEE5B}" name="Кол-во"/>
    <tableColumn id="7" xr3:uid="{E800D44A-3115-4CA1-A57D-D86F55A0E8BC}" name="Примечание"/>
    <tableColumn id="1" xr3:uid="{31141AA7-A012-496F-850F-2E334334DBAA}" name="Name"/>
    <tableColumn id="4" xr3:uid="{9485AE07-9B59-4BA3-8F01-BF4B501AD6A1}" name="Наименование точки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4E88-FECC-4219-8E24-9FF5159CA675}">
  <sheetPr>
    <tabColor theme="4" tint="-0.499984740745262"/>
  </sheetPr>
  <dimension ref="A1:N121"/>
  <sheetViews>
    <sheetView tabSelected="1" topLeftCell="I1" zoomScale="90" zoomScaleNormal="90" workbookViewId="0">
      <pane ySplit="1" topLeftCell="A2" activePane="bottomLeft" state="frozen"/>
      <selection pane="bottomLeft" activeCell="K4" sqref="K4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43.7109375" bestFit="1" customWidth="1"/>
    <col min="5" max="5" width="41" bestFit="1" customWidth="1"/>
    <col min="6" max="6" width="31.7109375" bestFit="1" customWidth="1"/>
    <col min="7" max="7" width="7.28515625" bestFit="1" customWidth="1"/>
    <col min="8" max="8" width="18.42578125" customWidth="1"/>
    <col min="9" max="9" width="35.42578125" customWidth="1"/>
    <col min="10" max="10" width="51.85546875" customWidth="1"/>
    <col min="11" max="11" width="56.85546875" customWidth="1"/>
    <col min="12" max="12" width="25.85546875" customWidth="1"/>
    <col min="13" max="13" width="56.85546875" bestFit="1" customWidth="1"/>
    <col min="14" max="14" width="25.28515625" hidden="1" customWidth="1"/>
    <col min="15" max="15" width="16.42578125" bestFit="1" customWidth="1"/>
    <col min="16" max="16" width="22.85546875" bestFit="1" customWidth="1"/>
    <col min="17" max="17" width="24.5703125" bestFit="1" customWidth="1"/>
    <col min="18" max="18" width="58.42578125" bestFit="1" customWidth="1"/>
    <col min="19" max="19" width="17.7109375" bestFit="1" customWidth="1"/>
    <col min="20" max="20" width="58.42578125" bestFit="1" customWidth="1"/>
    <col min="21" max="21" width="16.28515625" customWidth="1"/>
    <col min="22" max="22" width="126.7109375" customWidth="1"/>
    <col min="23" max="23" width="58.42578125" bestFit="1" customWidth="1"/>
    <col min="24" max="24" width="98.7109375" customWidth="1"/>
  </cols>
  <sheetData>
    <row r="1" spans="1:14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  <c r="N1" t="s">
        <v>2925</v>
      </c>
    </row>
    <row r="2" spans="1:14" x14ac:dyDescent="0.25">
      <c r="A2" s="2" t="s">
        <v>13</v>
      </c>
      <c r="B2" s="4">
        <v>45971</v>
      </c>
      <c r="C2" s="5">
        <v>0.49480324074074072</v>
      </c>
      <c r="D2" t="s">
        <v>62</v>
      </c>
      <c r="E2" t="s">
        <v>55</v>
      </c>
      <c r="F2" t="s">
        <v>51</v>
      </c>
      <c r="I2" t="s">
        <v>26</v>
      </c>
      <c r="J2" t="s">
        <v>2981</v>
      </c>
      <c r="K2" t="s">
        <v>3103</v>
      </c>
      <c r="L2" t="s">
        <v>3104</v>
      </c>
      <c r="M2" s="3" t="str">
        <f>HYPERLINK(склад2въезд[[#This Row],[RelativePath]])</f>
        <v>1 Ангар Склад 2 въезд\E33149364_6_20251110T115231Z.jpg</v>
      </c>
      <c r="N2" t="str">
        <f>VLOOKUP(склад2въезд[[#This Row],[Name]], СпрСобытий!$F:$G, 2, FALSE)</f>
        <v>Ангар Склад 2 въезд</v>
      </c>
    </row>
    <row r="3" spans="1:14" x14ac:dyDescent="0.25">
      <c r="A3" s="2" t="s">
        <v>13</v>
      </c>
      <c r="B3" s="4">
        <v>45971</v>
      </c>
      <c r="C3" s="5">
        <v>0.50054398148148149</v>
      </c>
      <c r="D3" t="s">
        <v>91</v>
      </c>
      <c r="E3" t="s">
        <v>56</v>
      </c>
      <c r="F3" t="s">
        <v>51</v>
      </c>
      <c r="I3" t="s">
        <v>27</v>
      </c>
      <c r="J3" t="s">
        <v>2981</v>
      </c>
      <c r="K3" t="s">
        <v>3105</v>
      </c>
      <c r="L3" t="s">
        <v>3106</v>
      </c>
      <c r="M3" s="3" t="str">
        <f>HYPERLINK(склад2въезд[[#This Row],[RelativePath]])</f>
        <v>1 Ангар Склад 2 въезд\E33149364_6_20251110T120047Z.jpg</v>
      </c>
      <c r="N3" t="str">
        <f>VLOOKUP(склад2въезд[[#This Row],[Name]], СпрСобытий!$F:$G, 2, FALSE)</f>
        <v>Ангар Склад 2 въезд</v>
      </c>
    </row>
    <row r="4" spans="1:14" x14ac:dyDescent="0.25">
      <c r="A4" s="2" t="s">
        <v>13</v>
      </c>
      <c r="B4" s="4">
        <v>45971</v>
      </c>
      <c r="C4" s="5">
        <v>0.5006018518518518</v>
      </c>
      <c r="D4" t="s">
        <v>91</v>
      </c>
      <c r="E4" t="s">
        <v>56</v>
      </c>
      <c r="F4" t="s">
        <v>51</v>
      </c>
      <c r="I4" t="s">
        <v>28</v>
      </c>
      <c r="J4" t="s">
        <v>2981</v>
      </c>
      <c r="K4" t="s">
        <v>3107</v>
      </c>
      <c r="L4" t="s">
        <v>3108</v>
      </c>
      <c r="M4" s="3" t="str">
        <f>HYPERLINK(склад2въезд[[#This Row],[RelativePath]])</f>
        <v>1 Ангар Склад 2 въезд\E33149364_6_20251110T120052Z.jpg</v>
      </c>
      <c r="N4" t="str">
        <f>VLOOKUP(склад2въезд[[#This Row],[Name]], СпрСобытий!$F:$G, 2, FALSE)</f>
        <v>Ангар Склад 2 въезд</v>
      </c>
    </row>
    <row r="5" spans="1:14" x14ac:dyDescent="0.25">
      <c r="A5" s="2" t="s">
        <v>13</v>
      </c>
      <c r="B5" s="4">
        <v>45971</v>
      </c>
      <c r="C5" s="5">
        <v>0.51984953703703707</v>
      </c>
      <c r="D5" t="s">
        <v>62</v>
      </c>
      <c r="E5" t="s">
        <v>56</v>
      </c>
      <c r="F5" t="s">
        <v>53</v>
      </c>
      <c r="G5">
        <v>3</v>
      </c>
      <c r="I5" t="s">
        <v>29</v>
      </c>
      <c r="J5" t="s">
        <v>2981</v>
      </c>
      <c r="K5" t="s">
        <v>3109</v>
      </c>
      <c r="L5" t="s">
        <v>3110</v>
      </c>
      <c r="M5" s="3" t="str">
        <f>HYPERLINK(склад2въезд[[#This Row],[RelativePath]])</f>
        <v>1 Ангар Склад 2 въезд\E33149364_6_20251110T122835Z.jpg</v>
      </c>
      <c r="N5" t="str">
        <f>VLOOKUP(склад2въезд[[#This Row],[Name]], СпрСобытий!$F:$G, 2, FALSE)</f>
        <v>Ангар Склад 2 въезд</v>
      </c>
    </row>
    <row r="6" spans="1:14" x14ac:dyDescent="0.25">
      <c r="A6" s="2" t="s">
        <v>13</v>
      </c>
      <c r="B6" s="4">
        <v>45971</v>
      </c>
      <c r="C6" s="5">
        <v>0.56978009259259255</v>
      </c>
      <c r="D6" t="s">
        <v>91</v>
      </c>
      <c r="E6" t="s">
        <v>55</v>
      </c>
      <c r="F6" t="s">
        <v>58</v>
      </c>
      <c r="I6" t="s">
        <v>30</v>
      </c>
      <c r="J6" t="s">
        <v>2981</v>
      </c>
      <c r="K6" t="s">
        <v>3111</v>
      </c>
      <c r="L6" t="s">
        <v>3112</v>
      </c>
      <c r="M6" s="3" t="str">
        <f>HYPERLINK(склад2въезд[[#This Row],[RelativePath]])</f>
        <v>1 Ангар Склад 2 въезд\E33149364_6_20251110T134029Z.jpg</v>
      </c>
      <c r="N6" t="str">
        <f>VLOOKUP(склад2въезд[[#This Row],[Name]], СпрСобытий!$F:$G, 2, FALSE)</f>
        <v>Ангар Склад 2 въезд</v>
      </c>
    </row>
    <row r="7" spans="1:14" x14ac:dyDescent="0.25">
      <c r="A7" s="2" t="s">
        <v>13</v>
      </c>
      <c r="B7" s="4">
        <v>45971</v>
      </c>
      <c r="C7" s="5">
        <v>0.57337962962962963</v>
      </c>
      <c r="D7" t="s">
        <v>62</v>
      </c>
      <c r="E7" t="s">
        <v>55</v>
      </c>
      <c r="F7" t="s">
        <v>58</v>
      </c>
      <c r="H7" t="s">
        <v>59</v>
      </c>
      <c r="I7" t="s">
        <v>31</v>
      </c>
      <c r="J7" t="s">
        <v>2981</v>
      </c>
      <c r="K7" t="s">
        <v>3113</v>
      </c>
      <c r="L7" t="s">
        <v>3114</v>
      </c>
      <c r="M7" s="3" t="str">
        <f>HYPERLINK(склад2въезд[[#This Row],[RelativePath]])</f>
        <v>1 Ангар Склад 2 въезд\E33149364_6_20251110T134540Z.jpg</v>
      </c>
      <c r="N7" t="str">
        <f>VLOOKUP(склад2въезд[[#This Row],[Name]], СпрСобытий!$F:$G, 2, FALSE)</f>
        <v>Ангар Склад 2 въезд</v>
      </c>
    </row>
    <row r="8" spans="1:14" x14ac:dyDescent="0.25">
      <c r="A8" s="2" t="s">
        <v>13</v>
      </c>
      <c r="B8" s="4">
        <v>45971</v>
      </c>
      <c r="C8" s="5">
        <v>0.60597222222222225</v>
      </c>
      <c r="D8" t="s">
        <v>91</v>
      </c>
      <c r="E8" t="s">
        <v>55</v>
      </c>
      <c r="F8" t="s">
        <v>58</v>
      </c>
      <c r="H8" t="s">
        <v>59</v>
      </c>
      <c r="I8" t="s">
        <v>32</v>
      </c>
      <c r="J8" t="s">
        <v>2981</v>
      </c>
      <c r="K8" t="s">
        <v>3115</v>
      </c>
      <c r="L8" t="s">
        <v>3116</v>
      </c>
      <c r="M8" s="3" t="str">
        <f>HYPERLINK(склад2въезд[[#This Row],[RelativePath]])</f>
        <v>1 Ангар Склад 2 въезд\E33149364_6_20251110T143236Z.jpg</v>
      </c>
      <c r="N8" t="str">
        <f>VLOOKUP(склад2въезд[[#This Row],[Name]], СпрСобытий!$F:$G, 2, FALSE)</f>
        <v>Ангар Склад 2 въезд</v>
      </c>
    </row>
    <row r="9" spans="1:14" x14ac:dyDescent="0.25">
      <c r="A9" s="2" t="s">
        <v>14</v>
      </c>
      <c r="B9" s="4">
        <v>45972</v>
      </c>
      <c r="C9" s="5">
        <v>0.39128472222222221</v>
      </c>
      <c r="D9" t="s">
        <v>91</v>
      </c>
      <c r="E9" t="s">
        <v>67</v>
      </c>
      <c r="F9" t="s">
        <v>51</v>
      </c>
      <c r="I9" t="s">
        <v>33</v>
      </c>
      <c r="J9" t="s">
        <v>2981</v>
      </c>
      <c r="K9" t="s">
        <v>3117</v>
      </c>
      <c r="L9" t="s">
        <v>3118</v>
      </c>
      <c r="M9" s="3" t="str">
        <f>HYPERLINK(склад2въезд[[#This Row],[RelativePath]])</f>
        <v>1 Ангар Склад 2 въезд\E33149364_6_20251111T092327Z.jpg</v>
      </c>
      <c r="N9" t="str">
        <f>VLOOKUP(склад2въезд[[#This Row],[Name]], СпрСобытий!$F:$G, 2, FALSE)</f>
        <v>Ангар Склад 2 въезд</v>
      </c>
    </row>
    <row r="10" spans="1:14" x14ac:dyDescent="0.25">
      <c r="A10" s="2" t="s">
        <v>14</v>
      </c>
      <c r="B10" s="4">
        <v>45972</v>
      </c>
      <c r="C10" s="5">
        <v>0.44765046296296296</v>
      </c>
      <c r="D10" t="s">
        <v>62</v>
      </c>
      <c r="E10" t="s">
        <v>67</v>
      </c>
      <c r="F10" t="s">
        <v>468</v>
      </c>
      <c r="I10" t="s">
        <v>34</v>
      </c>
      <c r="J10" t="s">
        <v>2981</v>
      </c>
      <c r="K10" t="s">
        <v>3119</v>
      </c>
      <c r="L10" t="s">
        <v>3120</v>
      </c>
      <c r="M10" s="3" t="str">
        <f>HYPERLINK(склад2въезд[[#This Row],[RelativePath]])</f>
        <v>1 Ангар Склад 2 въезд\E33149364_6_20251111T104437Z.jpg</v>
      </c>
      <c r="N10" t="str">
        <f>VLOOKUP(склад2въезд[[#This Row],[Name]], СпрСобытий!$F:$G, 2, FALSE)</f>
        <v>Ангар Склад 2 въезд</v>
      </c>
    </row>
    <row r="11" spans="1:14" x14ac:dyDescent="0.25">
      <c r="A11" s="2" t="s">
        <v>14</v>
      </c>
      <c r="B11" s="4">
        <v>45972</v>
      </c>
      <c r="C11" s="5">
        <v>0.44944444444444442</v>
      </c>
      <c r="D11" t="s">
        <v>91</v>
      </c>
      <c r="E11" t="s">
        <v>63</v>
      </c>
      <c r="F11" t="s">
        <v>51</v>
      </c>
      <c r="I11" t="s">
        <v>35</v>
      </c>
      <c r="J11" t="s">
        <v>2981</v>
      </c>
      <c r="K11" t="s">
        <v>3121</v>
      </c>
      <c r="L11" t="s">
        <v>3122</v>
      </c>
      <c r="M11" s="3" t="str">
        <f>HYPERLINK(склад2въезд[[#This Row],[RelativePath]])</f>
        <v>1 Ангар Склад 2 въезд\E33149364_6_20251111T104712Z.jpg</v>
      </c>
      <c r="N11" t="str">
        <f>VLOOKUP(склад2въезд[[#This Row],[Name]], СпрСобытий!$F:$G, 2, FALSE)</f>
        <v>Ангар Склад 2 въезд</v>
      </c>
    </row>
    <row r="12" spans="1:14" x14ac:dyDescent="0.25">
      <c r="A12" s="2" t="s">
        <v>14</v>
      </c>
      <c r="B12" s="4">
        <v>45972</v>
      </c>
      <c r="C12" s="5">
        <v>0.45118055555555553</v>
      </c>
      <c r="D12" t="s">
        <v>89</v>
      </c>
      <c r="E12" t="s">
        <v>63</v>
      </c>
      <c r="F12" t="s">
        <v>51</v>
      </c>
      <c r="I12" t="s">
        <v>36</v>
      </c>
      <c r="J12" t="s">
        <v>2981</v>
      </c>
      <c r="K12" t="s">
        <v>3123</v>
      </c>
      <c r="L12" t="s">
        <v>3124</v>
      </c>
      <c r="M12" s="3" t="str">
        <f>HYPERLINK(склад2въезд[[#This Row],[RelativePath]])</f>
        <v>1 Ангар Склад 2 въезд\E33149364_6_20251111T104942Z.jpg</v>
      </c>
      <c r="N12" t="str">
        <f>VLOOKUP(склад2въезд[[#This Row],[Name]], СпрСобытий!$F:$G, 2, FALSE)</f>
        <v>Ангар Склад 2 въезд</v>
      </c>
    </row>
    <row r="13" spans="1:14" x14ac:dyDescent="0.25">
      <c r="A13" s="2" t="s">
        <v>14</v>
      </c>
      <c r="B13" s="4">
        <v>45972</v>
      </c>
      <c r="C13" s="5">
        <v>0.45136574074074076</v>
      </c>
      <c r="D13" t="s">
        <v>64</v>
      </c>
      <c r="E13" t="s">
        <v>63</v>
      </c>
      <c r="F13" t="s">
        <v>51</v>
      </c>
      <c r="I13" t="s">
        <v>37</v>
      </c>
      <c r="J13" t="s">
        <v>2981</v>
      </c>
      <c r="K13" t="s">
        <v>3125</v>
      </c>
      <c r="L13" t="s">
        <v>3126</v>
      </c>
      <c r="M13" s="3" t="str">
        <f>HYPERLINK(склад2въезд[[#This Row],[RelativePath]])</f>
        <v>1 Ангар Склад 2 въезд\E33149364_6_20251111T104958Z.jpg</v>
      </c>
      <c r="N13" t="str">
        <f>VLOOKUP(склад2въезд[[#This Row],[Name]], СпрСобытий!$F:$G, 2, FALSE)</f>
        <v>Ангар Склад 2 въезд</v>
      </c>
    </row>
    <row r="14" spans="1:14" x14ac:dyDescent="0.25">
      <c r="A14" s="2" t="s">
        <v>14</v>
      </c>
      <c r="B14" s="4">
        <v>45972</v>
      </c>
      <c r="C14" s="5">
        <v>0.48476851851851854</v>
      </c>
      <c r="D14" t="s">
        <v>62</v>
      </c>
      <c r="E14" t="s">
        <v>63</v>
      </c>
      <c r="F14" t="s">
        <v>58</v>
      </c>
      <c r="I14" t="s">
        <v>38</v>
      </c>
      <c r="J14" t="s">
        <v>2981</v>
      </c>
      <c r="K14" t="s">
        <v>3127</v>
      </c>
      <c r="L14" t="s">
        <v>3128</v>
      </c>
      <c r="M14" s="3" t="str">
        <f>HYPERLINK(склад2въезд[[#This Row],[RelativePath]])</f>
        <v>1 Ангар Склад 2 въезд\E33149364_6_20251111T113804Z.jpg</v>
      </c>
      <c r="N14" t="str">
        <f>VLOOKUP(склад2въезд[[#This Row],[Name]], СпрСобытий!$F:$G, 2, FALSE)</f>
        <v>Ангар Склад 2 въезд</v>
      </c>
    </row>
    <row r="15" spans="1:14" x14ac:dyDescent="0.25">
      <c r="A15" s="2" t="s">
        <v>14</v>
      </c>
      <c r="B15" s="4">
        <v>45972</v>
      </c>
      <c r="C15" s="5">
        <v>0.53641203703703699</v>
      </c>
      <c r="D15" t="s">
        <v>62</v>
      </c>
      <c r="E15" t="s">
        <v>55</v>
      </c>
      <c r="F15" t="s">
        <v>65</v>
      </c>
      <c r="I15" t="s">
        <v>39</v>
      </c>
      <c r="J15" t="s">
        <v>2981</v>
      </c>
      <c r="K15" t="s">
        <v>3129</v>
      </c>
      <c r="L15" t="s">
        <v>3130</v>
      </c>
      <c r="M15" s="3" t="str">
        <f>HYPERLINK(склад2въезд[[#This Row],[RelativePath]])</f>
        <v>1 Ангар Склад 2 въезд\E33149364_6_20251111T125226Z.jpg</v>
      </c>
      <c r="N15" t="str">
        <f>VLOOKUP(склад2въезд[[#This Row],[Name]], СпрСобытий!$F:$G, 2, FALSE)</f>
        <v>Ангар Склад 2 въезд</v>
      </c>
    </row>
    <row r="16" spans="1:14" x14ac:dyDescent="0.25">
      <c r="A16" s="2" t="s">
        <v>14</v>
      </c>
      <c r="B16" s="4">
        <v>45972</v>
      </c>
      <c r="C16" s="5">
        <v>0.65542824074074069</v>
      </c>
      <c r="D16" t="s">
        <v>91</v>
      </c>
      <c r="E16" t="s">
        <v>55</v>
      </c>
      <c r="F16" t="s">
        <v>51</v>
      </c>
      <c r="I16" t="s">
        <v>40</v>
      </c>
      <c r="J16" t="s">
        <v>2981</v>
      </c>
      <c r="K16" t="s">
        <v>3131</v>
      </c>
      <c r="L16" t="s">
        <v>3132</v>
      </c>
      <c r="M16" s="3" t="str">
        <f>HYPERLINK(склад2въезд[[#This Row],[RelativePath]])</f>
        <v>1 Ангар Склад 2 въезд\E33149364_6_20251111T154349Z.jpg</v>
      </c>
      <c r="N16" t="str">
        <f>VLOOKUP(склад2въезд[[#This Row],[Name]], СпрСобытий!$F:$G, 2, FALSE)</f>
        <v>Ангар Склад 2 въезд</v>
      </c>
    </row>
    <row r="17" spans="1:14" x14ac:dyDescent="0.25">
      <c r="A17" s="2" t="s">
        <v>15</v>
      </c>
      <c r="B17" s="4">
        <v>45973</v>
      </c>
      <c r="C17" s="5">
        <v>0.67682870370370374</v>
      </c>
      <c r="D17" t="s">
        <v>91</v>
      </c>
      <c r="E17" t="s">
        <v>66</v>
      </c>
      <c r="F17" t="s">
        <v>68</v>
      </c>
      <c r="I17" t="s">
        <v>41</v>
      </c>
      <c r="J17" t="s">
        <v>2981</v>
      </c>
      <c r="K17" t="s">
        <v>3133</v>
      </c>
      <c r="L17" t="s">
        <v>3134</v>
      </c>
      <c r="M17" s="3" t="str">
        <f>HYPERLINK(склад2въезд[[#This Row],[RelativePath]])</f>
        <v>1 Ангар Склад 2 въезд\E33149364_6_20251112T161438Z.jpg</v>
      </c>
      <c r="N17" t="str">
        <f>VLOOKUP(склад2въезд[[#This Row],[Name]], СпрСобытий!$F:$G, 2, FALSE)</f>
        <v>Ангар Склад 2 въезд</v>
      </c>
    </row>
    <row r="18" spans="1:14" x14ac:dyDescent="0.25">
      <c r="A18" s="2" t="s">
        <v>15</v>
      </c>
      <c r="B18" s="4">
        <v>45973</v>
      </c>
      <c r="C18" s="5">
        <v>0.71020833333333333</v>
      </c>
      <c r="D18" t="s">
        <v>62</v>
      </c>
      <c r="E18" t="s">
        <v>66</v>
      </c>
      <c r="F18" t="s">
        <v>69</v>
      </c>
      <c r="I18" t="s">
        <v>42</v>
      </c>
      <c r="J18" t="s">
        <v>2981</v>
      </c>
      <c r="K18" t="s">
        <v>3135</v>
      </c>
      <c r="L18" t="s">
        <v>3136</v>
      </c>
      <c r="M18" s="3" t="str">
        <f>HYPERLINK(склад2въезд[[#This Row],[RelativePath]])</f>
        <v>1 Ангар Склад 2 въезд\E33149364_6_20251112T170242Z.jpg</v>
      </c>
      <c r="N18" t="str">
        <f>VLOOKUP(склад2въезд[[#This Row],[Name]], СпрСобытий!$F:$G, 2, FALSE)</f>
        <v>Ангар Склад 2 въезд</v>
      </c>
    </row>
    <row r="19" spans="1:14" x14ac:dyDescent="0.25">
      <c r="A19" s="2" t="s">
        <v>16</v>
      </c>
      <c r="B19" s="4">
        <v>45974</v>
      </c>
      <c r="C19" s="5">
        <v>0.3674074074074074</v>
      </c>
      <c r="D19" t="s">
        <v>62</v>
      </c>
      <c r="E19" t="s">
        <v>55</v>
      </c>
      <c r="F19" t="s">
        <v>51</v>
      </c>
      <c r="I19" t="s">
        <v>44</v>
      </c>
      <c r="J19" t="s">
        <v>2981</v>
      </c>
      <c r="K19" t="s">
        <v>3137</v>
      </c>
      <c r="L19" t="s">
        <v>3138</v>
      </c>
      <c r="M19" s="3" t="str">
        <f>HYPERLINK(склад2въезд[[#This Row],[RelativePath]])</f>
        <v>1 Ангар Склад 2 въезд\E33149364_6_20251113T084904Z.jpg</v>
      </c>
      <c r="N19" t="str">
        <f>VLOOKUP(склад2въезд[[#This Row],[Name]], СпрСобытий!$F:$G, 2, FALSE)</f>
        <v>Ангар Склад 2 въезд</v>
      </c>
    </row>
    <row r="20" spans="1:14" x14ac:dyDescent="0.25">
      <c r="A20" s="2" t="s">
        <v>16</v>
      </c>
      <c r="B20" s="4">
        <v>45974</v>
      </c>
      <c r="C20" s="5">
        <v>0.37163194444444442</v>
      </c>
      <c r="D20" t="s">
        <v>91</v>
      </c>
      <c r="E20" t="s">
        <v>70</v>
      </c>
      <c r="F20" t="s">
        <v>51</v>
      </c>
      <c r="I20" t="s">
        <v>45</v>
      </c>
      <c r="J20" t="s">
        <v>2981</v>
      </c>
      <c r="K20" t="s">
        <v>3139</v>
      </c>
      <c r="L20" t="s">
        <v>3140</v>
      </c>
      <c r="M20" s="3" t="str">
        <f>HYPERLINK(склад2въезд[[#This Row],[RelativePath]])</f>
        <v>1 Ангар Склад 2 въезд\E33149364_6_20251113T085509Z.jpg</v>
      </c>
      <c r="N20" t="str">
        <f>VLOOKUP(склад2въезд[[#This Row],[Name]], СпрСобытий!$F:$G, 2, FALSE)</f>
        <v>Ангар Склад 2 въезд</v>
      </c>
    </row>
    <row r="21" spans="1:14" x14ac:dyDescent="0.25">
      <c r="A21" s="2" t="s">
        <v>16</v>
      </c>
      <c r="B21" s="4">
        <v>45974</v>
      </c>
      <c r="C21" s="5">
        <v>0.37842592592592594</v>
      </c>
      <c r="D21" t="s">
        <v>62</v>
      </c>
      <c r="E21" t="s">
        <v>70</v>
      </c>
      <c r="F21" t="s">
        <v>51</v>
      </c>
      <c r="I21" t="s">
        <v>46</v>
      </c>
      <c r="J21" t="s">
        <v>2981</v>
      </c>
      <c r="K21" t="s">
        <v>3141</v>
      </c>
      <c r="L21" t="s">
        <v>3142</v>
      </c>
      <c r="M21" s="3" t="str">
        <f>HYPERLINK(склад2въезд[[#This Row],[RelativePath]])</f>
        <v>1 Ангар Склад 2 въезд\E33149364_6_20251113T090456Z.jpg</v>
      </c>
      <c r="N21" t="str">
        <f>VLOOKUP(склад2въезд[[#This Row],[Name]], СпрСобытий!$F:$G, 2, FALSE)</f>
        <v>Ангар Склад 2 въезд</v>
      </c>
    </row>
    <row r="22" spans="1:14" x14ac:dyDescent="0.25">
      <c r="A22" s="2" t="s">
        <v>16</v>
      </c>
      <c r="B22" s="4">
        <v>45974</v>
      </c>
      <c r="C22" s="5">
        <v>0.37847222222222221</v>
      </c>
      <c r="D22" t="s">
        <v>64</v>
      </c>
      <c r="E22" t="s">
        <v>70</v>
      </c>
      <c r="F22" t="s">
        <v>51</v>
      </c>
      <c r="I22" t="s">
        <v>47</v>
      </c>
      <c r="J22" t="s">
        <v>2981</v>
      </c>
      <c r="K22" t="s">
        <v>3143</v>
      </c>
      <c r="L22" t="s">
        <v>3144</v>
      </c>
      <c r="M22" s="3" t="str">
        <f>HYPERLINK(склад2въезд[[#This Row],[RelativePath]])</f>
        <v>1 Ангар Склад 2 въезд\E33149364_6_20251113T090500Z.jpg</v>
      </c>
      <c r="N22" t="str">
        <f>VLOOKUP(склад2въезд[[#This Row],[Name]], СпрСобытий!$F:$G, 2, FALSE)</f>
        <v>Ангар Склад 2 въезд</v>
      </c>
    </row>
    <row r="23" spans="1:14" x14ac:dyDescent="0.25">
      <c r="A23" s="2" t="s">
        <v>16</v>
      </c>
      <c r="B23" s="4">
        <v>45974</v>
      </c>
      <c r="C23" s="5">
        <v>0.39534722222222224</v>
      </c>
      <c r="D23" t="s">
        <v>91</v>
      </c>
      <c r="E23" t="s">
        <v>70</v>
      </c>
      <c r="F23" t="s">
        <v>58</v>
      </c>
      <c r="I23" t="s">
        <v>48</v>
      </c>
      <c r="J23" t="s">
        <v>2981</v>
      </c>
      <c r="K23" t="s">
        <v>3145</v>
      </c>
      <c r="L23" t="s">
        <v>3146</v>
      </c>
      <c r="M23" s="3" t="str">
        <f>HYPERLINK(склад2въезд[[#This Row],[RelativePath]])</f>
        <v>1 Ангар Склад 2 въезд\E33149364_6_20251113T092918Z.jpg</v>
      </c>
      <c r="N23" t="str">
        <f>VLOOKUP(склад2въезд[[#This Row],[Name]], СпрСобытий!$F:$G, 2, FALSE)</f>
        <v>Ангар Склад 2 въезд</v>
      </c>
    </row>
    <row r="24" spans="1:14" x14ac:dyDescent="0.25">
      <c r="A24" s="2" t="s">
        <v>16</v>
      </c>
      <c r="B24" s="4">
        <v>45974</v>
      </c>
      <c r="C24" s="5">
        <v>0.39893518518518517</v>
      </c>
      <c r="D24" t="s">
        <v>62</v>
      </c>
      <c r="E24" t="s">
        <v>70</v>
      </c>
      <c r="F24" t="s">
        <v>58</v>
      </c>
      <c r="I24" t="s">
        <v>49</v>
      </c>
      <c r="J24" t="s">
        <v>2981</v>
      </c>
      <c r="K24" t="s">
        <v>3147</v>
      </c>
      <c r="L24" t="s">
        <v>3148</v>
      </c>
      <c r="M24" s="3" t="str">
        <f>HYPERLINK(склад2въезд[[#This Row],[RelativePath]])</f>
        <v>1 Ангар Склад 2 въезд\E33149364_6_20251113T093428Z.jpg</v>
      </c>
      <c r="N24" t="str">
        <f>VLOOKUP(склад2въезд[[#This Row],[Name]], СпрСобытий!$F:$G, 2, FALSE)</f>
        <v>Ангар Склад 2 въезд</v>
      </c>
    </row>
    <row r="25" spans="1:14" x14ac:dyDescent="0.25">
      <c r="A25" s="2" t="s">
        <v>16</v>
      </c>
      <c r="B25" s="4">
        <v>45974</v>
      </c>
      <c r="C25" s="5">
        <v>0.52414351851851848</v>
      </c>
      <c r="D25" t="s">
        <v>91</v>
      </c>
      <c r="E25" t="s">
        <v>55</v>
      </c>
      <c r="F25" t="s">
        <v>51</v>
      </c>
      <c r="I25" t="s">
        <v>50</v>
      </c>
      <c r="J25" t="s">
        <v>2981</v>
      </c>
      <c r="K25" t="s">
        <v>3149</v>
      </c>
      <c r="L25" t="s">
        <v>3150</v>
      </c>
      <c r="M25" s="3" t="str">
        <f>HYPERLINK(склад2въезд[[#This Row],[RelativePath]])</f>
        <v>1 Ангар Склад 2 въезд\E33149364_6_20251113T123446Z.jpg</v>
      </c>
      <c r="N25" t="str">
        <f>VLOOKUP(склад2въезд[[#This Row],[Name]], СпрСобытий!$F:$G, 2, FALSE)</f>
        <v>Ангар Склад 2 въезд</v>
      </c>
    </row>
    <row r="26" spans="1:14" x14ac:dyDescent="0.25">
      <c r="A26" s="2" t="s">
        <v>17</v>
      </c>
      <c r="B26" s="4">
        <v>45975</v>
      </c>
      <c r="C26" s="5">
        <v>0.3659722222222222</v>
      </c>
      <c r="D26" t="s">
        <v>62</v>
      </c>
      <c r="E26" t="s">
        <v>55</v>
      </c>
      <c r="F26" t="s">
        <v>51</v>
      </c>
      <c r="I26" t="s">
        <v>71</v>
      </c>
      <c r="J26" t="s">
        <v>2981</v>
      </c>
      <c r="K26" t="s">
        <v>3151</v>
      </c>
      <c r="L26" t="s">
        <v>3152</v>
      </c>
      <c r="M26" s="3" t="str">
        <f>HYPERLINK(склад2въезд[[#This Row],[RelativePath]])</f>
        <v>1 Ангар Склад 2 въезд\E33149364_6_20251114T084700Z.jpg</v>
      </c>
      <c r="N26" t="str">
        <f>VLOOKUP(склад2въезд[[#This Row],[Name]], СпрСобытий!$F:$G, 2, FALSE)</f>
        <v>Ангар Склад 2 въезд</v>
      </c>
    </row>
    <row r="27" spans="1:14" x14ac:dyDescent="0.25">
      <c r="A27" s="2" t="s">
        <v>17</v>
      </c>
      <c r="B27" s="4">
        <v>45975</v>
      </c>
      <c r="C27" s="5">
        <v>0.53131944444444446</v>
      </c>
      <c r="D27" t="s">
        <v>85</v>
      </c>
      <c r="E27" t="s">
        <v>86</v>
      </c>
      <c r="F27" t="s">
        <v>51</v>
      </c>
      <c r="I27" t="s">
        <v>72</v>
      </c>
      <c r="J27" t="s">
        <v>2981</v>
      </c>
      <c r="K27" t="s">
        <v>3153</v>
      </c>
      <c r="L27" t="s">
        <v>3154</v>
      </c>
      <c r="M27" s="3" t="str">
        <f>HYPERLINK(склад2въезд[[#This Row],[RelativePath]])</f>
        <v>1 Ангар Склад 2 въезд\E33149364_6_20251114T124506Z.jpg</v>
      </c>
      <c r="N27" t="str">
        <f>VLOOKUP(склад2въезд[[#This Row],[Name]], СпрСобытий!$F:$G, 2, FALSE)</f>
        <v>Ангар Склад 2 въезд</v>
      </c>
    </row>
    <row r="28" spans="1:14" x14ac:dyDescent="0.25">
      <c r="A28" s="2" t="s">
        <v>17</v>
      </c>
      <c r="B28" s="4">
        <v>45975</v>
      </c>
      <c r="C28" s="5">
        <v>0.53512731481481479</v>
      </c>
      <c r="D28" t="s">
        <v>91</v>
      </c>
      <c r="E28" t="s">
        <v>86</v>
      </c>
      <c r="F28" t="s">
        <v>87</v>
      </c>
      <c r="G28">
        <v>1</v>
      </c>
      <c r="I28" t="s">
        <v>73</v>
      </c>
      <c r="J28" t="s">
        <v>2981</v>
      </c>
      <c r="K28" t="s">
        <v>3155</v>
      </c>
      <c r="L28" t="s">
        <v>3156</v>
      </c>
      <c r="M28" s="3" t="str">
        <f>HYPERLINK(склад2въезд[[#This Row],[RelativePath]])</f>
        <v>1 Ангар Склад 2 въезд\E33149364_6_20251114T125035Z.jpg</v>
      </c>
      <c r="N28" t="str">
        <f>VLOOKUP(склад2въезд[[#This Row],[Name]], СпрСобытий!$F:$G, 2, FALSE)</f>
        <v>Ангар Склад 2 въезд</v>
      </c>
    </row>
    <row r="29" spans="1:14" x14ac:dyDescent="0.25">
      <c r="A29" s="2" t="s">
        <v>17</v>
      </c>
      <c r="B29" s="4">
        <v>45975</v>
      </c>
      <c r="C29" s="5">
        <v>0.53766203703703708</v>
      </c>
      <c r="D29" t="s">
        <v>62</v>
      </c>
      <c r="E29" t="s">
        <v>86</v>
      </c>
      <c r="F29" t="s">
        <v>51</v>
      </c>
      <c r="I29" t="s">
        <v>74</v>
      </c>
      <c r="J29" t="s">
        <v>2981</v>
      </c>
      <c r="K29" t="s">
        <v>3157</v>
      </c>
      <c r="L29" t="s">
        <v>3158</v>
      </c>
      <c r="M29" s="3" t="str">
        <f>HYPERLINK(склад2въезд[[#This Row],[RelativePath]])</f>
        <v>1 Ангар Склад 2 въезд\E33149364_6_20251114T125414Z.jpg</v>
      </c>
      <c r="N29" t="str">
        <f>VLOOKUP(склад2въезд[[#This Row],[Name]], СпрСобытий!$F:$G, 2, FALSE)</f>
        <v>Ангар Склад 2 въезд</v>
      </c>
    </row>
    <row r="30" spans="1:14" x14ac:dyDescent="0.25">
      <c r="A30" s="2" t="s">
        <v>17</v>
      </c>
      <c r="B30" s="4">
        <v>45975</v>
      </c>
      <c r="C30" s="5">
        <v>0.53960648148148149</v>
      </c>
      <c r="D30" t="s">
        <v>89</v>
      </c>
      <c r="E30" t="s">
        <v>66</v>
      </c>
      <c r="F30" t="s">
        <v>88</v>
      </c>
      <c r="G30">
        <v>1</v>
      </c>
      <c r="I30" t="s">
        <v>75</v>
      </c>
      <c r="J30" t="s">
        <v>2981</v>
      </c>
      <c r="K30" t="s">
        <v>3159</v>
      </c>
      <c r="L30" t="s">
        <v>3160</v>
      </c>
      <c r="M30" s="3" t="str">
        <f>HYPERLINK(склад2въезд[[#This Row],[RelativePath]])</f>
        <v>1 Ангар Склад 2 въезд\E33149364_6_20251114T125702Z.jpg</v>
      </c>
      <c r="N30" t="str">
        <f>VLOOKUP(склад2въезд[[#This Row],[Name]], СпрСобытий!$F:$G, 2, FALSE)</f>
        <v>Ангар Склад 2 въезд</v>
      </c>
    </row>
    <row r="31" spans="1:14" x14ac:dyDescent="0.25">
      <c r="A31" s="2" t="s">
        <v>17</v>
      </c>
      <c r="B31" s="4">
        <v>45975</v>
      </c>
      <c r="C31" s="5">
        <v>0.54020833333333329</v>
      </c>
      <c r="D31" t="s">
        <v>64</v>
      </c>
      <c r="E31" t="s">
        <v>86</v>
      </c>
      <c r="F31" t="s">
        <v>87</v>
      </c>
      <c r="G31">
        <v>1</v>
      </c>
      <c r="I31" t="s">
        <v>76</v>
      </c>
      <c r="J31" t="s">
        <v>2981</v>
      </c>
      <c r="K31" t="s">
        <v>3161</v>
      </c>
      <c r="L31" t="s">
        <v>3162</v>
      </c>
      <c r="M31" s="3" t="str">
        <f>HYPERLINK(склад2въезд[[#This Row],[RelativePath]])</f>
        <v>1 Ангар Склад 2 въезд\E33149364_6_20251114T125754Z.jpg</v>
      </c>
      <c r="N31" t="str">
        <f>VLOOKUP(склад2въезд[[#This Row],[Name]], СпрСобытий!$F:$G, 2, FALSE)</f>
        <v>Ангар Склад 2 въезд</v>
      </c>
    </row>
    <row r="32" spans="1:14" x14ac:dyDescent="0.25">
      <c r="A32" s="2" t="s">
        <v>17</v>
      </c>
      <c r="B32" s="4">
        <v>45975</v>
      </c>
      <c r="C32" s="5">
        <v>0.54204861111111113</v>
      </c>
      <c r="D32" t="s">
        <v>62</v>
      </c>
      <c r="E32" t="s">
        <v>66</v>
      </c>
      <c r="F32" t="s">
        <v>51</v>
      </c>
      <c r="I32" t="s">
        <v>77</v>
      </c>
      <c r="J32" t="s">
        <v>2981</v>
      </c>
      <c r="K32" t="s">
        <v>3163</v>
      </c>
      <c r="L32" t="s">
        <v>3164</v>
      </c>
      <c r="M32" s="3" t="str">
        <f>HYPERLINK(склад2въезд[[#This Row],[RelativePath]])</f>
        <v>1 Ангар Склад 2 въезд\E33149364_6_20251114T130033Z.jpg</v>
      </c>
      <c r="N32" t="str">
        <f>VLOOKUP(склад2въезд[[#This Row],[Name]], СпрСобытий!$F:$G, 2, FALSE)</f>
        <v>Ангар Склад 2 въезд</v>
      </c>
    </row>
    <row r="33" spans="1:14" x14ac:dyDescent="0.25">
      <c r="A33" s="2" t="s">
        <v>17</v>
      </c>
      <c r="B33" s="4">
        <v>45975</v>
      </c>
      <c r="C33" s="5">
        <v>0.55090277777777774</v>
      </c>
      <c r="D33" t="s">
        <v>89</v>
      </c>
      <c r="E33" t="s">
        <v>66</v>
      </c>
      <c r="F33" t="s">
        <v>88</v>
      </c>
      <c r="G33">
        <v>1</v>
      </c>
      <c r="I33" t="s">
        <v>78</v>
      </c>
      <c r="J33" t="s">
        <v>2981</v>
      </c>
      <c r="K33" t="s">
        <v>3165</v>
      </c>
      <c r="L33" t="s">
        <v>3166</v>
      </c>
      <c r="M33" s="3" t="str">
        <f>HYPERLINK(склад2въезд[[#This Row],[RelativePath]])</f>
        <v>1 Ангар Склад 2 въезд\E33149364_6_20251114T131318Z.jpg</v>
      </c>
      <c r="N33" t="str">
        <f>VLOOKUP(склад2въезд[[#This Row],[Name]], СпрСобытий!$F:$G, 2, FALSE)</f>
        <v>Ангар Склад 2 въезд</v>
      </c>
    </row>
    <row r="34" spans="1:14" x14ac:dyDescent="0.25">
      <c r="A34" s="2" t="s">
        <v>17</v>
      </c>
      <c r="B34" s="4">
        <v>45975</v>
      </c>
      <c r="C34" s="5">
        <v>0.55299768518518522</v>
      </c>
      <c r="D34" t="s">
        <v>62</v>
      </c>
      <c r="E34" t="s">
        <v>66</v>
      </c>
      <c r="F34" t="s">
        <v>51</v>
      </c>
      <c r="I34" t="s">
        <v>79</v>
      </c>
      <c r="J34" t="s">
        <v>2981</v>
      </c>
      <c r="K34" t="s">
        <v>3167</v>
      </c>
      <c r="L34" t="s">
        <v>3168</v>
      </c>
      <c r="M34" s="3" t="str">
        <f>HYPERLINK(склад2въезд[[#This Row],[RelativePath]])</f>
        <v>1 Ангар Склад 2 въезд\E33149364_6_20251114T131619Z.jpg</v>
      </c>
      <c r="N34" t="str">
        <f>VLOOKUP(склад2въезд[[#This Row],[Name]], СпрСобытий!$F:$G, 2, FALSE)</f>
        <v>Ангар Склад 2 въезд</v>
      </c>
    </row>
    <row r="35" spans="1:14" x14ac:dyDescent="0.25">
      <c r="A35" s="2" t="s">
        <v>17</v>
      </c>
      <c r="B35" s="4">
        <v>45975</v>
      </c>
      <c r="C35" s="5">
        <v>0.56123842592592588</v>
      </c>
      <c r="D35" t="s">
        <v>89</v>
      </c>
      <c r="E35" t="s">
        <v>66</v>
      </c>
      <c r="F35" t="s">
        <v>88</v>
      </c>
      <c r="G35">
        <v>1</v>
      </c>
      <c r="I35" t="s">
        <v>80</v>
      </c>
      <c r="J35" t="s">
        <v>2981</v>
      </c>
      <c r="K35" t="s">
        <v>3169</v>
      </c>
      <c r="L35" t="s">
        <v>3170</v>
      </c>
      <c r="M35" s="3" t="str">
        <f>HYPERLINK(склад2въезд[[#This Row],[RelativePath]])</f>
        <v>1 Ангар Склад 2 въезд\E33149364_6_20251114T132811Z.jpg</v>
      </c>
      <c r="N35" t="str">
        <f>VLOOKUP(склад2въезд[[#This Row],[Name]], СпрСобытий!$F:$G, 2, FALSE)</f>
        <v>Ангар Склад 2 въезд</v>
      </c>
    </row>
    <row r="36" spans="1:14" x14ac:dyDescent="0.25">
      <c r="A36" s="2" t="s">
        <v>17</v>
      </c>
      <c r="B36" s="4">
        <v>45975</v>
      </c>
      <c r="C36" s="5">
        <v>0.56293981481481481</v>
      </c>
      <c r="D36" t="s">
        <v>62</v>
      </c>
      <c r="E36" t="s">
        <v>66</v>
      </c>
      <c r="F36" t="s">
        <v>51</v>
      </c>
      <c r="I36" t="s">
        <v>81</v>
      </c>
      <c r="J36" t="s">
        <v>2981</v>
      </c>
      <c r="K36" t="s">
        <v>3171</v>
      </c>
      <c r="L36" t="s">
        <v>3172</v>
      </c>
      <c r="M36" s="3" t="str">
        <f>HYPERLINK(склад2въезд[[#This Row],[RelativePath]])</f>
        <v>1 Ангар Склад 2 въезд\E33149364_6_20251114T133038Z.jpg</v>
      </c>
      <c r="N36" t="str">
        <f>VLOOKUP(склад2въезд[[#This Row],[Name]], СпрСобытий!$F:$G, 2, FALSE)</f>
        <v>Ангар Склад 2 въезд</v>
      </c>
    </row>
    <row r="37" spans="1:14" x14ac:dyDescent="0.25">
      <c r="A37" s="2" t="s">
        <v>17</v>
      </c>
      <c r="B37" s="4">
        <v>45975</v>
      </c>
      <c r="C37" s="5">
        <v>0.57114583333333335</v>
      </c>
      <c r="D37" t="s">
        <v>89</v>
      </c>
      <c r="E37" t="s">
        <v>66</v>
      </c>
      <c r="F37" t="s">
        <v>88</v>
      </c>
      <c r="G37">
        <v>1</v>
      </c>
      <c r="I37" t="s">
        <v>82</v>
      </c>
      <c r="J37" t="s">
        <v>2981</v>
      </c>
      <c r="K37" t="s">
        <v>3173</v>
      </c>
      <c r="L37" t="s">
        <v>3174</v>
      </c>
      <c r="M37" s="3" t="str">
        <f>HYPERLINK(склад2въезд[[#This Row],[RelativePath]])</f>
        <v>1 Ангар Склад 2 въезд\E33149364_6_20251114T134227Z.jpg</v>
      </c>
      <c r="N37" t="str">
        <f>VLOOKUP(склад2въезд[[#This Row],[Name]], СпрСобытий!$F:$G, 2, FALSE)</f>
        <v>Ангар Склад 2 въезд</v>
      </c>
    </row>
    <row r="38" spans="1:14" x14ac:dyDescent="0.25">
      <c r="A38" s="2" t="s">
        <v>17</v>
      </c>
      <c r="B38" s="4">
        <v>45975</v>
      </c>
      <c r="C38" s="5">
        <v>0.57406250000000003</v>
      </c>
      <c r="D38" t="s">
        <v>62</v>
      </c>
      <c r="E38" t="s">
        <v>66</v>
      </c>
      <c r="F38" t="s">
        <v>51</v>
      </c>
      <c r="I38" t="s">
        <v>83</v>
      </c>
      <c r="J38" t="s">
        <v>2981</v>
      </c>
      <c r="K38" t="s">
        <v>3175</v>
      </c>
      <c r="L38" t="s">
        <v>3176</v>
      </c>
      <c r="M38" s="3" t="str">
        <f>HYPERLINK(склад2въезд[[#This Row],[RelativePath]])</f>
        <v>1 Ангар Склад 2 въезд\E33149364_6_20251114T134639Z.jpg</v>
      </c>
      <c r="N38" t="str">
        <f>VLOOKUP(склад2въезд[[#This Row],[Name]], СпрСобытий!$F:$G, 2, FALSE)</f>
        <v>Ангар Склад 2 въезд</v>
      </c>
    </row>
    <row r="39" spans="1:14" x14ac:dyDescent="0.25">
      <c r="A39" s="2" t="s">
        <v>17</v>
      </c>
      <c r="B39" s="4">
        <v>45975</v>
      </c>
      <c r="C39" s="5">
        <v>0.60061342592592593</v>
      </c>
      <c r="D39" t="s">
        <v>91</v>
      </c>
      <c r="E39" t="s">
        <v>55</v>
      </c>
      <c r="F39" t="s">
        <v>51</v>
      </c>
      <c r="I39" t="s">
        <v>84</v>
      </c>
      <c r="J39" t="s">
        <v>2981</v>
      </c>
      <c r="K39" t="s">
        <v>3177</v>
      </c>
      <c r="L39" t="s">
        <v>3178</v>
      </c>
      <c r="M39" s="3" t="str">
        <f>HYPERLINK(склад2въезд[[#This Row],[RelativePath]])</f>
        <v>1 Ангар Склад 2 въезд\E33149364_6_20251114T142453Z.jpg</v>
      </c>
      <c r="N39" t="str">
        <f>VLOOKUP(склад2въезд[[#This Row],[Name]], СпрСобытий!$F:$G, 2, FALSE)</f>
        <v>Ангар Склад 2 въезд</v>
      </c>
    </row>
    <row r="40" spans="1:14" x14ac:dyDescent="0.25">
      <c r="A40" s="2" t="s">
        <v>18</v>
      </c>
      <c r="B40" s="4">
        <v>45976</v>
      </c>
      <c r="C40" s="5">
        <v>0.43630787037037039</v>
      </c>
      <c r="D40" t="s">
        <v>91</v>
      </c>
      <c r="E40" t="s">
        <v>56</v>
      </c>
      <c r="F40" t="s">
        <v>2000</v>
      </c>
      <c r="I40" t="s">
        <v>1108</v>
      </c>
      <c r="J40" t="s">
        <v>2981</v>
      </c>
      <c r="K40" t="s">
        <v>3179</v>
      </c>
      <c r="L40" t="s">
        <v>3180</v>
      </c>
      <c r="M40" s="3" t="str">
        <f>HYPERLINK(склад2въезд[[#This Row],[RelativePath]])</f>
        <v>1 Ангар Склад 2 въезд\E33149364_6_20251115T102817Z.jpg</v>
      </c>
      <c r="N40" t="str">
        <f>VLOOKUP(склад2въезд[[#This Row],[Name]], СпрСобытий!$F:$G, 2, FALSE)</f>
        <v>Ангар Склад 2 въезд</v>
      </c>
    </row>
    <row r="41" spans="1:14" x14ac:dyDescent="0.25">
      <c r="A41" s="2" t="s">
        <v>18</v>
      </c>
      <c r="B41" s="4">
        <v>45976</v>
      </c>
      <c r="C41" s="5">
        <v>0.44349537037037035</v>
      </c>
      <c r="D41" t="s">
        <v>62</v>
      </c>
      <c r="E41" t="s">
        <v>55</v>
      </c>
      <c r="F41" t="s">
        <v>2000</v>
      </c>
      <c r="I41" t="s">
        <v>1109</v>
      </c>
      <c r="J41" t="s">
        <v>2981</v>
      </c>
      <c r="K41" t="s">
        <v>3181</v>
      </c>
      <c r="L41" t="s">
        <v>3182</v>
      </c>
      <c r="M41" s="3" t="str">
        <f>HYPERLINK(склад2въезд[[#This Row],[RelativePath]])</f>
        <v>1 Ангар Склад 2 въезд\E33149364_6_20251115T103838Z.jpg</v>
      </c>
      <c r="N41" t="str">
        <f>VLOOKUP(склад2въезд[[#This Row],[Name]], СпрСобытий!$F:$G, 2, FALSE)</f>
        <v>Ангар Склад 2 въезд</v>
      </c>
    </row>
    <row r="42" spans="1:14" x14ac:dyDescent="0.25">
      <c r="A42" s="2" t="s">
        <v>18</v>
      </c>
      <c r="B42" s="4">
        <v>45976</v>
      </c>
      <c r="C42" s="5">
        <v>0.46813657407407405</v>
      </c>
      <c r="D42" t="s">
        <v>91</v>
      </c>
      <c r="E42" t="s">
        <v>2001</v>
      </c>
      <c r="I42" t="s">
        <v>1110</v>
      </c>
      <c r="J42" t="s">
        <v>2981</v>
      </c>
      <c r="K42" t="s">
        <v>3183</v>
      </c>
      <c r="L42" t="s">
        <v>3184</v>
      </c>
      <c r="M42" s="3" t="str">
        <f>HYPERLINK(склад2въезд[[#This Row],[RelativePath]])</f>
        <v>1 Ангар Склад 2 въезд\E33149364_6_20251115T111407Z.jpg</v>
      </c>
      <c r="N42" t="str">
        <f>VLOOKUP(склад2въезд[[#This Row],[Name]], СпрСобытий!$F:$G, 2, FALSE)</f>
        <v>Ангар Склад 2 въезд</v>
      </c>
    </row>
    <row r="43" spans="1:14" x14ac:dyDescent="0.25">
      <c r="A43" s="2" t="s">
        <v>18</v>
      </c>
      <c r="B43" s="4">
        <v>45976</v>
      </c>
      <c r="C43" s="5">
        <v>0.49760416666666668</v>
      </c>
      <c r="D43" t="s">
        <v>62</v>
      </c>
      <c r="E43" t="s">
        <v>2001</v>
      </c>
      <c r="I43" t="s">
        <v>1111</v>
      </c>
      <c r="J43" t="s">
        <v>2981</v>
      </c>
      <c r="K43" t="s">
        <v>3185</v>
      </c>
      <c r="L43" t="s">
        <v>3186</v>
      </c>
      <c r="M43" s="3" t="str">
        <f>HYPERLINK(склад2въезд[[#This Row],[RelativePath]])</f>
        <v>1 Ангар Склад 2 въезд\E33149364_6_20251115T115633Z.jpg</v>
      </c>
      <c r="N43" t="str">
        <f>VLOOKUP(склад2въезд[[#This Row],[Name]], СпрСобытий!$F:$G, 2, FALSE)</f>
        <v>Ангар Склад 2 въезд</v>
      </c>
    </row>
    <row r="44" spans="1:14" x14ac:dyDescent="0.25">
      <c r="A44" s="2" t="s">
        <v>18</v>
      </c>
      <c r="B44" s="4">
        <v>45976</v>
      </c>
      <c r="C44" s="5">
        <v>0.62281249999999999</v>
      </c>
      <c r="D44" t="s">
        <v>91</v>
      </c>
      <c r="E44" t="s">
        <v>2002</v>
      </c>
      <c r="I44" t="s">
        <v>1112</v>
      </c>
      <c r="J44" t="s">
        <v>2981</v>
      </c>
      <c r="K44" t="s">
        <v>3187</v>
      </c>
      <c r="L44" t="s">
        <v>3188</v>
      </c>
      <c r="M44" s="3" t="str">
        <f>HYPERLINK(склад2въезд[[#This Row],[RelativePath]])</f>
        <v>1 Ангар Склад 2 въезд\E33149364_6_20251115T145651Z.jpg</v>
      </c>
      <c r="N44" t="str">
        <f>VLOOKUP(склад2въезд[[#This Row],[Name]], СпрСобытий!$F:$G, 2, FALSE)</f>
        <v>Ангар Склад 2 въезд</v>
      </c>
    </row>
    <row r="45" spans="1:14" x14ac:dyDescent="0.25">
      <c r="A45" s="2" t="s">
        <v>18</v>
      </c>
      <c r="B45" s="4">
        <v>45976</v>
      </c>
      <c r="C45" s="5">
        <v>0.63025462962962964</v>
      </c>
      <c r="D45" t="s">
        <v>91</v>
      </c>
      <c r="E45" t="s">
        <v>55</v>
      </c>
      <c r="F45" t="s">
        <v>2000</v>
      </c>
      <c r="I45" t="s">
        <v>1113</v>
      </c>
      <c r="J45" t="s">
        <v>2981</v>
      </c>
      <c r="K45" t="s">
        <v>3189</v>
      </c>
      <c r="L45" t="s">
        <v>3190</v>
      </c>
      <c r="M45" s="3" t="str">
        <f>HYPERLINK(склад2въезд[[#This Row],[RelativePath]])</f>
        <v>1 Ангар Склад 2 въезд\E33149364_6_20251115T150734Z.jpg</v>
      </c>
      <c r="N45" t="str">
        <f>VLOOKUP(склад2въезд[[#This Row],[Name]], СпрСобытий!$F:$G, 2, FALSE)</f>
        <v>Ангар Склад 2 въезд</v>
      </c>
    </row>
    <row r="46" spans="1:14" x14ac:dyDescent="0.25">
      <c r="A46" s="2" t="s">
        <v>18</v>
      </c>
      <c r="B46" s="4">
        <v>45976</v>
      </c>
      <c r="C46" s="5">
        <v>0.64368055555555559</v>
      </c>
      <c r="D46" t="s">
        <v>62</v>
      </c>
      <c r="E46" t="s">
        <v>2002</v>
      </c>
      <c r="I46" t="s">
        <v>1114</v>
      </c>
      <c r="J46" t="s">
        <v>2981</v>
      </c>
      <c r="K46" t="s">
        <v>3191</v>
      </c>
      <c r="L46" t="s">
        <v>3192</v>
      </c>
      <c r="M46" s="3" t="str">
        <f>HYPERLINK(склад2въезд[[#This Row],[RelativePath]])</f>
        <v>1 Ангар Склад 2 въезд\E33149364_6_20251115T152654Z.jpg</v>
      </c>
      <c r="N46" t="str">
        <f>VLOOKUP(склад2въезд[[#This Row],[Name]], СпрСобытий!$F:$G, 2, FALSE)</f>
        <v>Ангар Склад 2 въезд</v>
      </c>
    </row>
    <row r="47" spans="1:14" x14ac:dyDescent="0.25">
      <c r="A47" s="2" t="s">
        <v>18</v>
      </c>
      <c r="B47" s="4">
        <v>45976</v>
      </c>
      <c r="C47" s="5">
        <v>0.63765046296296302</v>
      </c>
      <c r="D47" t="s">
        <v>62</v>
      </c>
      <c r="E47" t="s">
        <v>56</v>
      </c>
      <c r="F47" t="s">
        <v>200</v>
      </c>
      <c r="I47" t="s">
        <v>2003</v>
      </c>
      <c r="J47" t="s">
        <v>2981</v>
      </c>
      <c r="K47" t="s">
        <v>3193</v>
      </c>
      <c r="L47" t="s">
        <v>3194</v>
      </c>
      <c r="M47" s="3" t="str">
        <f>HYPERLINK(склад2въезд[[#This Row],[RelativePath]])</f>
        <v>1 Ангар Склад 2 въезд\E33149364_6_20251115T151813Z.jpg</v>
      </c>
      <c r="N47" t="str">
        <f>VLOOKUP(склад2въезд[[#This Row],[Name]], СпрСобытий!$F:$G, 2, FALSE)</f>
        <v>Ангар Склад 2 въезд</v>
      </c>
    </row>
    <row r="48" spans="1:14" x14ac:dyDescent="0.25">
      <c r="A48" s="2" t="s">
        <v>13</v>
      </c>
      <c r="B48" s="4">
        <v>45978</v>
      </c>
      <c r="C48" s="5">
        <v>0.73159722222222223</v>
      </c>
      <c r="D48" t="s">
        <v>2004</v>
      </c>
      <c r="I48" t="s">
        <v>2049</v>
      </c>
      <c r="J48" t="s">
        <v>2981</v>
      </c>
      <c r="K48" t="s">
        <v>3195</v>
      </c>
      <c r="L48" t="s">
        <v>3196</v>
      </c>
      <c r="M48" s="3" t="str">
        <f>HYPERLINK(склад2въезд[[#This Row],[RelativePath]])</f>
        <v>1 Ангар Склад 2 въезд\E33149364_6_20251117T173330Z.jpg</v>
      </c>
      <c r="N48" t="str">
        <f>VLOOKUP(склад2въезд[[#This Row],[Name]], СпрСобытий!$F:$G, 2, FALSE)</f>
        <v>Ангар Склад 2 въезд</v>
      </c>
    </row>
    <row r="49" spans="1:14" x14ac:dyDescent="0.25">
      <c r="A49" s="2" t="s">
        <v>14</v>
      </c>
      <c r="B49" s="4">
        <v>45979</v>
      </c>
      <c r="C49" s="5">
        <v>0.37914351851851852</v>
      </c>
      <c r="D49" t="s">
        <v>64</v>
      </c>
      <c r="E49" t="s">
        <v>70</v>
      </c>
      <c r="F49" t="s">
        <v>51</v>
      </c>
      <c r="I49" t="s">
        <v>2050</v>
      </c>
      <c r="J49" t="s">
        <v>2981</v>
      </c>
      <c r="K49" t="s">
        <v>3197</v>
      </c>
      <c r="L49" t="s">
        <v>3198</v>
      </c>
      <c r="M49" s="3" t="str">
        <f>HYPERLINK(склад2въезд[[#This Row],[RelativePath]])</f>
        <v>1 Ангар Склад 2 въезд\E33149364_6_20251118T090558Z.jpg</v>
      </c>
      <c r="N49" t="str">
        <f>VLOOKUP(склад2въезд[[#This Row],[Name]], СпрСобытий!$F:$G, 2, FALSE)</f>
        <v>Ангар Склад 2 въезд</v>
      </c>
    </row>
    <row r="50" spans="1:14" x14ac:dyDescent="0.25">
      <c r="A50" s="2" t="s">
        <v>14</v>
      </c>
      <c r="B50" s="4">
        <v>45979</v>
      </c>
      <c r="C50" s="5">
        <v>0.40402777777777776</v>
      </c>
      <c r="D50" t="s">
        <v>62</v>
      </c>
      <c r="E50" t="s">
        <v>70</v>
      </c>
      <c r="F50" t="s">
        <v>58</v>
      </c>
      <c r="I50" t="s">
        <v>2051</v>
      </c>
      <c r="J50" t="s">
        <v>2981</v>
      </c>
      <c r="K50" t="s">
        <v>3199</v>
      </c>
      <c r="L50" t="s">
        <v>3200</v>
      </c>
      <c r="M50" s="3" t="str">
        <f>HYPERLINK(склад2въезд[[#This Row],[RelativePath]])</f>
        <v>1 Ангар Склад 2 въезд\E33149364_6_20251118T094148Z.jpg</v>
      </c>
      <c r="N50" t="str">
        <f>VLOOKUP(склад2въезд[[#This Row],[Name]], СпрСобытий!$F:$G, 2, FALSE)</f>
        <v>Ангар Склад 2 въезд</v>
      </c>
    </row>
    <row r="51" spans="1:14" x14ac:dyDescent="0.25">
      <c r="A51" s="2" t="s">
        <v>14</v>
      </c>
      <c r="B51" s="4">
        <v>45979</v>
      </c>
      <c r="C51" s="5">
        <v>0.43164351851851851</v>
      </c>
      <c r="D51" t="s">
        <v>64</v>
      </c>
      <c r="E51" t="s">
        <v>2920</v>
      </c>
      <c r="F51" t="s">
        <v>2921</v>
      </c>
      <c r="I51" t="s">
        <v>2052</v>
      </c>
      <c r="J51" t="s">
        <v>2981</v>
      </c>
      <c r="K51" t="s">
        <v>3201</v>
      </c>
      <c r="L51" t="s">
        <v>3202</v>
      </c>
      <c r="M51" s="3" t="str">
        <f>HYPERLINK(склад2въезд[[#This Row],[RelativePath]])</f>
        <v>1 Ангар Склад 2 въезд\E33149364_6_20251118T102134Z.jpg</v>
      </c>
      <c r="N51" t="str">
        <f>VLOOKUP(склад2въезд[[#This Row],[Name]], СпрСобытий!$F:$G, 2, FALSE)</f>
        <v>Ангар Склад 2 въезд</v>
      </c>
    </row>
    <row r="52" spans="1:14" x14ac:dyDescent="0.25">
      <c r="A52" s="2" t="s">
        <v>14</v>
      </c>
      <c r="B52" s="4">
        <v>45979</v>
      </c>
      <c r="C52" s="5">
        <v>0.43486111111111109</v>
      </c>
      <c r="D52" t="s">
        <v>62</v>
      </c>
      <c r="E52" t="s">
        <v>2920</v>
      </c>
      <c r="F52" t="s">
        <v>2922</v>
      </c>
      <c r="I52" t="s">
        <v>2053</v>
      </c>
      <c r="J52" t="s">
        <v>2981</v>
      </c>
      <c r="K52" t="s">
        <v>3203</v>
      </c>
      <c r="L52" t="s">
        <v>3204</v>
      </c>
      <c r="M52" s="3" t="str">
        <f>HYPERLINK(склад2въезд[[#This Row],[RelativePath]])</f>
        <v>1 Ангар Склад 2 въезд\E33149364_6_20251118T102612Z.jpg</v>
      </c>
      <c r="N52" t="str">
        <f>VLOOKUP(склад2въезд[[#This Row],[Name]], СпрСобытий!$F:$G, 2, FALSE)</f>
        <v>Ангар Склад 2 въезд</v>
      </c>
    </row>
    <row r="53" spans="1:14" x14ac:dyDescent="0.25">
      <c r="A53" s="2" t="s">
        <v>14</v>
      </c>
      <c r="B53" s="4">
        <v>45979</v>
      </c>
      <c r="C53" s="5">
        <v>0.60865740740740737</v>
      </c>
      <c r="D53" t="s">
        <v>62</v>
      </c>
      <c r="E53" t="s">
        <v>2923</v>
      </c>
      <c r="F53" t="s">
        <v>58</v>
      </c>
      <c r="I53" t="s">
        <v>2054</v>
      </c>
      <c r="J53" t="s">
        <v>2981</v>
      </c>
      <c r="K53" t="s">
        <v>3205</v>
      </c>
      <c r="L53" t="s">
        <v>3206</v>
      </c>
      <c r="M53" s="3" t="str">
        <f>HYPERLINK(склад2въезд[[#This Row],[RelativePath]])</f>
        <v>1 Ангар Склад 2 въезд\E33149364_6_20251118T143628Z.jpg</v>
      </c>
      <c r="N53" t="str">
        <f>VLOOKUP(склад2въезд[[#This Row],[Name]], СпрСобытий!$F:$G, 2, FALSE)</f>
        <v>Ангар Склад 2 въезд</v>
      </c>
    </row>
    <row r="54" spans="1:14" x14ac:dyDescent="0.25">
      <c r="A54" s="2" t="s">
        <v>15</v>
      </c>
      <c r="B54" s="4">
        <v>45980</v>
      </c>
      <c r="C54" s="5">
        <v>0.45783564814814814</v>
      </c>
      <c r="D54" t="s">
        <v>64</v>
      </c>
      <c r="E54" t="s">
        <v>70</v>
      </c>
      <c r="F54" t="s">
        <v>51</v>
      </c>
      <c r="I54" t="s">
        <v>2055</v>
      </c>
      <c r="J54" t="s">
        <v>2981</v>
      </c>
      <c r="K54" t="s">
        <v>3207</v>
      </c>
      <c r="L54" t="s">
        <v>3208</v>
      </c>
      <c r="M54" s="3" t="str">
        <f>HYPERLINK(склад2въезд[[#This Row],[RelativePath]])</f>
        <v>1 Ангар Склад 2 въезд\E33149364_6_20251119T105917Z.jpg</v>
      </c>
      <c r="N54" t="str">
        <f>VLOOKUP(склад2въезд[[#This Row],[Name]], СпрСобытий!$F:$G, 2, FALSE)</f>
        <v>Ангар Склад 2 въезд</v>
      </c>
    </row>
    <row r="55" spans="1:14" x14ac:dyDescent="0.25">
      <c r="A55" s="2" t="s">
        <v>15</v>
      </c>
      <c r="B55" s="4">
        <v>45980</v>
      </c>
      <c r="C55" s="5">
        <v>0.48494212962962963</v>
      </c>
      <c r="D55" t="s">
        <v>62</v>
      </c>
      <c r="E55" t="s">
        <v>70</v>
      </c>
      <c r="F55" t="s">
        <v>58</v>
      </c>
      <c r="I55" t="s">
        <v>2056</v>
      </c>
      <c r="J55" t="s">
        <v>2981</v>
      </c>
      <c r="K55" t="s">
        <v>3209</v>
      </c>
      <c r="L55" t="s">
        <v>3210</v>
      </c>
      <c r="M55" s="3" t="str">
        <f>HYPERLINK(склад2въезд[[#This Row],[RelativePath]])</f>
        <v>1 Ангар Склад 2 въезд\E33149364_6_20251119T113819Z.jpg</v>
      </c>
      <c r="N55" t="str">
        <f>VLOOKUP(склад2въезд[[#This Row],[Name]], СпрСобытий!$F:$G, 2, FALSE)</f>
        <v>Ангар Склад 2 въезд</v>
      </c>
    </row>
    <row r="56" spans="1:14" x14ac:dyDescent="0.25">
      <c r="A56" s="2" t="s">
        <v>15</v>
      </c>
      <c r="B56" s="4">
        <v>45980</v>
      </c>
      <c r="C56" s="5">
        <v>0.49100694444444443</v>
      </c>
      <c r="D56" t="s">
        <v>91</v>
      </c>
      <c r="E56" t="s">
        <v>2002</v>
      </c>
      <c r="I56" t="s">
        <v>2057</v>
      </c>
      <c r="J56" t="s">
        <v>2981</v>
      </c>
      <c r="K56" t="s">
        <v>3211</v>
      </c>
      <c r="L56" t="s">
        <v>3212</v>
      </c>
      <c r="M56" s="3" t="str">
        <f>HYPERLINK(склад2въезд[[#This Row],[RelativePath]])</f>
        <v>1 Ангар Склад 2 въезд\E33149364_6_20251119T114703Z.jpg</v>
      </c>
      <c r="N56" t="str">
        <f>VLOOKUP(склад2въезд[[#This Row],[Name]], СпрСобытий!$F:$G, 2, FALSE)</f>
        <v>Ангар Склад 2 въезд</v>
      </c>
    </row>
    <row r="57" spans="1:14" x14ac:dyDescent="0.25">
      <c r="A57" s="2" t="s">
        <v>15</v>
      </c>
      <c r="B57" s="4">
        <v>45980</v>
      </c>
      <c r="C57" s="5">
        <v>0.49490740740740741</v>
      </c>
      <c r="D57" t="s">
        <v>62</v>
      </c>
      <c r="E57" t="s">
        <v>2002</v>
      </c>
      <c r="I57" t="s">
        <v>2058</v>
      </c>
      <c r="J57" t="s">
        <v>2981</v>
      </c>
      <c r="K57" t="s">
        <v>3213</v>
      </c>
      <c r="L57" t="s">
        <v>3214</v>
      </c>
      <c r="M57" s="3" t="str">
        <f>HYPERLINK(склад2въезд[[#This Row],[RelativePath]])</f>
        <v>1 Ангар Склад 2 въезд\E33149364_6_20251119T115240Z.jpg</v>
      </c>
      <c r="N57" t="str">
        <f>VLOOKUP(склад2въезд[[#This Row],[Name]], СпрСобытий!$F:$G, 2, FALSE)</f>
        <v>Ангар Склад 2 въезд</v>
      </c>
    </row>
    <row r="58" spans="1:14" x14ac:dyDescent="0.25">
      <c r="A58" s="2" t="s">
        <v>16</v>
      </c>
      <c r="B58" s="4">
        <v>45981</v>
      </c>
      <c r="C58" s="5">
        <v>0.7010763888888889</v>
      </c>
      <c r="D58" t="s">
        <v>2004</v>
      </c>
      <c r="I58" t="s">
        <v>2059</v>
      </c>
      <c r="J58" t="s">
        <v>2981</v>
      </c>
      <c r="K58" t="s">
        <v>3215</v>
      </c>
      <c r="L58" t="s">
        <v>3216</v>
      </c>
      <c r="M58" s="3" t="str">
        <f>HYPERLINK(склад2въезд[[#This Row],[RelativePath]])</f>
        <v>1 Ангар Склад 2 въезд\E33149364_6_20251120T164933Z.jpg</v>
      </c>
      <c r="N58" t="str">
        <f>VLOOKUP(склад2въезд[[#This Row],[Name]], СпрСобытий!$F:$G, 2, FALSE)</f>
        <v>Ангар Склад 2 въезд</v>
      </c>
    </row>
    <row r="59" spans="1:14" x14ac:dyDescent="0.25">
      <c r="A59" s="2" t="s">
        <v>17</v>
      </c>
      <c r="B59" s="4">
        <v>45982</v>
      </c>
      <c r="C59" s="5">
        <v>0.45726851851851852</v>
      </c>
      <c r="D59" t="s">
        <v>91</v>
      </c>
      <c r="E59" t="s">
        <v>70</v>
      </c>
      <c r="I59" t="s">
        <v>2060</v>
      </c>
      <c r="J59" t="s">
        <v>2981</v>
      </c>
      <c r="K59" t="s">
        <v>3217</v>
      </c>
      <c r="L59" t="s">
        <v>3218</v>
      </c>
      <c r="M59" s="3" t="str">
        <f>HYPERLINK(склад2въезд[[#This Row],[RelativePath]])</f>
        <v>1 Ангар Склад 2 въезд\E33149364_6_20251121T105828Z.jpg</v>
      </c>
      <c r="N59" t="str">
        <f>VLOOKUP(склад2въезд[[#This Row],[Name]], СпрСобытий!$F:$G, 2, FALSE)</f>
        <v>Ангар Склад 2 въезд</v>
      </c>
    </row>
    <row r="60" spans="1:14" x14ac:dyDescent="0.25">
      <c r="A60" s="2" t="s">
        <v>17</v>
      </c>
      <c r="B60" s="4">
        <v>45982</v>
      </c>
      <c r="C60" s="5">
        <v>0.4588888888888889</v>
      </c>
      <c r="D60" t="s">
        <v>62</v>
      </c>
      <c r="E60" t="s">
        <v>70</v>
      </c>
      <c r="H60" t="s">
        <v>2924</v>
      </c>
      <c r="I60" t="s">
        <v>2061</v>
      </c>
      <c r="J60" t="s">
        <v>2981</v>
      </c>
      <c r="K60" t="s">
        <v>3219</v>
      </c>
      <c r="L60" t="s">
        <v>3220</v>
      </c>
      <c r="M60" s="3" t="str">
        <f>HYPERLINK(склад2въезд[[#This Row],[RelativePath]])</f>
        <v>1 Ангар Склад 2 въезд\E33149364_6_20251121T110048Z.jpg</v>
      </c>
      <c r="N60" t="str">
        <f>VLOOKUP(склад2въезд[[#This Row],[Name]], СпрСобытий!$F:$G, 2, FALSE)</f>
        <v>Ангар Склад 2 въезд</v>
      </c>
    </row>
    <row r="61" spans="1:14" x14ac:dyDescent="0.25">
      <c r="A61" s="2" t="s">
        <v>18</v>
      </c>
      <c r="B61" s="4">
        <v>45983</v>
      </c>
      <c r="C61" s="5">
        <v>0.58160879629629625</v>
      </c>
      <c r="D61" t="s">
        <v>2004</v>
      </c>
      <c r="I61" t="s">
        <v>2062</v>
      </c>
      <c r="J61" t="s">
        <v>2981</v>
      </c>
      <c r="K61" t="s">
        <v>3221</v>
      </c>
      <c r="L61" t="s">
        <v>3222</v>
      </c>
      <c r="M61" s="3" t="str">
        <f>HYPERLINK(склад2въезд[[#This Row],[RelativePath]])</f>
        <v>1 Ангар Склад 2 въезд\E33149364_6_20251122T135731Z.jpg</v>
      </c>
      <c r="N61" t="str">
        <f>VLOOKUP(склад2въезд[[#This Row],[Name]], СпрСобытий!$F:$G, 2, FALSE)</f>
        <v>Ангар Склад 2 въезд</v>
      </c>
    </row>
    <row r="62" spans="1:14" x14ac:dyDescent="0.25">
      <c r="A62" s="2" t="s">
        <v>22</v>
      </c>
      <c r="B62" s="4">
        <v>45984</v>
      </c>
      <c r="C62" s="5">
        <v>0.6568518518518518</v>
      </c>
      <c r="D62" t="s">
        <v>2004</v>
      </c>
      <c r="I62" t="s">
        <v>2063</v>
      </c>
      <c r="J62" t="s">
        <v>2981</v>
      </c>
      <c r="K62" t="s">
        <v>3223</v>
      </c>
      <c r="L62" t="s">
        <v>3224</v>
      </c>
      <c r="M62" s="3" t="str">
        <f>HYPERLINK(склад2въезд[[#This Row],[RelativePath]])</f>
        <v>1 Ангар Склад 2 въезд\E33149364_6_20251123T154552Z.jpg</v>
      </c>
      <c r="N62" t="str">
        <f>VLOOKUP(склад2въезд[[#This Row],[Name]], СпрСобытий!$F:$G, 2, FALSE)</f>
        <v>Ангар Склад 2 въезд</v>
      </c>
    </row>
    <row r="63" spans="1:14" x14ac:dyDescent="0.25">
      <c r="A63" s="2" t="s">
        <v>13</v>
      </c>
      <c r="B63" s="4">
        <v>45985</v>
      </c>
      <c r="C63" s="5">
        <v>0.56336805555555558</v>
      </c>
      <c r="D63" t="s">
        <v>91</v>
      </c>
      <c r="E63" t="s">
        <v>70</v>
      </c>
      <c r="I63" t="s">
        <v>2994</v>
      </c>
      <c r="J63" t="s">
        <v>2981</v>
      </c>
      <c r="K63" t="s">
        <v>2995</v>
      </c>
      <c r="L63" t="s">
        <v>2996</v>
      </c>
      <c r="M63" s="3" t="str">
        <f>HYPERLINK(склад2въезд[[#This Row],[RelativePath]])</f>
        <v>1 Ангар Склад 2 въезд\E33149364_6_20251124T133115Z.jpg</v>
      </c>
      <c r="N63" t="str">
        <f>VLOOKUP(склад2въезд[[#This Row],[Name]], СпрСобытий!$F:$G, 2, FALSE)</f>
        <v>Ангар Склад 2 въезд</v>
      </c>
    </row>
    <row r="64" spans="1:14" x14ac:dyDescent="0.25">
      <c r="A64" s="2" t="s">
        <v>13</v>
      </c>
      <c r="B64" s="4">
        <v>45985</v>
      </c>
      <c r="C64" s="5">
        <v>0.56994212962962965</v>
      </c>
      <c r="D64" t="s">
        <v>62</v>
      </c>
      <c r="E64" t="s">
        <v>70</v>
      </c>
      <c r="I64" t="s">
        <v>2997</v>
      </c>
      <c r="J64" t="s">
        <v>2981</v>
      </c>
      <c r="K64" t="s">
        <v>2998</v>
      </c>
      <c r="L64" t="s">
        <v>2999</v>
      </c>
      <c r="M64" s="3" t="str">
        <f>HYPERLINK(склад2въезд[[#This Row],[RelativePath]])</f>
        <v>1 Ангар Склад 2 въезд\E33149364_6_20251124T134043Z.jpg</v>
      </c>
      <c r="N64" t="str">
        <f>VLOOKUP(склад2въезд[[#This Row],[Name]], СпрСобытий!$F:$G, 2, FALSE)</f>
        <v>Ангар Склад 2 въезд</v>
      </c>
    </row>
    <row r="65" spans="1:14" x14ac:dyDescent="0.25">
      <c r="A65" s="2" t="s">
        <v>13</v>
      </c>
      <c r="B65" s="4">
        <v>45985</v>
      </c>
      <c r="C65" s="5">
        <v>0.70803240740740736</v>
      </c>
      <c r="D65" t="s">
        <v>3018</v>
      </c>
      <c r="E65" t="s">
        <v>1607</v>
      </c>
      <c r="F65" t="s">
        <v>2929</v>
      </c>
      <c r="I65" t="s">
        <v>3000</v>
      </c>
      <c r="J65" t="s">
        <v>2981</v>
      </c>
      <c r="K65" t="s">
        <v>3001</v>
      </c>
      <c r="L65" t="s">
        <v>3002</v>
      </c>
      <c r="M65" s="3" t="str">
        <f>HYPERLINK(склад2въезд[[#This Row],[RelativePath]])</f>
        <v>1 Ангар Склад 2 въезд\E33149364_6_20251124T165934Z.jpg</v>
      </c>
      <c r="N65" t="str">
        <f>VLOOKUP(склад2въезд[[#This Row],[Name]], СпрСобытий!$F:$G, 2, FALSE)</f>
        <v>Ангар Склад 2 въезд</v>
      </c>
    </row>
    <row r="66" spans="1:14" x14ac:dyDescent="0.25">
      <c r="A66" s="2" t="s">
        <v>13</v>
      </c>
      <c r="B66" s="4">
        <v>45985</v>
      </c>
      <c r="C66" s="5">
        <v>0.73373842592592597</v>
      </c>
      <c r="D66" t="s">
        <v>91</v>
      </c>
      <c r="E66" t="s">
        <v>70</v>
      </c>
      <c r="F66" t="s">
        <v>58</v>
      </c>
      <c r="I66" t="s">
        <v>3003</v>
      </c>
      <c r="J66" t="s">
        <v>2981</v>
      </c>
      <c r="K66" t="s">
        <v>3004</v>
      </c>
      <c r="L66" t="s">
        <v>3005</v>
      </c>
      <c r="M66" s="3" t="str">
        <f>HYPERLINK(склад2въезд[[#This Row],[RelativePath]])</f>
        <v>1 Ангар Склад 2 въезд\E33149364_6_20251124T173635Z.jpg</v>
      </c>
      <c r="N66" t="str">
        <f>VLOOKUP(склад2въезд[[#This Row],[Name]], СпрСобытий!$F:$G, 2, FALSE)</f>
        <v>Ангар Склад 2 въезд</v>
      </c>
    </row>
    <row r="67" spans="1:14" x14ac:dyDescent="0.25">
      <c r="A67" s="2" t="s">
        <v>13</v>
      </c>
      <c r="B67" s="4">
        <v>45985</v>
      </c>
      <c r="C67" s="5">
        <v>0.7581134259259259</v>
      </c>
      <c r="D67" t="s">
        <v>62</v>
      </c>
      <c r="E67" t="s">
        <v>70</v>
      </c>
      <c r="F67" t="s">
        <v>51</v>
      </c>
      <c r="I67" t="s">
        <v>3006</v>
      </c>
      <c r="J67" t="s">
        <v>2981</v>
      </c>
      <c r="K67" t="s">
        <v>3007</v>
      </c>
      <c r="L67" t="s">
        <v>3008</v>
      </c>
      <c r="M67" s="3" t="str">
        <f>HYPERLINK(склад2въезд[[#This Row],[RelativePath]])</f>
        <v>1 Ангар Склад 2 въезд\E33149364_6_20251124T181141Z.jpg</v>
      </c>
      <c r="N67" t="str">
        <f>VLOOKUP(склад2въезд[[#This Row],[Name]], СпрСобытий!$F:$G, 2, FALSE)</f>
        <v>Ангар Склад 2 въезд</v>
      </c>
    </row>
    <row r="68" spans="1:14" x14ac:dyDescent="0.25">
      <c r="A68" s="2" t="s">
        <v>14</v>
      </c>
      <c r="B68" s="4">
        <v>45986</v>
      </c>
      <c r="C68" s="5">
        <v>0.64554398148148151</v>
      </c>
      <c r="D68" t="s">
        <v>91</v>
      </c>
      <c r="E68" t="s">
        <v>70</v>
      </c>
      <c r="F68" t="s">
        <v>58</v>
      </c>
      <c r="I68" t="s">
        <v>3009</v>
      </c>
      <c r="J68" t="s">
        <v>2981</v>
      </c>
      <c r="K68" t="s">
        <v>3010</v>
      </c>
      <c r="L68" t="s">
        <v>3011</v>
      </c>
      <c r="M68" s="3" t="str">
        <f>HYPERLINK(склад2въезд[[#This Row],[RelativePath]])</f>
        <v>1 Ангар Склад 2 въезд\E33149364_6_20251125T152935Z.jpg</v>
      </c>
      <c r="N68" t="str">
        <f>VLOOKUP(склад2въезд[[#This Row],[Name]], СпрСобытий!$F:$G, 2, FALSE)</f>
        <v>Ангар Склад 2 въезд</v>
      </c>
    </row>
    <row r="69" spans="1:14" x14ac:dyDescent="0.25">
      <c r="A69" s="2" t="s">
        <v>14</v>
      </c>
      <c r="B69" s="4">
        <v>45986</v>
      </c>
      <c r="C69" s="5">
        <v>0.64939814814814811</v>
      </c>
      <c r="D69" t="s">
        <v>3019</v>
      </c>
      <c r="E69" t="s">
        <v>70</v>
      </c>
      <c r="F69" t="s">
        <v>58</v>
      </c>
      <c r="I69" t="s">
        <v>3012</v>
      </c>
      <c r="J69" t="s">
        <v>2981</v>
      </c>
      <c r="K69" t="s">
        <v>3013</v>
      </c>
      <c r="L69" t="s">
        <v>3014</v>
      </c>
      <c r="M69" s="3" t="str">
        <f>HYPERLINK(склад2въезд[[#This Row],[RelativePath]])</f>
        <v>1 Ангар Склад 2 въезд\E33149364_6_20251125T153508Z.jpg</v>
      </c>
      <c r="N69" t="str">
        <f>VLOOKUP(склад2въезд[[#This Row],[Name]], СпрСобытий!$F:$G, 2, FALSE)</f>
        <v>Ангар Склад 2 въезд</v>
      </c>
    </row>
    <row r="70" spans="1:14" x14ac:dyDescent="0.25">
      <c r="A70" s="2" t="s">
        <v>14</v>
      </c>
      <c r="B70" s="4">
        <v>45986</v>
      </c>
      <c r="C70" s="5">
        <v>0.64962962962962967</v>
      </c>
      <c r="D70" t="s">
        <v>3019</v>
      </c>
      <c r="E70" t="s">
        <v>70</v>
      </c>
      <c r="F70" t="s">
        <v>58</v>
      </c>
      <c r="H70" t="s">
        <v>2936</v>
      </c>
      <c r="I70" t="s">
        <v>3015</v>
      </c>
      <c r="J70" t="s">
        <v>2981</v>
      </c>
      <c r="K70" t="s">
        <v>3016</v>
      </c>
      <c r="L70" t="s">
        <v>3017</v>
      </c>
      <c r="M70" s="3" t="str">
        <f>HYPERLINK(склад2въезд[[#This Row],[RelativePath]])</f>
        <v>1 Ангар Склад 2 въезд\E33149364_6_20251125T153528Z.jpg</v>
      </c>
      <c r="N70" t="str">
        <f>VLOOKUP(склад2въезд[[#This Row],[Name]], СпрСобытий!$F:$G, 2, FALSE)</f>
        <v>Ангар Склад 2 въезд</v>
      </c>
    </row>
    <row r="71" spans="1:14" x14ac:dyDescent="0.25">
      <c r="A71" s="2" t="s">
        <v>15</v>
      </c>
      <c r="B71" s="4">
        <v>45987</v>
      </c>
      <c r="C71" s="5">
        <v>0.43335648148148148</v>
      </c>
      <c r="D71" t="s">
        <v>4190</v>
      </c>
      <c r="E71" t="s">
        <v>4192</v>
      </c>
      <c r="F71" t="s">
        <v>51</v>
      </c>
      <c r="I71" t="s">
        <v>3225</v>
      </c>
      <c r="J71" t="s">
        <v>2981</v>
      </c>
      <c r="K71" t="s">
        <v>3226</v>
      </c>
      <c r="L71" t="s">
        <v>3227</v>
      </c>
      <c r="M71" s="3" t="str">
        <f>HYPERLINK(склад2въезд[[#This Row],[RelativePath]])</f>
        <v>1 Ангар Склад 2 въезд\E33149364_6_20251126T102402Z.jpg</v>
      </c>
      <c r="N71" t="str">
        <f>VLOOKUP(склад2въезд[[#This Row],[Name]], СпрСобытий!$F:$G, 2, FALSE)</f>
        <v>Ангар Склад 2 въезд</v>
      </c>
    </row>
    <row r="72" spans="1:14" x14ac:dyDescent="0.25">
      <c r="A72" s="2" t="s">
        <v>15</v>
      </c>
      <c r="B72" s="4">
        <v>45987</v>
      </c>
      <c r="C72" s="5">
        <v>0.45240740740740742</v>
      </c>
      <c r="D72" t="s">
        <v>85</v>
      </c>
      <c r="E72" t="s">
        <v>4192</v>
      </c>
      <c r="F72" t="s">
        <v>58</v>
      </c>
      <c r="I72" t="s">
        <v>3228</v>
      </c>
      <c r="J72" t="s">
        <v>2981</v>
      </c>
      <c r="K72" t="s">
        <v>3229</v>
      </c>
      <c r="L72" t="s">
        <v>3230</v>
      </c>
      <c r="M72" s="3" t="str">
        <f>HYPERLINK(склад2въезд[[#This Row],[RelativePath]])</f>
        <v>1 Ангар Склад 2 въезд\E33149364_6_20251126T105128Z.jpg</v>
      </c>
      <c r="N72" t="str">
        <f>VLOOKUP(склад2въезд[[#This Row],[Name]], СпрСобытий!$F:$G, 2, FALSE)</f>
        <v>Ангар Склад 2 въезд</v>
      </c>
    </row>
    <row r="73" spans="1:14" x14ac:dyDescent="0.25">
      <c r="A73" s="2" t="s">
        <v>15</v>
      </c>
      <c r="B73" s="4">
        <v>45987</v>
      </c>
      <c r="C73" s="5">
        <v>0.45245370370370369</v>
      </c>
      <c r="D73" t="s">
        <v>91</v>
      </c>
      <c r="E73" t="s">
        <v>4192</v>
      </c>
      <c r="F73" t="s">
        <v>58</v>
      </c>
      <c r="I73" t="s">
        <v>3231</v>
      </c>
      <c r="J73" t="s">
        <v>2981</v>
      </c>
      <c r="K73" t="s">
        <v>3232</v>
      </c>
      <c r="L73" t="s">
        <v>3233</v>
      </c>
      <c r="M73" s="3" t="str">
        <f>HYPERLINK(склад2въезд[[#This Row],[RelativePath]])</f>
        <v>1 Ангар Склад 2 въезд\E33149364_6_20251126T105132Z.jpg</v>
      </c>
      <c r="N73" t="str">
        <f>VLOOKUP(склад2въезд[[#This Row],[Name]], СпрСобытий!$F:$G, 2, FALSE)</f>
        <v>Ангар Склад 2 въезд</v>
      </c>
    </row>
    <row r="74" spans="1:14" x14ac:dyDescent="0.25">
      <c r="A74" s="2" t="s">
        <v>15</v>
      </c>
      <c r="B74" s="4">
        <v>45987</v>
      </c>
      <c r="C74" s="5">
        <v>0.45469907407407406</v>
      </c>
      <c r="D74" t="s">
        <v>62</v>
      </c>
      <c r="E74" t="s">
        <v>4192</v>
      </c>
      <c r="F74" t="s">
        <v>58</v>
      </c>
      <c r="I74" t="s">
        <v>3234</v>
      </c>
      <c r="J74" t="s">
        <v>2981</v>
      </c>
      <c r="K74" t="s">
        <v>3235</v>
      </c>
      <c r="L74" t="s">
        <v>3236</v>
      </c>
      <c r="M74" s="3" t="str">
        <f>HYPERLINK(склад2въезд[[#This Row],[RelativePath]])</f>
        <v>1 Ангар Склад 2 въезд\E33149364_6_20251126T105446Z.jpg</v>
      </c>
      <c r="N74" t="str">
        <f>VLOOKUP(склад2въезд[[#This Row],[Name]], СпрСобытий!$F:$G, 2, FALSE)</f>
        <v>Ангар Склад 2 въезд</v>
      </c>
    </row>
    <row r="75" spans="1:14" x14ac:dyDescent="0.25">
      <c r="A75" s="2" t="s">
        <v>16</v>
      </c>
      <c r="B75" s="4">
        <v>45988</v>
      </c>
      <c r="C75" s="5">
        <v>0.50150462962962961</v>
      </c>
      <c r="D75" t="s">
        <v>4190</v>
      </c>
      <c r="E75" t="s">
        <v>4191</v>
      </c>
      <c r="I75" t="s">
        <v>3237</v>
      </c>
      <c r="J75" t="s">
        <v>2981</v>
      </c>
      <c r="K75" t="s">
        <v>3238</v>
      </c>
      <c r="L75" t="s">
        <v>3239</v>
      </c>
      <c r="M75" s="3" t="str">
        <f>HYPERLINK(склад2въезд[[#This Row],[RelativePath]])</f>
        <v>1 Ангар Склад 2 въезд\E33149364_6_20251127T120210Z.jpg</v>
      </c>
      <c r="N75" t="str">
        <f>VLOOKUP(склад2въезд[[#This Row],[Name]], СпрСобытий!$F:$G, 2, FALSE)</f>
        <v>Ангар Склад 2 въезд</v>
      </c>
    </row>
    <row r="76" spans="1:14" x14ac:dyDescent="0.25">
      <c r="A76" s="2" t="s">
        <v>16</v>
      </c>
      <c r="B76" s="4">
        <v>45988</v>
      </c>
      <c r="C76" s="5">
        <v>0.54246527777777775</v>
      </c>
      <c r="D76" t="s">
        <v>85</v>
      </c>
      <c r="E76" t="s">
        <v>4191</v>
      </c>
      <c r="I76" t="s">
        <v>3240</v>
      </c>
      <c r="J76" t="s">
        <v>2981</v>
      </c>
      <c r="K76" t="s">
        <v>3241</v>
      </c>
      <c r="L76" t="s">
        <v>3242</v>
      </c>
      <c r="M76" s="3" t="str">
        <f>HYPERLINK(склад2въезд[[#This Row],[RelativePath]])</f>
        <v>1 Ангар Склад 2 въезд\E33149364_6_20251127T130109Z.jpg</v>
      </c>
      <c r="N76" t="str">
        <f>VLOOKUP(склад2въезд[[#This Row],[Name]], СпрСобытий!$F:$G, 2, FALSE)</f>
        <v>Ангар Склад 2 въезд</v>
      </c>
    </row>
    <row r="77" spans="1:14" x14ac:dyDescent="0.25">
      <c r="A77" s="2" t="s">
        <v>17</v>
      </c>
      <c r="B77" s="4">
        <v>45989</v>
      </c>
      <c r="C77" s="5">
        <v>0.45510416666666664</v>
      </c>
      <c r="D77" t="s">
        <v>64</v>
      </c>
      <c r="E77" t="s">
        <v>4193</v>
      </c>
      <c r="I77" t="s">
        <v>3243</v>
      </c>
      <c r="J77" t="s">
        <v>2981</v>
      </c>
      <c r="K77" t="s">
        <v>3244</v>
      </c>
      <c r="L77" t="s">
        <v>3245</v>
      </c>
      <c r="M77" s="3" t="str">
        <f>HYPERLINK(склад2въезд[[#This Row],[RelativePath]])</f>
        <v>1 Ангар Склад 2 въезд\E33149364_6_20251128T105521Z.jpg</v>
      </c>
      <c r="N77" t="str">
        <f>VLOOKUP(склад2въезд[[#This Row],[Name]], СпрСобытий!$F:$G, 2, FALSE)</f>
        <v>Ангар Склад 2 въезд</v>
      </c>
    </row>
    <row r="78" spans="1:14" x14ac:dyDescent="0.25">
      <c r="A78" s="2" t="s">
        <v>17</v>
      </c>
      <c r="B78" s="4">
        <v>45989</v>
      </c>
      <c r="C78" s="5">
        <v>0.50700231481481484</v>
      </c>
      <c r="D78" t="s">
        <v>85</v>
      </c>
      <c r="E78" t="s">
        <v>4193</v>
      </c>
      <c r="I78" t="s">
        <v>3246</v>
      </c>
      <c r="J78" t="s">
        <v>2981</v>
      </c>
      <c r="K78" t="s">
        <v>3247</v>
      </c>
      <c r="L78" t="s">
        <v>3248</v>
      </c>
      <c r="M78" s="3" t="str">
        <f>HYPERLINK(склад2въезд[[#This Row],[RelativePath]])</f>
        <v>1 Ангар Склад 2 въезд\E33149364_6_20251128T121005Z.jpg</v>
      </c>
      <c r="N78" t="str">
        <f>VLOOKUP(склад2въезд[[#This Row],[Name]], СпрСобытий!$F:$G, 2, FALSE)</f>
        <v>Ангар Склад 2 въезд</v>
      </c>
    </row>
    <row r="79" spans="1:14" x14ac:dyDescent="0.25">
      <c r="A79" s="2" t="s">
        <v>18</v>
      </c>
      <c r="B79" s="4">
        <v>45990</v>
      </c>
      <c r="C79" s="5">
        <v>0.53762731481481485</v>
      </c>
      <c r="D79" t="s">
        <v>91</v>
      </c>
      <c r="E79" t="s">
        <v>4194</v>
      </c>
      <c r="F79" t="s">
        <v>51</v>
      </c>
      <c r="I79" t="s">
        <v>3249</v>
      </c>
      <c r="J79" t="s">
        <v>2981</v>
      </c>
      <c r="K79" t="s">
        <v>3250</v>
      </c>
      <c r="L79" t="s">
        <v>3251</v>
      </c>
      <c r="M79" s="3" t="str">
        <f>HYPERLINK(склад2въезд[[#This Row],[RelativePath]])</f>
        <v>1 Ангар Склад 2 въезд\E33149364_6_20251129T125411Z.jpg</v>
      </c>
      <c r="N79" t="str">
        <f>VLOOKUP(склад2въезд[[#This Row],[Name]], СпрСобытий!$F:$G, 2, FALSE)</f>
        <v>Ангар Склад 2 въезд</v>
      </c>
    </row>
    <row r="80" spans="1:14" x14ac:dyDescent="0.25">
      <c r="A80" s="2" t="s">
        <v>18</v>
      </c>
      <c r="B80" s="4">
        <v>45990</v>
      </c>
      <c r="C80" s="5">
        <v>0.64861111111111114</v>
      </c>
      <c r="D80" t="s">
        <v>91</v>
      </c>
      <c r="E80" t="s">
        <v>4195</v>
      </c>
      <c r="F80" t="s">
        <v>51</v>
      </c>
      <c r="I80" t="s">
        <v>3252</v>
      </c>
      <c r="J80" t="s">
        <v>2981</v>
      </c>
      <c r="K80" t="s">
        <v>3253</v>
      </c>
      <c r="L80" t="s">
        <v>3254</v>
      </c>
      <c r="M80" s="3" t="str">
        <f>HYPERLINK(склад2въезд[[#This Row],[RelativePath]])</f>
        <v>1 Ангар Склад 2 въезд\E33149364_6_20251129T153400Z.jpg</v>
      </c>
      <c r="N80" t="str">
        <f>VLOOKUP(склад2въезд[[#This Row],[Name]], СпрСобытий!$F:$G, 2, FALSE)</f>
        <v>Ангар Склад 2 въезд</v>
      </c>
    </row>
    <row r="81" spans="1:14" x14ac:dyDescent="0.25">
      <c r="A81" s="2" t="s">
        <v>18</v>
      </c>
      <c r="B81" s="4">
        <v>45990</v>
      </c>
      <c r="C81" s="5">
        <v>0.70343750000000005</v>
      </c>
      <c r="D81" t="s">
        <v>91</v>
      </c>
      <c r="E81" t="s">
        <v>4194</v>
      </c>
      <c r="F81" t="s">
        <v>4196</v>
      </c>
      <c r="H81" t="s">
        <v>4197</v>
      </c>
      <c r="I81" t="s">
        <v>3255</v>
      </c>
      <c r="J81" t="s">
        <v>2981</v>
      </c>
      <c r="K81" t="s">
        <v>3256</v>
      </c>
      <c r="L81" t="s">
        <v>3257</v>
      </c>
      <c r="M81" s="3" t="str">
        <f>HYPERLINK(склад2въезд[[#This Row],[RelativePath]])</f>
        <v>1 Ангар Склад 2 въезд\E33149364_6_20251129T165257Z.jpg</v>
      </c>
      <c r="N81" t="str">
        <f>VLOOKUP(склад2въезд[[#This Row],[Name]], СпрСобытий!$F:$G, 2, FALSE)</f>
        <v>Ангар Склад 2 въезд</v>
      </c>
    </row>
    <row r="82" spans="1:14" x14ac:dyDescent="0.25">
      <c r="A82" s="2" t="s">
        <v>18</v>
      </c>
      <c r="B82" s="4">
        <v>45990</v>
      </c>
      <c r="C82" s="5">
        <v>0.73475694444444439</v>
      </c>
      <c r="D82" t="s">
        <v>62</v>
      </c>
      <c r="E82" t="s">
        <v>4194</v>
      </c>
      <c r="F82" t="s">
        <v>4196</v>
      </c>
      <c r="I82" t="s">
        <v>3258</v>
      </c>
      <c r="J82" t="s">
        <v>2981</v>
      </c>
      <c r="K82" t="s">
        <v>3259</v>
      </c>
      <c r="L82" t="s">
        <v>3260</v>
      </c>
      <c r="M82" s="3" t="str">
        <f>HYPERLINK(склад2въезд[[#This Row],[RelativePath]])</f>
        <v>1 Ангар Склад 2 въезд\E33149364_6_20251129T173803Z.jpg</v>
      </c>
      <c r="N82" t="str">
        <f>VLOOKUP(склад2въезд[[#This Row],[Name]], СпрСобытий!$F:$G, 2, FALSE)</f>
        <v>Ангар Склад 2 въезд</v>
      </c>
    </row>
    <row r="83" spans="1:14" x14ac:dyDescent="0.25">
      <c r="A83" s="2" t="s">
        <v>22</v>
      </c>
      <c r="B83" s="4">
        <v>45991</v>
      </c>
      <c r="C83" s="5">
        <v>0.71077546296296301</v>
      </c>
      <c r="D83" t="s">
        <v>62</v>
      </c>
      <c r="E83" t="s">
        <v>55</v>
      </c>
      <c r="F83" t="s">
        <v>51</v>
      </c>
      <c r="I83" t="s">
        <v>4252</v>
      </c>
      <c r="J83" t="s">
        <v>2981</v>
      </c>
      <c r="K83" t="s">
        <v>4253</v>
      </c>
      <c r="L83" t="s">
        <v>4254</v>
      </c>
      <c r="M83" s="3" t="str">
        <f>HYPERLINK(склад2въезд[[#This Row],[RelativePath]])</f>
        <v>1 Ангар Склад 2 въезд\E33149364_6_20251130T170331Z.jpg</v>
      </c>
      <c r="N83" t="str">
        <f>VLOOKUP(склад2въезд[[#This Row],[Name]], СпрСобытий!$F:$G, 2, FALSE)</f>
        <v>Ангар Склад 2 въезд</v>
      </c>
    </row>
    <row r="84" spans="1:14" x14ac:dyDescent="0.25">
      <c r="A84" s="2" t="s">
        <v>22</v>
      </c>
      <c r="B84" s="4">
        <v>45991</v>
      </c>
      <c r="C84" s="5">
        <v>0.75631944444444443</v>
      </c>
      <c r="D84" t="s">
        <v>91</v>
      </c>
      <c r="E84" t="s">
        <v>55</v>
      </c>
      <c r="F84" t="s">
        <v>51</v>
      </c>
      <c r="I84" t="s">
        <v>4255</v>
      </c>
      <c r="J84" t="s">
        <v>2981</v>
      </c>
      <c r="K84" t="s">
        <v>4256</v>
      </c>
      <c r="L84" t="s">
        <v>4257</v>
      </c>
      <c r="M84" s="3" t="str">
        <f>HYPERLINK(склад2въезд[[#This Row],[RelativePath]])</f>
        <v>1 Ангар Склад 2 въезд\E33149364_6_20251130T180906Z.jpg</v>
      </c>
      <c r="N84" t="str">
        <f>VLOOKUP(склад2въезд[[#This Row],[Name]], СпрСобытий!$F:$G, 2, FALSE)</f>
        <v>Ангар Склад 2 въезд</v>
      </c>
    </row>
    <row r="85" spans="1:14" x14ac:dyDescent="0.25">
      <c r="A85" s="2" t="s">
        <v>13</v>
      </c>
      <c r="B85" s="4">
        <v>45992</v>
      </c>
      <c r="C85" s="5">
        <v>0.86784722222222221</v>
      </c>
      <c r="D85" t="s">
        <v>91</v>
      </c>
      <c r="E85" t="s">
        <v>4194</v>
      </c>
      <c r="F85" t="s">
        <v>1609</v>
      </c>
      <c r="H85" t="s">
        <v>5074</v>
      </c>
      <c r="I85" t="s">
        <v>4402</v>
      </c>
      <c r="J85" t="s">
        <v>2981</v>
      </c>
      <c r="K85" t="s">
        <v>4403</v>
      </c>
      <c r="L85" t="s">
        <v>4404</v>
      </c>
      <c r="M85" s="3" t="str">
        <f>HYPERLINK(склад2въезд[[#This Row],[RelativePath]])</f>
        <v>1 Ангар Склад 2 въезд\E33149364_6_20251201T204942Z.jpg</v>
      </c>
      <c r="N85" t="str">
        <f>VLOOKUP(склад2въезд[[#This Row],[Name]], СпрСобытий!$F:$G, 2, FALSE)</f>
        <v>Ангар Склад 2 въезд</v>
      </c>
    </row>
    <row r="86" spans="1:14" x14ac:dyDescent="0.25">
      <c r="A86" s="2" t="s">
        <v>13</v>
      </c>
      <c r="B86" s="4">
        <v>45992</v>
      </c>
      <c r="C86" s="5">
        <v>0.87302083333333336</v>
      </c>
      <c r="D86" t="s">
        <v>62</v>
      </c>
      <c r="E86" t="s">
        <v>4194</v>
      </c>
      <c r="F86" t="s">
        <v>51</v>
      </c>
      <c r="H86" t="s">
        <v>5075</v>
      </c>
      <c r="I86" t="s">
        <v>4405</v>
      </c>
      <c r="J86" t="s">
        <v>2981</v>
      </c>
      <c r="K86" t="s">
        <v>4406</v>
      </c>
      <c r="L86" t="s">
        <v>4407</v>
      </c>
      <c r="M86" s="3" t="str">
        <f>HYPERLINK(склад2въезд[[#This Row],[RelativePath]])</f>
        <v>1 Ангар Склад 2 въезд\E33149364_6_20251201T205709Z.jpg</v>
      </c>
      <c r="N86" t="str">
        <f>VLOOKUP(склад2въезд[[#This Row],[Name]], СпрСобытий!$F:$G, 2, FALSE)</f>
        <v>Ангар Склад 2 въезд</v>
      </c>
    </row>
    <row r="87" spans="1:14" x14ac:dyDescent="0.25">
      <c r="A87" s="2" t="s">
        <v>14</v>
      </c>
      <c r="B87" s="4">
        <v>45993</v>
      </c>
      <c r="C87" s="5">
        <v>0.35591435185185183</v>
      </c>
      <c r="D87" t="s">
        <v>91</v>
      </c>
      <c r="E87" t="s">
        <v>70</v>
      </c>
      <c r="F87" t="s">
        <v>5076</v>
      </c>
      <c r="I87" t="s">
        <v>4408</v>
      </c>
      <c r="J87" t="s">
        <v>2981</v>
      </c>
      <c r="K87" t="s">
        <v>4409</v>
      </c>
      <c r="L87" t="s">
        <v>4410</v>
      </c>
      <c r="M87" s="3" t="str">
        <f>HYPERLINK(склад2въезд[[#This Row],[RelativePath]])</f>
        <v>1 Ангар Склад 2 въезд\E33149364_6_20251202T083231Z.jpg</v>
      </c>
      <c r="N87" t="str">
        <f>VLOOKUP(склад2въезд[[#This Row],[Name]], СпрСобытий!$F:$G, 2, FALSE)</f>
        <v>Ангар Склад 2 въезд</v>
      </c>
    </row>
    <row r="88" spans="1:14" x14ac:dyDescent="0.25">
      <c r="A88" s="2" t="s">
        <v>14</v>
      </c>
      <c r="B88" s="4">
        <v>45993</v>
      </c>
      <c r="C88" s="5">
        <v>0.35994212962962963</v>
      </c>
      <c r="D88" t="s">
        <v>62</v>
      </c>
      <c r="E88" t="s">
        <v>70</v>
      </c>
      <c r="F88" t="s">
        <v>5076</v>
      </c>
      <c r="I88" t="s">
        <v>4411</v>
      </c>
      <c r="J88" t="s">
        <v>2981</v>
      </c>
      <c r="K88" t="s">
        <v>4412</v>
      </c>
      <c r="L88" t="s">
        <v>4413</v>
      </c>
      <c r="M88" s="3" t="str">
        <f>HYPERLINK(склад2въезд[[#This Row],[RelativePath]])</f>
        <v>1 Ангар Склад 2 въезд\E33149364_6_20251202T083819Z.jpg</v>
      </c>
      <c r="N88" t="str">
        <f>VLOOKUP(склад2въезд[[#This Row],[Name]], СпрСобытий!$F:$G, 2, FALSE)</f>
        <v>Ангар Склад 2 въезд</v>
      </c>
    </row>
    <row r="89" spans="1:14" x14ac:dyDescent="0.25">
      <c r="A89" s="2" t="s">
        <v>14</v>
      </c>
      <c r="B89" s="4">
        <v>45993</v>
      </c>
      <c r="C89" s="5">
        <v>0.38383101851851853</v>
      </c>
      <c r="D89" t="s">
        <v>91</v>
      </c>
      <c r="E89" t="s">
        <v>70</v>
      </c>
      <c r="F89" t="s">
        <v>5076</v>
      </c>
      <c r="I89" t="s">
        <v>4414</v>
      </c>
      <c r="J89" t="s">
        <v>2981</v>
      </c>
      <c r="K89" t="s">
        <v>4415</v>
      </c>
      <c r="L89" t="s">
        <v>4416</v>
      </c>
      <c r="M89" s="3" t="str">
        <f>HYPERLINK(склад2въезд[[#This Row],[RelativePath]])</f>
        <v>1 Ангар Склад 2 въезд\E33149364_6_20251202T091243Z.jpg</v>
      </c>
      <c r="N89" t="str">
        <f>VLOOKUP(склад2въезд[[#This Row],[Name]], СпрСобытий!$F:$G, 2, FALSE)</f>
        <v>Ангар Склад 2 въезд</v>
      </c>
    </row>
    <row r="90" spans="1:14" x14ac:dyDescent="0.25">
      <c r="A90" s="2" t="s">
        <v>14</v>
      </c>
      <c r="B90" s="4">
        <v>45993</v>
      </c>
      <c r="C90" s="5">
        <v>0.40912037037037036</v>
      </c>
      <c r="D90" t="s">
        <v>62</v>
      </c>
      <c r="E90" t="s">
        <v>70</v>
      </c>
      <c r="F90" t="s">
        <v>5076</v>
      </c>
      <c r="I90" t="s">
        <v>4417</v>
      </c>
      <c r="J90" t="s">
        <v>2981</v>
      </c>
      <c r="K90" t="s">
        <v>4418</v>
      </c>
      <c r="L90" t="s">
        <v>4419</v>
      </c>
      <c r="M90" s="3" t="str">
        <f>HYPERLINK(склад2въезд[[#This Row],[RelativePath]])</f>
        <v>1 Ангар Склад 2 въезд\E33149364_6_20251202T094908Z.jpg</v>
      </c>
      <c r="N90" t="str">
        <f>VLOOKUP(склад2въезд[[#This Row],[Name]], СпрСобытий!$F:$G, 2, FALSE)</f>
        <v>Ангар Склад 2 въезд</v>
      </c>
    </row>
    <row r="91" spans="1:14" x14ac:dyDescent="0.25">
      <c r="A91" s="2" t="s">
        <v>15</v>
      </c>
      <c r="B91" s="4">
        <v>45994</v>
      </c>
      <c r="C91" s="5">
        <v>0.68359953703703702</v>
      </c>
      <c r="D91" t="s">
        <v>2004</v>
      </c>
      <c r="I91" t="s">
        <v>4420</v>
      </c>
      <c r="J91" t="s">
        <v>2981</v>
      </c>
      <c r="K91" t="s">
        <v>4421</v>
      </c>
      <c r="L91" t="s">
        <v>4422</v>
      </c>
      <c r="M91" s="3" t="str">
        <f>HYPERLINK(склад2въезд[[#This Row],[RelativePath]])</f>
        <v>1 Ангар Склад 2 въезд\E33149364_6_20251203T162423Z.jpg</v>
      </c>
      <c r="N91" t="str">
        <f>VLOOKUP(склад2въезд[[#This Row],[Name]], СпрСобытий!$F:$G, 2, FALSE)</f>
        <v>Ангар Склад 2 въезд</v>
      </c>
    </row>
    <row r="92" spans="1:14" x14ac:dyDescent="0.25">
      <c r="A92" s="2" t="s">
        <v>16</v>
      </c>
      <c r="B92" s="4">
        <v>45995</v>
      </c>
      <c r="C92" s="5">
        <v>0.36359953703703701</v>
      </c>
      <c r="D92" t="s">
        <v>91</v>
      </c>
      <c r="E92" t="s">
        <v>70</v>
      </c>
      <c r="F92" t="s">
        <v>5076</v>
      </c>
      <c r="I92" t="s">
        <v>4423</v>
      </c>
      <c r="J92" t="s">
        <v>2981</v>
      </c>
      <c r="K92" t="s">
        <v>4424</v>
      </c>
      <c r="L92" t="s">
        <v>4425</v>
      </c>
      <c r="M92" s="3" t="str">
        <f>HYPERLINK(склад2въезд[[#This Row],[RelativePath]])</f>
        <v>1 Ангар Склад 2 въезд\E33149364_6_20251204T084335Z.jpg</v>
      </c>
      <c r="N92" t="str">
        <f>VLOOKUP(склад2въезд[[#This Row],[Name]], СпрСобытий!$F:$G, 2, FALSE)</f>
        <v>Ангар Склад 2 въезд</v>
      </c>
    </row>
    <row r="93" spans="1:14" x14ac:dyDescent="0.25">
      <c r="A93" s="2" t="s">
        <v>16</v>
      </c>
      <c r="B93" s="4">
        <v>45995</v>
      </c>
      <c r="C93" s="5">
        <v>0.38407407407407407</v>
      </c>
      <c r="D93" t="s">
        <v>62</v>
      </c>
      <c r="E93" t="s">
        <v>70</v>
      </c>
      <c r="F93" t="s">
        <v>5076</v>
      </c>
      <c r="I93" t="s">
        <v>4426</v>
      </c>
      <c r="J93" t="s">
        <v>2981</v>
      </c>
      <c r="K93" t="s">
        <v>4427</v>
      </c>
      <c r="L93" t="s">
        <v>4428</v>
      </c>
      <c r="M93" s="3" t="str">
        <f>HYPERLINK(склад2въезд[[#This Row],[RelativePath]])</f>
        <v>1 Ангар Склад 2 въезд\E33149364_6_20251204T091304Z.jpg</v>
      </c>
      <c r="N93" t="str">
        <f>VLOOKUP(склад2въезд[[#This Row],[Name]], СпрСобытий!$F:$G, 2, FALSE)</f>
        <v>Ангар Склад 2 въезд</v>
      </c>
    </row>
    <row r="94" spans="1:14" x14ac:dyDescent="0.25">
      <c r="A94" s="2" t="s">
        <v>16</v>
      </c>
      <c r="B94" s="4">
        <v>45995</v>
      </c>
      <c r="C94" s="5">
        <v>0.53180555555555553</v>
      </c>
      <c r="D94" t="s">
        <v>91</v>
      </c>
      <c r="E94" t="s">
        <v>70</v>
      </c>
      <c r="F94" t="s">
        <v>5076</v>
      </c>
      <c r="I94" t="s">
        <v>4429</v>
      </c>
      <c r="J94" t="s">
        <v>2981</v>
      </c>
      <c r="K94" t="s">
        <v>4430</v>
      </c>
      <c r="L94" t="s">
        <v>4431</v>
      </c>
      <c r="M94" s="3" t="str">
        <f>HYPERLINK(склад2въезд[[#This Row],[RelativePath]])</f>
        <v>1 Ангар Склад 2 въезд\E33149364_6_20251204T124548Z.jpg</v>
      </c>
      <c r="N94" t="str">
        <f>VLOOKUP(склад2въезд[[#This Row],[Name]], СпрСобытий!$F:$G, 2, FALSE)</f>
        <v>Ангар Склад 2 въезд</v>
      </c>
    </row>
    <row r="95" spans="1:14" x14ac:dyDescent="0.25">
      <c r="A95" s="2" t="s">
        <v>16</v>
      </c>
      <c r="B95" s="4">
        <v>45995</v>
      </c>
      <c r="C95" s="5">
        <v>0.55406250000000001</v>
      </c>
      <c r="D95" t="s">
        <v>62</v>
      </c>
      <c r="E95" t="s">
        <v>70</v>
      </c>
      <c r="F95" t="s">
        <v>5076</v>
      </c>
      <c r="I95" t="s">
        <v>4432</v>
      </c>
      <c r="J95" t="s">
        <v>2981</v>
      </c>
      <c r="K95" t="s">
        <v>4433</v>
      </c>
      <c r="L95" t="s">
        <v>4434</v>
      </c>
      <c r="M95" s="3" t="str">
        <f>HYPERLINK(склад2въезд[[#This Row],[RelativePath]])</f>
        <v>1 Ангар Склад 2 въезд\E33149364_6_20251204T131751Z.jpg</v>
      </c>
      <c r="N95" t="str">
        <f>VLOOKUP(склад2въезд[[#This Row],[Name]], СпрСобытий!$F:$G, 2, FALSE)</f>
        <v>Ангар Склад 2 въезд</v>
      </c>
    </row>
    <row r="96" spans="1:14" x14ac:dyDescent="0.25">
      <c r="A96" s="2" t="s">
        <v>17</v>
      </c>
      <c r="B96" s="4">
        <v>45996</v>
      </c>
      <c r="C96" s="5">
        <v>0.45297453703703705</v>
      </c>
      <c r="D96" t="s">
        <v>62</v>
      </c>
      <c r="E96" t="s">
        <v>55</v>
      </c>
      <c r="F96" t="s">
        <v>51</v>
      </c>
      <c r="I96" t="s">
        <v>4435</v>
      </c>
      <c r="J96" t="s">
        <v>2981</v>
      </c>
      <c r="K96" t="s">
        <v>4436</v>
      </c>
      <c r="L96" t="s">
        <v>4437</v>
      </c>
      <c r="M96" s="3" t="str">
        <f>HYPERLINK(склад2въезд[[#This Row],[RelativePath]])</f>
        <v>1 Ангар Склад 2 въезд\E33149364_6_20251205T105217Z.jpg</v>
      </c>
      <c r="N96" t="str">
        <f>VLOOKUP(склад2въезд[[#This Row],[Name]], СпрСобытий!$F:$G, 2, FALSE)</f>
        <v>Ангар Склад 2 въезд</v>
      </c>
    </row>
    <row r="97" spans="1:14" x14ac:dyDescent="0.25">
      <c r="A97" s="2" t="s">
        <v>17</v>
      </c>
      <c r="B97" s="4">
        <v>45996</v>
      </c>
      <c r="C97" s="5">
        <v>0.57824074074074072</v>
      </c>
      <c r="D97" t="s">
        <v>91</v>
      </c>
      <c r="E97" t="s">
        <v>55</v>
      </c>
      <c r="F97" t="s">
        <v>5077</v>
      </c>
      <c r="I97" t="s">
        <v>4438</v>
      </c>
      <c r="J97" t="s">
        <v>2981</v>
      </c>
      <c r="K97" t="s">
        <v>4439</v>
      </c>
      <c r="L97" t="s">
        <v>4440</v>
      </c>
      <c r="M97" s="3" t="str">
        <f>HYPERLINK(склад2въезд[[#This Row],[RelativePath]])</f>
        <v>1 Ангар Склад 2 въезд\E33149364_6_20251205T135240Z.jpg</v>
      </c>
      <c r="N97" t="str">
        <f>VLOOKUP(склад2въезд[[#This Row],[Name]], СпрСобытий!$F:$G, 2, FALSE)</f>
        <v>Ангар Склад 2 въезд</v>
      </c>
    </row>
    <row r="98" spans="1:14" x14ac:dyDescent="0.25">
      <c r="A98" s="2" t="s">
        <v>17</v>
      </c>
      <c r="B98" s="4">
        <v>45996</v>
      </c>
      <c r="C98" s="5">
        <v>0.57961805555555557</v>
      </c>
      <c r="D98" t="s">
        <v>91</v>
      </c>
      <c r="E98" t="s">
        <v>70</v>
      </c>
      <c r="F98" t="s">
        <v>5076</v>
      </c>
      <c r="I98" t="s">
        <v>4441</v>
      </c>
      <c r="J98" t="s">
        <v>2981</v>
      </c>
      <c r="K98" t="s">
        <v>4442</v>
      </c>
      <c r="L98" t="s">
        <v>4443</v>
      </c>
      <c r="M98" s="3" t="str">
        <f>HYPERLINK(склад2въезд[[#This Row],[RelativePath]])</f>
        <v>1 Ангар Склад 2 въезд\E33149364_6_20251205T135439Z.jpg</v>
      </c>
      <c r="N98" t="str">
        <f>VLOOKUP(склад2въезд[[#This Row],[Name]], СпрСобытий!$F:$G, 2, FALSE)</f>
        <v>Ангар Склад 2 въезд</v>
      </c>
    </row>
    <row r="99" spans="1:14" x14ac:dyDescent="0.25">
      <c r="A99" s="2" t="s">
        <v>17</v>
      </c>
      <c r="B99" s="4">
        <v>45996</v>
      </c>
      <c r="C99" s="5">
        <v>0.60671296296296295</v>
      </c>
      <c r="D99" t="s">
        <v>62</v>
      </c>
      <c r="E99" t="s">
        <v>70</v>
      </c>
      <c r="F99" t="s">
        <v>5076</v>
      </c>
      <c r="I99" t="s">
        <v>4444</v>
      </c>
      <c r="J99" t="s">
        <v>2981</v>
      </c>
      <c r="K99" t="s">
        <v>4445</v>
      </c>
      <c r="L99" t="s">
        <v>4446</v>
      </c>
      <c r="M99" s="3" t="str">
        <f>HYPERLINK(склад2въезд[[#This Row],[RelativePath]])</f>
        <v>1 Ангар Склад 2 въезд\E33149364_6_20251205T143340Z.jpg</v>
      </c>
      <c r="N99" t="str">
        <f>VLOOKUP(склад2въезд[[#This Row],[Name]], СпрСобытий!$F:$G, 2, FALSE)</f>
        <v>Ангар Склад 2 въезд</v>
      </c>
    </row>
    <row r="100" spans="1:14" x14ac:dyDescent="0.25">
      <c r="A100" s="2" t="s">
        <v>18</v>
      </c>
      <c r="B100" s="4">
        <v>45997</v>
      </c>
      <c r="C100" s="5">
        <v>0.66677083333333331</v>
      </c>
      <c r="D100" t="s">
        <v>2004</v>
      </c>
      <c r="I100" t="s">
        <v>4447</v>
      </c>
      <c r="J100" t="s">
        <v>2981</v>
      </c>
      <c r="K100" t="s">
        <v>4448</v>
      </c>
      <c r="L100" t="s">
        <v>4449</v>
      </c>
      <c r="M100" s="3" t="str">
        <f>HYPERLINK(склад2въезд[[#This Row],[RelativePath]])</f>
        <v>1 Ангар Склад 2 въезд\E33149364_6_20251206T160009Z.jpg</v>
      </c>
      <c r="N100" t="str">
        <f>VLOOKUP(склад2въезд[[#This Row],[Name]], СпрСобытий!$F:$G, 2, FALSE)</f>
        <v>Ангар Склад 2 въезд</v>
      </c>
    </row>
    <row r="101" spans="1:14" x14ac:dyDescent="0.25">
      <c r="A101" s="2" t="s">
        <v>22</v>
      </c>
      <c r="B101" s="4">
        <v>45998</v>
      </c>
      <c r="C101" s="5">
        <v>0.57973379629629629</v>
      </c>
      <c r="D101" t="s">
        <v>91</v>
      </c>
      <c r="E101" t="s">
        <v>5259</v>
      </c>
      <c r="F101" t="s">
        <v>51</v>
      </c>
      <c r="I101" t="s">
        <v>5144</v>
      </c>
      <c r="J101" t="s">
        <v>2981</v>
      </c>
      <c r="K101" t="s">
        <v>5300</v>
      </c>
      <c r="L101" t="s">
        <v>5145</v>
      </c>
      <c r="M101" s="3" t="str">
        <f>HYPERLINK(склад2въезд[[#This Row],[RelativePath]])</f>
        <v>1 Ангар Склад 2 въезд\E33149364_6_20251207T135449Z.jpg</v>
      </c>
      <c r="N101" t="str">
        <f>VLOOKUP(склад2въезд[[#This Row],[Name]], СпрСобытий!$F:$G, 2, FALSE)</f>
        <v>Ангар Склад 2 въезд</v>
      </c>
    </row>
    <row r="102" spans="1:14" x14ac:dyDescent="0.25">
      <c r="A102" s="2" t="s">
        <v>22</v>
      </c>
      <c r="B102" s="4">
        <v>45998</v>
      </c>
      <c r="C102" s="5">
        <v>0.67327546296296292</v>
      </c>
      <c r="D102" t="s">
        <v>62</v>
      </c>
      <c r="E102" t="s">
        <v>5259</v>
      </c>
      <c r="F102" t="s">
        <v>5260</v>
      </c>
      <c r="H102" t="s">
        <v>5261</v>
      </c>
      <c r="I102" t="s">
        <v>5146</v>
      </c>
      <c r="J102" t="s">
        <v>2981</v>
      </c>
      <c r="K102" t="s">
        <v>5301</v>
      </c>
      <c r="L102" t="s">
        <v>5147</v>
      </c>
      <c r="M102" s="3" t="str">
        <f>HYPERLINK(склад2въезд[[#This Row],[RelativePath]])</f>
        <v>1 Ангар Склад 2 въезд\E33149364_6_20251207T160931Z.jpg</v>
      </c>
      <c r="N102" t="str">
        <f>VLOOKUP(склад2въезд[[#This Row],[Name]], СпрСобытий!$F:$G, 2, FALSE)</f>
        <v>Ангар Склад 2 въезд</v>
      </c>
    </row>
    <row r="103" spans="1:14" x14ac:dyDescent="0.25">
      <c r="A103" s="2" t="s">
        <v>13</v>
      </c>
      <c r="B103" s="4">
        <v>45999</v>
      </c>
      <c r="C103" s="5">
        <v>0.59879629629629627</v>
      </c>
      <c r="D103" t="s">
        <v>64</v>
      </c>
      <c r="E103" t="s">
        <v>4193</v>
      </c>
      <c r="F103" t="s">
        <v>5076</v>
      </c>
      <c r="I103" t="s">
        <v>5272</v>
      </c>
      <c r="J103" t="s">
        <v>2981</v>
      </c>
      <c r="K103" t="s">
        <v>5302</v>
      </c>
      <c r="L103" t="s">
        <v>5273</v>
      </c>
      <c r="M103" s="3" t="str">
        <f>HYPERLINK(склад2въезд[[#This Row],[RelativePath]])</f>
        <v>1 Ангар Склад 2 въезд\E33149364_6_20251208T142216Z.jpg</v>
      </c>
      <c r="N103" t="str">
        <f>VLOOKUP(склад2въезд[[#This Row],[Name]], СпрСобытий!$F:$G, 2, FALSE)</f>
        <v>Ангар Склад 2 въезд</v>
      </c>
    </row>
    <row r="104" spans="1:14" x14ac:dyDescent="0.25">
      <c r="A104" s="2" t="s">
        <v>13</v>
      </c>
      <c r="B104" s="4">
        <v>45999</v>
      </c>
      <c r="C104" s="5">
        <v>0.66584490740740743</v>
      </c>
      <c r="D104" t="s">
        <v>85</v>
      </c>
      <c r="E104" t="s">
        <v>4193</v>
      </c>
      <c r="F104" t="s">
        <v>5076</v>
      </c>
      <c r="I104" t="s">
        <v>5274</v>
      </c>
      <c r="J104" t="s">
        <v>2981</v>
      </c>
      <c r="K104" t="s">
        <v>5303</v>
      </c>
      <c r="L104" t="s">
        <v>5275</v>
      </c>
      <c r="M104" s="3" t="str">
        <f>HYPERLINK(склад2въезд[[#This Row],[RelativePath]])</f>
        <v>1 Ангар Склад 2 въезд\E33149364_6_20251208T155849Z.jpg</v>
      </c>
      <c r="N104" t="str">
        <f>VLOOKUP(склад2въезд[[#This Row],[Name]], СпрСобытий!$F:$G, 2, FALSE)</f>
        <v>Ангар Склад 2 въезд</v>
      </c>
    </row>
    <row r="105" spans="1:14" x14ac:dyDescent="0.25">
      <c r="A105" s="2" t="s">
        <v>14</v>
      </c>
      <c r="B105" s="4">
        <v>46000</v>
      </c>
      <c r="C105" s="5">
        <v>0.42645833333333333</v>
      </c>
      <c r="D105" t="s">
        <v>64</v>
      </c>
      <c r="E105" t="s">
        <v>4193</v>
      </c>
      <c r="F105" t="s">
        <v>5076</v>
      </c>
      <c r="I105" t="s">
        <v>5481</v>
      </c>
      <c r="J105" t="s">
        <v>2981</v>
      </c>
      <c r="K105" t="s">
        <v>5482</v>
      </c>
      <c r="L105" t="s">
        <v>5483</v>
      </c>
      <c r="M105" s="3" t="str">
        <f>HYPERLINK(склад2въезд[[#This Row],[RelativePath]])</f>
        <v>1 Ангар Склад 2 въезд\E33149364_6_20251209T101406Z.jpg</v>
      </c>
      <c r="N105" t="str">
        <f>VLOOKUP(склад2въезд[[#This Row],[Name]], СпрСобытий!$F:$G, 2, FALSE)</f>
        <v>Ангар Склад 2 въезд</v>
      </c>
    </row>
    <row r="106" spans="1:14" x14ac:dyDescent="0.25">
      <c r="A106" s="2" t="s">
        <v>14</v>
      </c>
      <c r="B106" s="4">
        <v>46000</v>
      </c>
      <c r="C106" s="5">
        <v>0.47930555555555554</v>
      </c>
      <c r="D106" t="s">
        <v>85</v>
      </c>
      <c r="E106" t="s">
        <v>4193</v>
      </c>
      <c r="F106" t="s">
        <v>5076</v>
      </c>
      <c r="I106" t="s">
        <v>5484</v>
      </c>
      <c r="J106" t="s">
        <v>2981</v>
      </c>
      <c r="K106" t="s">
        <v>5485</v>
      </c>
      <c r="L106" t="s">
        <v>5486</v>
      </c>
      <c r="M106" s="3" t="str">
        <f>HYPERLINK(склад2въезд[[#This Row],[RelativePath]])</f>
        <v>1 Ангар Склад 2 въезд\E33149364_6_20251209T113012Z.jpg</v>
      </c>
      <c r="N106" t="str">
        <f>VLOOKUP(склад2въезд[[#This Row],[Name]], СпрСобытий!$F:$G, 2, FALSE)</f>
        <v>Ангар Склад 2 въезд</v>
      </c>
    </row>
    <row r="107" spans="1:14" x14ac:dyDescent="0.25">
      <c r="A107" s="2" t="s">
        <v>14</v>
      </c>
      <c r="B107" s="4">
        <v>46000</v>
      </c>
      <c r="C107" s="5">
        <v>0.510625</v>
      </c>
      <c r="D107" t="s">
        <v>91</v>
      </c>
      <c r="E107" t="s">
        <v>5505</v>
      </c>
      <c r="F107" t="s">
        <v>51</v>
      </c>
      <c r="I107" t="s">
        <v>5487</v>
      </c>
      <c r="J107" t="s">
        <v>2981</v>
      </c>
      <c r="K107" t="s">
        <v>5488</v>
      </c>
      <c r="L107" t="s">
        <v>5489</v>
      </c>
      <c r="M107" s="3" t="str">
        <f>HYPERLINK(склад2въезд[[#This Row],[RelativePath]])</f>
        <v>1 Ангар Склад 2 въезд\E33149364_6_20251209T121518Z.jpg</v>
      </c>
      <c r="N107" t="str">
        <f>VLOOKUP(склад2въезд[[#This Row],[Name]], СпрСобытий!$F:$G, 2, FALSE)</f>
        <v>Ангар Склад 2 въезд</v>
      </c>
    </row>
    <row r="108" spans="1:14" x14ac:dyDescent="0.25">
      <c r="A108" s="2" t="s">
        <v>14</v>
      </c>
      <c r="B108" s="4">
        <v>46000</v>
      </c>
      <c r="C108" s="5">
        <v>0.51658564814814811</v>
      </c>
      <c r="D108" t="s">
        <v>3019</v>
      </c>
      <c r="E108" t="s">
        <v>5505</v>
      </c>
      <c r="F108" t="s">
        <v>51</v>
      </c>
      <c r="I108" t="s">
        <v>5490</v>
      </c>
      <c r="J108" t="s">
        <v>2981</v>
      </c>
      <c r="K108" t="s">
        <v>5491</v>
      </c>
      <c r="L108" t="s">
        <v>5492</v>
      </c>
      <c r="M108" s="3" t="str">
        <f>HYPERLINK(склад2въезд[[#This Row],[RelativePath]])</f>
        <v>1 Ангар Склад 2 въезд\E33149364_6_20251209T122353Z.jpg</v>
      </c>
      <c r="N108" t="str">
        <f>VLOOKUP(склад2въезд[[#This Row],[Name]], СпрСобытий!$F:$G, 2, FALSE)</f>
        <v>Ангар Склад 2 въезд</v>
      </c>
    </row>
    <row r="109" spans="1:14" x14ac:dyDescent="0.25">
      <c r="A109" s="2" t="s">
        <v>14</v>
      </c>
      <c r="B109" s="4">
        <v>46000</v>
      </c>
      <c r="C109" s="5">
        <v>0.6348611111111111</v>
      </c>
      <c r="D109" t="s">
        <v>64</v>
      </c>
      <c r="E109" t="s">
        <v>4193</v>
      </c>
      <c r="F109" t="s">
        <v>5076</v>
      </c>
      <c r="I109" t="s">
        <v>5493</v>
      </c>
      <c r="J109" t="s">
        <v>2981</v>
      </c>
      <c r="K109" t="s">
        <v>5494</v>
      </c>
      <c r="L109" t="s">
        <v>5495</v>
      </c>
      <c r="M109" s="3" t="str">
        <f>HYPERLINK(склад2въезд[[#This Row],[RelativePath]])</f>
        <v>1 Ангар Склад 2 въезд\E33149364_6_20251209T151412Z.jpg</v>
      </c>
      <c r="N109" t="str">
        <f>VLOOKUP(склад2въезд[[#This Row],[Name]], СпрСобытий!$F:$G, 2, FALSE)</f>
        <v>Ангар Склад 2 въезд</v>
      </c>
    </row>
    <row r="110" spans="1:14" x14ac:dyDescent="0.25">
      <c r="A110" s="2" t="s">
        <v>14</v>
      </c>
      <c r="B110" s="4">
        <v>46000</v>
      </c>
      <c r="C110" s="5">
        <v>0.69473379629629628</v>
      </c>
      <c r="D110" t="s">
        <v>85</v>
      </c>
      <c r="E110" t="s">
        <v>4193</v>
      </c>
      <c r="F110" t="s">
        <v>5076</v>
      </c>
      <c r="I110" t="s">
        <v>5496</v>
      </c>
      <c r="J110" t="s">
        <v>2981</v>
      </c>
      <c r="K110" t="s">
        <v>5497</v>
      </c>
      <c r="L110" t="s">
        <v>5498</v>
      </c>
      <c r="M110" s="3" t="str">
        <f>HYPERLINK(склад2въезд[[#This Row],[RelativePath]])</f>
        <v>1 Ангар Склад 2 въезд\E33149364_6_20251209T164025Z.jpg</v>
      </c>
      <c r="N110" t="str">
        <f>VLOOKUP(склад2въезд[[#This Row],[Name]], СпрСобытий!$F:$G, 2, FALSE)</f>
        <v>Ангар Склад 2 въезд</v>
      </c>
    </row>
    <row r="111" spans="1:14" x14ac:dyDescent="0.25">
      <c r="A111" s="2" t="s">
        <v>15</v>
      </c>
      <c r="B111" s="4">
        <v>46001</v>
      </c>
      <c r="C111" s="5">
        <v>0.53234953703703702</v>
      </c>
      <c r="D111" t="s">
        <v>64</v>
      </c>
      <c r="E111" t="s">
        <v>4193</v>
      </c>
      <c r="F111" t="s">
        <v>5076</v>
      </c>
      <c r="I111" t="s">
        <v>5499</v>
      </c>
      <c r="J111" t="s">
        <v>2981</v>
      </c>
      <c r="K111" t="s">
        <v>5500</v>
      </c>
      <c r="L111" t="s">
        <v>5501</v>
      </c>
      <c r="M111" s="3" t="str">
        <f>HYPERLINK(склад2въезд[[#This Row],[RelativePath]])</f>
        <v>1 Ангар Склад 2 въезд\E33149364_6_20251210T124635Z.jpg</v>
      </c>
      <c r="N111" t="str">
        <f>VLOOKUP(склад2въезд[[#This Row],[Name]], СпрСобытий!$F:$G, 2, FALSE)</f>
        <v>Ангар Склад 2 въезд</v>
      </c>
    </row>
    <row r="112" spans="1:14" x14ac:dyDescent="0.25">
      <c r="A112" s="2" t="s">
        <v>15</v>
      </c>
      <c r="B112" s="4">
        <v>46001</v>
      </c>
      <c r="C112" s="5">
        <v>0.63895833333333329</v>
      </c>
      <c r="D112" t="s">
        <v>85</v>
      </c>
      <c r="E112" t="s">
        <v>4193</v>
      </c>
      <c r="F112" t="s">
        <v>5076</v>
      </c>
      <c r="I112" t="s">
        <v>5502</v>
      </c>
      <c r="J112" t="s">
        <v>2981</v>
      </c>
      <c r="K112" t="s">
        <v>5503</v>
      </c>
      <c r="L112" t="s">
        <v>5504</v>
      </c>
      <c r="M112" s="3" t="str">
        <f>HYPERLINK(склад2въезд[[#This Row],[RelativePath]])</f>
        <v>1 Ангар Склад 2 въезд\E33149364_6_20251210T152006Z.jpg</v>
      </c>
      <c r="N112" t="str">
        <f>VLOOKUP(склад2въезд[[#This Row],[Name]], СпрСобытий!$F:$G, 2, FALSE)</f>
        <v>Ангар Склад 2 въезд</v>
      </c>
    </row>
    <row r="113" spans="1:14" x14ac:dyDescent="0.25">
      <c r="A113" s="2" t="s">
        <v>16</v>
      </c>
      <c r="B113" s="4">
        <v>46002</v>
      </c>
      <c r="C113" s="5">
        <v>0.71260416666666671</v>
      </c>
      <c r="D113" t="s">
        <v>2004</v>
      </c>
      <c r="E113" t="s">
        <v>8</v>
      </c>
      <c r="I113" t="s">
        <v>5842</v>
      </c>
      <c r="J113" t="s">
        <v>2981</v>
      </c>
      <c r="K113" t="s">
        <v>5843</v>
      </c>
      <c r="L113" t="s">
        <v>5844</v>
      </c>
      <c r="M113" s="3" t="str">
        <f>HYPERLINK(склад2въезд[[#This Row],[RelativePath]])</f>
        <v>1 Ангар Склад 2 въезд\E33149364_6_20251211T170609Z.jpg</v>
      </c>
      <c r="N113" t="str">
        <f>VLOOKUP(склад2въезд[[#This Row],[Name]], СпрСобытий!$F:$G, 2, FALSE)</f>
        <v>Ангар Склад 2 въезд</v>
      </c>
    </row>
    <row r="114" spans="1:14" x14ac:dyDescent="0.25">
      <c r="A114" s="2" t="s">
        <v>17</v>
      </c>
      <c r="B114" s="4">
        <v>46003</v>
      </c>
      <c r="C114" s="5">
        <v>0.73738425925925921</v>
      </c>
      <c r="D114" t="s">
        <v>91</v>
      </c>
      <c r="E114" t="s">
        <v>55</v>
      </c>
      <c r="F114" t="s">
        <v>51</v>
      </c>
      <c r="I114" t="s">
        <v>5845</v>
      </c>
      <c r="J114" t="s">
        <v>2981</v>
      </c>
      <c r="K114" t="s">
        <v>5846</v>
      </c>
      <c r="L114" t="s">
        <v>5847</v>
      </c>
      <c r="M114" s="3" t="str">
        <f>HYPERLINK(склад2въезд[[#This Row],[RelativePath]])</f>
        <v>1 Ангар Склад 2 въезд\E33149364_6_20251212T174150Z.jpg</v>
      </c>
      <c r="N114" t="str">
        <f>VLOOKUP(склад2въезд[[#This Row],[Name]], СпрСобытий!$F:$G, 2, FALSE)</f>
        <v>Ангар Склад 2 въезд</v>
      </c>
    </row>
    <row r="115" spans="1:14" x14ac:dyDescent="0.25">
      <c r="A115" s="2" t="s">
        <v>18</v>
      </c>
      <c r="B115" s="4">
        <v>46004</v>
      </c>
      <c r="C115" s="5">
        <v>0.41039351851851852</v>
      </c>
      <c r="D115" t="s">
        <v>62</v>
      </c>
      <c r="E115" t="s">
        <v>6169</v>
      </c>
      <c r="F115" t="s">
        <v>58</v>
      </c>
      <c r="H115" t="s">
        <v>6166</v>
      </c>
      <c r="I115" t="s">
        <v>6025</v>
      </c>
      <c r="J115" t="s">
        <v>2981</v>
      </c>
      <c r="K115" t="s">
        <v>6026</v>
      </c>
      <c r="L115" t="s">
        <v>6027</v>
      </c>
      <c r="M115" s="3" t="str">
        <f>HYPERLINK(склад2въезд[[#This Row],[RelativePath]])</f>
        <v>1 Ангар Склад 2 въезд\E33149364_6_20251213T095058Z.jpg</v>
      </c>
      <c r="N115" t="str">
        <f>VLOOKUP(склад2въезд[[#This Row],[Name]], СпрСобытий!$F:$G, 2, FALSE)</f>
        <v>Ангар Склад 2 въезд</v>
      </c>
    </row>
    <row r="116" spans="1:14" x14ac:dyDescent="0.25">
      <c r="A116" s="2" t="s">
        <v>18</v>
      </c>
      <c r="B116" s="4">
        <v>46004</v>
      </c>
      <c r="C116" s="5">
        <v>0.52951388888888884</v>
      </c>
      <c r="D116" t="s">
        <v>91</v>
      </c>
      <c r="E116" t="s">
        <v>6168</v>
      </c>
      <c r="F116" t="s">
        <v>51</v>
      </c>
      <c r="I116" t="s">
        <v>6028</v>
      </c>
      <c r="J116" t="s">
        <v>2981</v>
      </c>
      <c r="K116" t="s">
        <v>6029</v>
      </c>
      <c r="L116" t="s">
        <v>6030</v>
      </c>
      <c r="M116" s="3" t="str">
        <f>HYPERLINK(склад2въезд[[#This Row],[RelativePath]])</f>
        <v>1 Ангар Склад 2 въезд\E33149364_6_20251213T124230Z.jpg</v>
      </c>
      <c r="N116" t="str">
        <f>VLOOKUP(склад2въезд[[#This Row],[Name]], СпрСобытий!$F:$G, 2, FALSE)</f>
        <v>Ангар Склад 2 въезд</v>
      </c>
    </row>
    <row r="117" spans="1:14" x14ac:dyDescent="0.25">
      <c r="A117" s="2" t="s">
        <v>18</v>
      </c>
      <c r="B117" s="4">
        <v>46004</v>
      </c>
      <c r="C117" s="5">
        <v>0.52979166666666666</v>
      </c>
      <c r="D117" t="s">
        <v>91</v>
      </c>
      <c r="E117" t="s">
        <v>6167</v>
      </c>
      <c r="F117" t="s">
        <v>51</v>
      </c>
      <c r="I117" t="s">
        <v>6031</v>
      </c>
      <c r="J117" t="s">
        <v>2981</v>
      </c>
      <c r="K117" t="s">
        <v>6032</v>
      </c>
      <c r="L117" t="s">
        <v>6033</v>
      </c>
      <c r="M117" s="3" t="str">
        <f>HYPERLINK(склад2въезд[[#This Row],[RelativePath]])</f>
        <v>1 Ангар Склад 2 въезд\E33149364_6_20251213T124254Z.jpg</v>
      </c>
      <c r="N117" t="str">
        <f>VLOOKUP(склад2въезд[[#This Row],[Name]], СпрСобытий!$F:$G, 2, FALSE)</f>
        <v>Ангар Склад 2 въезд</v>
      </c>
    </row>
    <row r="118" spans="1:14" x14ac:dyDescent="0.25">
      <c r="A118" s="2" t="s">
        <v>18</v>
      </c>
      <c r="B118" s="4">
        <v>46004</v>
      </c>
      <c r="C118" s="5">
        <v>0.53692129629629626</v>
      </c>
      <c r="D118" t="s">
        <v>62</v>
      </c>
      <c r="E118" t="s">
        <v>6168</v>
      </c>
      <c r="F118" t="s">
        <v>51</v>
      </c>
      <c r="I118" t="s">
        <v>6034</v>
      </c>
      <c r="J118" t="s">
        <v>2981</v>
      </c>
      <c r="K118" t="s">
        <v>6035</v>
      </c>
      <c r="L118" t="s">
        <v>6036</v>
      </c>
      <c r="M118" s="3" t="str">
        <f>HYPERLINK(склад2въезд[[#This Row],[RelativePath]])</f>
        <v>1 Ангар Склад 2 въезд\E33149364_6_20251213T125310Z.jpg</v>
      </c>
      <c r="N118" t="str">
        <f>VLOOKUP(склад2въезд[[#This Row],[Name]], СпрСобытий!$F:$G, 2, FALSE)</f>
        <v>Ангар Склад 2 въезд</v>
      </c>
    </row>
    <row r="119" spans="1:14" x14ac:dyDescent="0.25">
      <c r="A119" s="2" t="s">
        <v>18</v>
      </c>
      <c r="B119" s="4">
        <v>46004</v>
      </c>
      <c r="C119" s="5">
        <v>0.53726851851851853</v>
      </c>
      <c r="D119" t="s">
        <v>3019</v>
      </c>
      <c r="E119" t="s">
        <v>6167</v>
      </c>
      <c r="F119" t="s">
        <v>51</v>
      </c>
      <c r="I119" t="s">
        <v>6037</v>
      </c>
      <c r="J119" t="s">
        <v>2981</v>
      </c>
      <c r="K119" t="s">
        <v>6038</v>
      </c>
      <c r="L119" t="s">
        <v>6039</v>
      </c>
      <c r="M119" s="3" t="str">
        <f>HYPERLINK(склад2въезд[[#This Row],[RelativePath]])</f>
        <v>1 Ангар Склад 2 въезд\E33149364_6_20251213T125340Z.jpg</v>
      </c>
      <c r="N119" t="str">
        <f>VLOOKUP(склад2въезд[[#This Row],[Name]], СпрСобытий!$F:$G, 2, FALSE)</f>
        <v>Ангар Склад 2 въезд</v>
      </c>
    </row>
    <row r="120" spans="1:14" x14ac:dyDescent="0.25">
      <c r="A120" s="2" t="s">
        <v>18</v>
      </c>
      <c r="B120" s="4">
        <v>46004</v>
      </c>
      <c r="C120" s="5">
        <v>0.53954861111111108</v>
      </c>
      <c r="D120" t="s">
        <v>91</v>
      </c>
      <c r="E120" t="s">
        <v>6169</v>
      </c>
      <c r="F120" t="s">
        <v>58</v>
      </c>
      <c r="I120" t="s">
        <v>6040</v>
      </c>
      <c r="J120" t="s">
        <v>2981</v>
      </c>
      <c r="K120" t="s">
        <v>6041</v>
      </c>
      <c r="L120" t="s">
        <v>6042</v>
      </c>
      <c r="M120" s="3" t="str">
        <f>HYPERLINK(склад2въезд[[#This Row],[RelativePath]])</f>
        <v>1 Ангар Склад 2 въезд\E33149364_6_20251213T125657Z.jpg</v>
      </c>
      <c r="N120" t="str">
        <f>VLOOKUP(склад2въезд[[#This Row],[Name]], СпрСобытий!$F:$G, 2, FALSE)</f>
        <v>Ангар Склад 2 въезд</v>
      </c>
    </row>
    <row r="121" spans="1:14" x14ac:dyDescent="0.25">
      <c r="A121" s="2" t="s">
        <v>18</v>
      </c>
      <c r="B121" s="4">
        <v>46004</v>
      </c>
      <c r="C121" s="5">
        <v>0.56135416666666671</v>
      </c>
      <c r="D121" t="s">
        <v>62</v>
      </c>
      <c r="E121" t="s">
        <v>6169</v>
      </c>
      <c r="F121" t="s">
        <v>6170</v>
      </c>
      <c r="H121" t="s">
        <v>6171</v>
      </c>
      <c r="I121" t="s">
        <v>6043</v>
      </c>
      <c r="J121" t="s">
        <v>2981</v>
      </c>
      <c r="K121" t="s">
        <v>6044</v>
      </c>
      <c r="L121" t="s">
        <v>6045</v>
      </c>
      <c r="M121" s="3" t="str">
        <f>HYPERLINK(склад2въезд[[#This Row],[RelativePath]])</f>
        <v>1 Ангар Склад 2 въезд\E33149364_6_20251213T132821Z.jpg</v>
      </c>
      <c r="N121" t="str">
        <f>VLOOKUP(склад2въезд[[#This Row],[Name]], СпрСобытий!$F:$G, 2, FALSE)</f>
        <v>Ангар Склад 2 въезд</v>
      </c>
    </row>
  </sheetData>
  <phoneticPr fontId="2" type="noConversion"/>
  <conditionalFormatting sqref="E122:E135 D122:D132 G2:H121 D2:E121">
    <cfRule type="containsText" dxfId="587" priority="23" operator="containsText" text="Выезд с территории">
      <formula>NOT(ISERROR(SEARCH("Выезд с территории",D2)))</formula>
    </cfRule>
  </conditionalFormatting>
  <conditionalFormatting sqref="F2:F609">
    <cfRule type="notContainsText" dxfId="586" priority="21" operator="notContains" text="порожний">
      <formula>ISERROR(SEARCH("порожний",F2))</formula>
    </cfRule>
  </conditionalFormatting>
  <conditionalFormatting sqref="E2:E135">
    <cfRule type="containsText" dxfId="585" priority="12" operator="containsText" text="Газель базы">
      <formula>NOT(ISERROR(SEARCH("Газель базы",E2)))</formula>
    </cfRule>
    <cfRule type="containsText" dxfId="584" priority="13" operator="containsText" text="Погрузчик базы">
      <formula>NOT(ISERROR(SEARCH("Погрузчик базы",E2)))</formula>
    </cfRule>
  </conditionalFormatting>
  <conditionalFormatting sqref="E2:E135">
    <cfRule type="containsText" dxfId="583" priority="11" operator="containsText" text="Трактор базы">
      <formula>NOT(ISERROR(SEARCH("Трактор базы",E2)))</formula>
    </cfRule>
  </conditionalFormatting>
  <conditionalFormatting sqref="A2:C121">
    <cfRule type="expression" dxfId="582" priority="9">
      <formula>$A2="пн"</formula>
    </cfRule>
  </conditionalFormatting>
  <conditionalFormatting sqref="A2:C123">
    <cfRule type="expression" dxfId="581" priority="3">
      <formula>$A2="вс"</formula>
    </cfRule>
    <cfRule type="expression" dxfId="580" priority="4">
      <formula>$A2="сб"</formula>
    </cfRule>
    <cfRule type="expression" dxfId="579" priority="5">
      <formula>$A2="пт"</formula>
    </cfRule>
    <cfRule type="expression" dxfId="578" priority="6">
      <formula>$A2="чт"</formula>
    </cfRule>
    <cfRule type="expression" dxfId="577" priority="7">
      <formula>$A2="ср"</formula>
    </cfRule>
    <cfRule type="expression" dxfId="576" priority="8">
      <formula>$A2="вт"</formula>
    </cfRule>
  </conditionalFormatting>
  <conditionalFormatting sqref="D2:D132">
    <cfRule type="containsText" dxfId="575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132">
    <cfRule type="containsText" dxfId="574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E1CA-5CF9-4822-B0F7-E62B950A9D2C}">
  <sheetPr>
    <tabColor theme="4" tint="0.39997558519241921"/>
  </sheetPr>
  <dimension ref="A1:M153"/>
  <sheetViews>
    <sheetView zoomScale="90" zoomScaleNormal="90" workbookViewId="0">
      <pane ySplit="1" topLeftCell="A135" activePane="bottomLeft" state="frozen"/>
      <selection pane="bottomLeft" activeCell="N107" sqref="N107:N108"/>
    </sheetView>
  </sheetViews>
  <sheetFormatPr defaultRowHeight="15" x14ac:dyDescent="0.25"/>
  <cols>
    <col min="1" max="1" width="14.7109375" style="2" bestFit="1" customWidth="1"/>
    <col min="2" max="2" width="11" style="2" bestFit="1" customWidth="1"/>
    <col min="3" max="3" width="11.85546875" style="2" bestFit="1" customWidth="1"/>
    <col min="4" max="4" width="34.42578125" bestFit="1" customWidth="1"/>
    <col min="5" max="5" width="54.28515625" bestFit="1" customWidth="1"/>
    <col min="6" max="6" width="25" bestFit="1" customWidth="1"/>
    <col min="7" max="7" width="9.7109375" bestFit="1" customWidth="1"/>
    <col min="8" max="8" width="30.140625" bestFit="1" customWidth="1"/>
    <col min="9" max="9" width="35.42578125" hidden="1" customWidth="1"/>
    <col min="10" max="10" width="43.140625" hidden="1" customWidth="1"/>
    <col min="11" max="11" width="54.42578125" hidden="1" customWidth="1"/>
    <col min="12" max="12" width="24.5703125" hidden="1" customWidth="1"/>
    <col min="13" max="13" width="54.42578125" bestFit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0.39209490740740743</v>
      </c>
      <c r="D2" t="s">
        <v>4</v>
      </c>
      <c r="E2" t="s">
        <v>8</v>
      </c>
      <c r="I2" t="s">
        <v>92</v>
      </c>
      <c r="J2" t="s">
        <v>2989</v>
      </c>
      <c r="K2" t="s">
        <v>136</v>
      </c>
      <c r="L2" t="s">
        <v>93</v>
      </c>
      <c r="M2" s="3" t="str">
        <f>HYPERLINK(склад2въезд14[[#This Row],[RelativePath]])</f>
        <v>2 Пилорама поката\E33149364_7_20251110T092437Z.jpg</v>
      </c>
    </row>
    <row r="3" spans="1:13" x14ac:dyDescent="0.25">
      <c r="A3" s="2" t="s">
        <v>13</v>
      </c>
      <c r="B3" s="4">
        <v>45971</v>
      </c>
      <c r="C3" s="5">
        <v>0.39253472222222224</v>
      </c>
      <c r="D3" t="s">
        <v>158</v>
      </c>
      <c r="E3" t="s">
        <v>86</v>
      </c>
      <c r="F3" t="s">
        <v>60</v>
      </c>
      <c r="G3">
        <v>2</v>
      </c>
      <c r="I3" t="s">
        <v>94</v>
      </c>
      <c r="J3" t="s">
        <v>2989</v>
      </c>
      <c r="K3" t="s">
        <v>137</v>
      </c>
      <c r="L3" t="s">
        <v>95</v>
      </c>
      <c r="M3" s="3" t="str">
        <f>HYPERLINK(склад2въезд14[[#This Row],[RelativePath]])</f>
        <v>2 Пилорама поката\E33149364_7_20251110T092515Z.jpg</v>
      </c>
    </row>
    <row r="4" spans="1:13" x14ac:dyDescent="0.25">
      <c r="A4" s="2" t="s">
        <v>13</v>
      </c>
      <c r="B4" s="4">
        <v>45971</v>
      </c>
      <c r="C4" s="5">
        <v>0.41855324074074074</v>
      </c>
      <c r="D4" t="s">
        <v>158</v>
      </c>
      <c r="E4" t="s">
        <v>86</v>
      </c>
      <c r="F4" t="s">
        <v>60</v>
      </c>
      <c r="G4">
        <v>1</v>
      </c>
      <c r="I4" t="s">
        <v>96</v>
      </c>
      <c r="J4" t="s">
        <v>2989</v>
      </c>
      <c r="K4" t="s">
        <v>138</v>
      </c>
      <c r="L4" t="s">
        <v>97</v>
      </c>
      <c r="M4" s="3" t="str">
        <f>HYPERLINK(склад2въезд14[[#This Row],[RelativePath]])</f>
        <v>2 Пилорама поката\E33149364_7_20251110T100243Z.jpg</v>
      </c>
    </row>
    <row r="5" spans="1:13" x14ac:dyDescent="0.25">
      <c r="A5" s="2" t="s">
        <v>13</v>
      </c>
      <c r="B5" s="4">
        <v>45971</v>
      </c>
      <c r="C5" s="5">
        <v>0.43763888888888891</v>
      </c>
      <c r="D5" t="s">
        <v>158</v>
      </c>
      <c r="E5" t="s">
        <v>86</v>
      </c>
      <c r="F5" t="s">
        <v>60</v>
      </c>
      <c r="G5">
        <v>2</v>
      </c>
      <c r="I5" t="s">
        <v>98</v>
      </c>
      <c r="J5" t="s">
        <v>2989</v>
      </c>
      <c r="K5" t="s">
        <v>139</v>
      </c>
      <c r="L5" t="s">
        <v>99</v>
      </c>
      <c r="M5" s="3" t="str">
        <f>HYPERLINK(склад2въезд14[[#This Row],[RelativePath]])</f>
        <v>2 Пилорама поката\E33149364_7_20251110T103012Z.jpg</v>
      </c>
    </row>
    <row r="6" spans="1:13" x14ac:dyDescent="0.25">
      <c r="A6" s="2" t="s">
        <v>13</v>
      </c>
      <c r="B6" s="4">
        <v>45971</v>
      </c>
      <c r="C6" s="5">
        <v>0.44165509259259261</v>
      </c>
      <c r="D6" t="s">
        <v>158</v>
      </c>
      <c r="E6" t="s">
        <v>86</v>
      </c>
      <c r="F6" t="s">
        <v>60</v>
      </c>
      <c r="G6">
        <v>2</v>
      </c>
      <c r="I6" t="s">
        <v>100</v>
      </c>
      <c r="J6" t="s">
        <v>2989</v>
      </c>
      <c r="K6" t="s">
        <v>140</v>
      </c>
      <c r="L6" t="s">
        <v>101</v>
      </c>
      <c r="M6" s="3" t="str">
        <f>HYPERLINK(склад2въезд14[[#This Row],[RelativePath]])</f>
        <v>2 Пилорама поката\E33149364_7_20251110T103559Z.jpg</v>
      </c>
    </row>
    <row r="7" spans="1:13" x14ac:dyDescent="0.25">
      <c r="A7" s="2" t="s">
        <v>13</v>
      </c>
      <c r="B7" s="4">
        <v>45971</v>
      </c>
      <c r="C7" s="5">
        <v>0.44550925925925927</v>
      </c>
      <c r="D7" t="s">
        <v>158</v>
      </c>
      <c r="E7" t="s">
        <v>86</v>
      </c>
      <c r="F7" t="s">
        <v>60</v>
      </c>
      <c r="G7">
        <v>1</v>
      </c>
      <c r="I7" t="s">
        <v>102</v>
      </c>
      <c r="J7" t="s">
        <v>2989</v>
      </c>
      <c r="K7" t="s">
        <v>141</v>
      </c>
      <c r="L7" t="s">
        <v>103</v>
      </c>
      <c r="M7" s="3" t="str">
        <f>HYPERLINK(склад2въезд14[[#This Row],[RelativePath]])</f>
        <v>2 Пилорама поката\E33149364_7_20251110T104132Z.jpg</v>
      </c>
    </row>
    <row r="8" spans="1:13" x14ac:dyDescent="0.25">
      <c r="A8" s="2" t="s">
        <v>13</v>
      </c>
      <c r="B8" s="4">
        <v>45971</v>
      </c>
      <c r="C8" s="5">
        <v>0.45173611111111112</v>
      </c>
      <c r="D8" t="s">
        <v>158</v>
      </c>
      <c r="E8" t="s">
        <v>86</v>
      </c>
      <c r="F8" t="s">
        <v>60</v>
      </c>
      <c r="G8">
        <v>2</v>
      </c>
      <c r="I8" t="s">
        <v>104</v>
      </c>
      <c r="J8" t="s">
        <v>2989</v>
      </c>
      <c r="K8" t="s">
        <v>142</v>
      </c>
      <c r="L8" t="s">
        <v>105</v>
      </c>
      <c r="M8" s="3" t="str">
        <f>HYPERLINK(склад2въезд14[[#This Row],[RelativePath]])</f>
        <v>2 Пилорама поката\E33149364_7_20251110T105030Z.jpg</v>
      </c>
    </row>
    <row r="9" spans="1:13" x14ac:dyDescent="0.25">
      <c r="A9" s="2" t="s">
        <v>13</v>
      </c>
      <c r="B9" s="4">
        <v>45971</v>
      </c>
      <c r="C9" s="5">
        <v>0.45603009259259258</v>
      </c>
      <c r="D9" t="s">
        <v>158</v>
      </c>
      <c r="E9" t="s">
        <v>86</v>
      </c>
      <c r="F9" t="s">
        <v>60</v>
      </c>
      <c r="G9">
        <v>1</v>
      </c>
      <c r="I9" t="s">
        <v>106</v>
      </c>
      <c r="J9" t="s">
        <v>2989</v>
      </c>
      <c r="K9" t="s">
        <v>143</v>
      </c>
      <c r="L9" t="s">
        <v>107</v>
      </c>
      <c r="M9" s="3" t="str">
        <f>HYPERLINK(склад2въезд14[[#This Row],[RelativePath]])</f>
        <v>2 Пилорама поката\E33149364_7_20251110T105641Z.jpg</v>
      </c>
    </row>
    <row r="10" spans="1:13" x14ac:dyDescent="0.25">
      <c r="A10" s="2" t="s">
        <v>14</v>
      </c>
      <c r="B10" s="4">
        <v>45972</v>
      </c>
      <c r="C10" s="5">
        <v>0.3332060185185185</v>
      </c>
      <c r="D10" t="s">
        <v>4</v>
      </c>
      <c r="E10" t="s">
        <v>8</v>
      </c>
      <c r="I10" t="s">
        <v>108</v>
      </c>
      <c r="J10" t="s">
        <v>2989</v>
      </c>
      <c r="K10" t="s">
        <v>144</v>
      </c>
      <c r="L10" t="s">
        <v>109</v>
      </c>
      <c r="M10" s="3" t="str">
        <f>HYPERLINK(склад2въезд14[[#This Row],[RelativePath]])</f>
        <v>2 Пилорама поката\E33149364_7_20251111T075949Z.jpg</v>
      </c>
    </row>
    <row r="11" spans="1:13" x14ac:dyDescent="0.25">
      <c r="A11" s="2" t="s">
        <v>14</v>
      </c>
      <c r="B11" s="4">
        <v>45972</v>
      </c>
      <c r="C11" s="5">
        <v>0.35127314814814814</v>
      </c>
      <c r="D11" t="s">
        <v>4</v>
      </c>
      <c r="E11" t="s">
        <v>8</v>
      </c>
      <c r="I11" t="s">
        <v>110</v>
      </c>
      <c r="J11" t="s">
        <v>2989</v>
      </c>
      <c r="K11" t="s">
        <v>145</v>
      </c>
      <c r="L11" t="s">
        <v>111</v>
      </c>
      <c r="M11" s="3" t="str">
        <f>HYPERLINK(склад2въезд14[[#This Row],[RelativePath]])</f>
        <v>2 Пилорама поката\E33149364_7_20251111T082550Z.jpg</v>
      </c>
    </row>
    <row r="12" spans="1:13" x14ac:dyDescent="0.25">
      <c r="A12" s="2" t="s">
        <v>14</v>
      </c>
      <c r="B12" s="4">
        <v>45972</v>
      </c>
      <c r="C12" s="5">
        <v>0.45701388888888889</v>
      </c>
      <c r="D12" t="s">
        <v>159</v>
      </c>
      <c r="E12" t="s">
        <v>63</v>
      </c>
      <c r="F12" t="s">
        <v>51</v>
      </c>
      <c r="I12" t="s">
        <v>112</v>
      </c>
      <c r="J12" t="s">
        <v>2989</v>
      </c>
      <c r="K12" t="s">
        <v>146</v>
      </c>
      <c r="L12" t="s">
        <v>113</v>
      </c>
      <c r="M12" s="3" t="str">
        <f>HYPERLINK(склад2въезд14[[#This Row],[RelativePath]])</f>
        <v>2 Пилорама поката\E33149364_7_20251111T105806Z.jpg</v>
      </c>
    </row>
    <row r="13" spans="1:13" x14ac:dyDescent="0.25">
      <c r="A13" s="2" t="s">
        <v>14</v>
      </c>
      <c r="B13" s="4">
        <v>45972</v>
      </c>
      <c r="C13" s="5">
        <v>0.60871527777777779</v>
      </c>
      <c r="D13" t="s">
        <v>158</v>
      </c>
      <c r="E13" t="s">
        <v>86</v>
      </c>
      <c r="F13" t="s">
        <v>60</v>
      </c>
      <c r="G13">
        <v>1</v>
      </c>
      <c r="I13" t="s">
        <v>114</v>
      </c>
      <c r="J13" t="s">
        <v>2989</v>
      </c>
      <c r="K13" t="s">
        <v>147</v>
      </c>
      <c r="L13" t="s">
        <v>115</v>
      </c>
      <c r="M13" s="3" t="str">
        <f>HYPERLINK(склад2въезд14[[#This Row],[RelativePath]])</f>
        <v>2 Пилорама поката\E33149364_7_20251111T143633Z.jpg</v>
      </c>
    </row>
    <row r="14" spans="1:13" x14ac:dyDescent="0.25">
      <c r="A14" s="2" t="s">
        <v>14</v>
      </c>
      <c r="B14" s="4">
        <v>45972</v>
      </c>
      <c r="C14" s="5">
        <v>0.61587962962962961</v>
      </c>
      <c r="D14" t="s">
        <v>158</v>
      </c>
      <c r="E14" t="s">
        <v>86</v>
      </c>
      <c r="F14" t="s">
        <v>60</v>
      </c>
      <c r="G14">
        <v>1</v>
      </c>
      <c r="I14" t="s">
        <v>116</v>
      </c>
      <c r="J14" t="s">
        <v>2989</v>
      </c>
      <c r="K14" t="s">
        <v>148</v>
      </c>
      <c r="L14" t="s">
        <v>117</v>
      </c>
      <c r="M14" s="3" t="str">
        <f>HYPERLINK(склад2въезд14[[#This Row],[RelativePath]])</f>
        <v>2 Пилорама поката\E33149364_7_20251111T144652Z.jpg</v>
      </c>
    </row>
    <row r="15" spans="1:13" x14ac:dyDescent="0.25">
      <c r="A15" s="2" t="s">
        <v>14</v>
      </c>
      <c r="B15" s="4">
        <v>45972</v>
      </c>
      <c r="C15" s="5">
        <v>0.62045138888888884</v>
      </c>
      <c r="D15" t="s">
        <v>158</v>
      </c>
      <c r="E15" t="s">
        <v>86</v>
      </c>
      <c r="F15" t="s">
        <v>60</v>
      </c>
      <c r="G15">
        <v>1</v>
      </c>
      <c r="I15" t="s">
        <v>118</v>
      </c>
      <c r="J15" t="s">
        <v>2989</v>
      </c>
      <c r="K15" t="s">
        <v>149</v>
      </c>
      <c r="L15" t="s">
        <v>119</v>
      </c>
      <c r="M15" s="3" t="str">
        <f>HYPERLINK(склад2въезд14[[#This Row],[RelativePath]])</f>
        <v>2 Пилорама поката\E33149364_7_20251111T145327Z.jpg</v>
      </c>
    </row>
    <row r="16" spans="1:13" x14ac:dyDescent="0.25">
      <c r="A16" s="2" t="s">
        <v>14</v>
      </c>
      <c r="B16" s="4">
        <v>45972</v>
      </c>
      <c r="C16" s="5">
        <v>0.6263657407407407</v>
      </c>
      <c r="D16" t="s">
        <v>158</v>
      </c>
      <c r="E16" t="s">
        <v>86</v>
      </c>
      <c r="F16" t="s">
        <v>60</v>
      </c>
      <c r="G16">
        <v>2</v>
      </c>
      <c r="I16" t="s">
        <v>120</v>
      </c>
      <c r="J16" t="s">
        <v>2989</v>
      </c>
      <c r="K16" t="s">
        <v>150</v>
      </c>
      <c r="L16" t="s">
        <v>121</v>
      </c>
      <c r="M16" s="3" t="str">
        <f>HYPERLINK(склад2въезд14[[#This Row],[RelativePath]])</f>
        <v>2 Пилорама поката\E33149364_7_20251111T150158Z.jpg</v>
      </c>
    </row>
    <row r="17" spans="1:13" x14ac:dyDescent="0.25">
      <c r="A17" s="2" t="s">
        <v>14</v>
      </c>
      <c r="B17" s="4">
        <v>45972</v>
      </c>
      <c r="C17" s="5">
        <v>0.66290509259259256</v>
      </c>
      <c r="D17" t="s">
        <v>158</v>
      </c>
      <c r="E17" t="s">
        <v>86</v>
      </c>
      <c r="F17" t="s">
        <v>60</v>
      </c>
      <c r="G17">
        <v>1</v>
      </c>
      <c r="I17" t="s">
        <v>122</v>
      </c>
      <c r="J17" t="s">
        <v>2989</v>
      </c>
      <c r="K17" t="s">
        <v>151</v>
      </c>
      <c r="L17" t="s">
        <v>123</v>
      </c>
      <c r="M17" s="3" t="str">
        <f>HYPERLINK(склад2въезд14[[#This Row],[RelativePath]])</f>
        <v>2 Пилорама поката\E33149364_7_20251111T155435Z.jpg</v>
      </c>
    </row>
    <row r="18" spans="1:13" x14ac:dyDescent="0.25">
      <c r="A18" s="2" t="s">
        <v>15</v>
      </c>
      <c r="B18" s="4">
        <v>45973</v>
      </c>
      <c r="C18" s="5">
        <v>0.76931712962962961</v>
      </c>
      <c r="D18" t="s">
        <v>4</v>
      </c>
      <c r="E18" t="s">
        <v>8</v>
      </c>
      <c r="I18" t="s">
        <v>124</v>
      </c>
      <c r="J18" t="s">
        <v>2989</v>
      </c>
      <c r="K18" t="s">
        <v>152</v>
      </c>
      <c r="L18" t="s">
        <v>125</v>
      </c>
      <c r="M18" s="3" t="str">
        <f>HYPERLINK(склад2въезд14[[#This Row],[RelativePath]])</f>
        <v>2 Пилорама поката\E33149364_7_20251112T182749Z.jpg</v>
      </c>
    </row>
    <row r="19" spans="1:13" x14ac:dyDescent="0.25">
      <c r="A19" s="2" t="s">
        <v>16</v>
      </c>
      <c r="B19" s="4">
        <v>45974</v>
      </c>
      <c r="C19" s="5">
        <v>0.34604166666666669</v>
      </c>
      <c r="D19" t="s">
        <v>4</v>
      </c>
      <c r="E19" t="s">
        <v>8</v>
      </c>
      <c r="I19" t="s">
        <v>126</v>
      </c>
      <c r="J19" t="s">
        <v>2989</v>
      </c>
      <c r="K19" t="s">
        <v>153</v>
      </c>
      <c r="L19" t="s">
        <v>127</v>
      </c>
      <c r="M19" s="3" t="str">
        <f>HYPERLINK(склад2въезд14[[#This Row],[RelativePath]])</f>
        <v>2 Пилорама поката\E33149364_7_20251113T081818Z.jpg</v>
      </c>
    </row>
    <row r="20" spans="1:13" x14ac:dyDescent="0.25">
      <c r="A20" s="2" t="s">
        <v>16</v>
      </c>
      <c r="B20" s="4">
        <v>45974</v>
      </c>
      <c r="C20" s="5">
        <v>0.37868055555555558</v>
      </c>
      <c r="D20" t="s">
        <v>159</v>
      </c>
      <c r="E20" t="s">
        <v>70</v>
      </c>
      <c r="I20" t="s">
        <v>128</v>
      </c>
      <c r="J20" t="s">
        <v>2989</v>
      </c>
      <c r="K20" t="s">
        <v>154</v>
      </c>
      <c r="L20" t="s">
        <v>129</v>
      </c>
      <c r="M20" s="3" t="str">
        <f>HYPERLINK(склад2въезд14[[#This Row],[RelativePath]])</f>
        <v>2 Пилорама поката\E33149364_7_20251113T090518Z.jpg</v>
      </c>
    </row>
    <row r="21" spans="1:13" x14ac:dyDescent="0.25">
      <c r="A21" s="2" t="s">
        <v>16</v>
      </c>
      <c r="B21" s="4">
        <v>45974</v>
      </c>
      <c r="C21" s="5">
        <v>0.68540509259259264</v>
      </c>
      <c r="D21" t="s">
        <v>158</v>
      </c>
      <c r="E21" t="s">
        <v>86</v>
      </c>
      <c r="F21" t="s">
        <v>60</v>
      </c>
      <c r="G21">
        <v>1</v>
      </c>
      <c r="I21" t="s">
        <v>130</v>
      </c>
      <c r="J21" t="s">
        <v>2989</v>
      </c>
      <c r="K21" t="s">
        <v>155</v>
      </c>
      <c r="L21" t="s">
        <v>131</v>
      </c>
      <c r="M21" s="3" t="str">
        <f>HYPERLINK(склад2въезд14[[#This Row],[RelativePath]])</f>
        <v>2 Пилорама поката\E33149364_7_20251113T162659Z.jpg</v>
      </c>
    </row>
    <row r="22" spans="1:13" x14ac:dyDescent="0.25">
      <c r="A22" s="2" t="s">
        <v>16</v>
      </c>
      <c r="B22" s="4">
        <v>45974</v>
      </c>
      <c r="C22" s="5">
        <v>0.68618055555555557</v>
      </c>
      <c r="D22" t="s">
        <v>4</v>
      </c>
      <c r="E22" t="s">
        <v>160</v>
      </c>
      <c r="I22" t="s">
        <v>132</v>
      </c>
      <c r="J22" t="s">
        <v>2989</v>
      </c>
      <c r="K22" t="s">
        <v>156</v>
      </c>
      <c r="L22" t="s">
        <v>133</v>
      </c>
      <c r="M22" s="3" t="str">
        <f>HYPERLINK(склад2въезд14[[#This Row],[RelativePath]])</f>
        <v>2 Пилорама поката\E33149364_7_20251113T162806Z.jpg</v>
      </c>
    </row>
    <row r="23" spans="1:13" x14ac:dyDescent="0.25">
      <c r="A23" s="2" t="s">
        <v>16</v>
      </c>
      <c r="B23" s="4">
        <v>45974</v>
      </c>
      <c r="C23" s="5">
        <v>0.71075231481481482</v>
      </c>
      <c r="D23" t="s">
        <v>4</v>
      </c>
      <c r="E23" t="s">
        <v>8</v>
      </c>
      <c r="I23" t="s">
        <v>134</v>
      </c>
      <c r="J23" t="s">
        <v>2989</v>
      </c>
      <c r="K23" t="s">
        <v>157</v>
      </c>
      <c r="L23" t="s">
        <v>135</v>
      </c>
      <c r="M23" s="3" t="str">
        <f>HYPERLINK(склад2въезд14[[#This Row],[RelativePath]])</f>
        <v>2 Пилорама поката\E33149364_7_20251113T170329Z.jpg</v>
      </c>
    </row>
    <row r="24" spans="1:13" x14ac:dyDescent="0.25">
      <c r="A24" s="2" t="s">
        <v>17</v>
      </c>
      <c r="B24" s="4">
        <v>45975</v>
      </c>
      <c r="C24" s="5">
        <v>0.40074074074074073</v>
      </c>
      <c r="D24" t="s">
        <v>4</v>
      </c>
      <c r="E24" t="s">
        <v>8</v>
      </c>
      <c r="I24" t="s">
        <v>161</v>
      </c>
      <c r="J24" t="s">
        <v>2989</v>
      </c>
      <c r="K24" t="s">
        <v>162</v>
      </c>
      <c r="L24" t="s">
        <v>163</v>
      </c>
      <c r="M24" s="3" t="str">
        <f>HYPERLINK(склад2въезд14[[#This Row],[RelativePath]])</f>
        <v>2 Пилорама поката\E33149364_7_20251114T093704Z.jpg</v>
      </c>
    </row>
    <row r="25" spans="1:13" x14ac:dyDescent="0.25">
      <c r="A25" s="2" t="s">
        <v>17</v>
      </c>
      <c r="B25" s="4">
        <v>45975</v>
      </c>
      <c r="C25" s="5">
        <v>0.40642361111111114</v>
      </c>
      <c r="D25" t="s">
        <v>159</v>
      </c>
      <c r="E25" t="s">
        <v>86</v>
      </c>
      <c r="F25" t="s">
        <v>200</v>
      </c>
      <c r="I25" t="s">
        <v>164</v>
      </c>
      <c r="J25" t="s">
        <v>2989</v>
      </c>
      <c r="K25" t="s">
        <v>165</v>
      </c>
      <c r="L25" t="s">
        <v>166</v>
      </c>
      <c r="M25" s="3" t="str">
        <f>HYPERLINK(склад2въезд14[[#This Row],[RelativePath]])</f>
        <v>2 Пилорама поката\E33149364_7_20251114T094515Z.jpg</v>
      </c>
    </row>
    <row r="26" spans="1:13" x14ac:dyDescent="0.25">
      <c r="A26" s="2" t="s">
        <v>17</v>
      </c>
      <c r="B26" s="4">
        <v>45975</v>
      </c>
      <c r="C26" s="5">
        <v>0.42190972222222223</v>
      </c>
      <c r="D26" t="s">
        <v>159</v>
      </c>
      <c r="E26" t="s">
        <v>86</v>
      </c>
      <c r="F26" t="s">
        <v>200</v>
      </c>
      <c r="I26" t="s">
        <v>167</v>
      </c>
      <c r="J26" t="s">
        <v>2989</v>
      </c>
      <c r="K26" t="s">
        <v>168</v>
      </c>
      <c r="L26" t="s">
        <v>169</v>
      </c>
      <c r="M26" s="3" t="str">
        <f>HYPERLINK(склад2въезд14[[#This Row],[RelativePath]])</f>
        <v>2 Пилорама поката\E33149364_7_20251114T100733Z.jpg</v>
      </c>
    </row>
    <row r="27" spans="1:13" x14ac:dyDescent="0.25">
      <c r="A27" s="2" t="s">
        <v>17</v>
      </c>
      <c r="B27" s="4">
        <v>45975</v>
      </c>
      <c r="C27" s="5">
        <v>0.42277777777777775</v>
      </c>
      <c r="D27" t="s">
        <v>201</v>
      </c>
      <c r="E27" t="s">
        <v>86</v>
      </c>
      <c r="F27" t="s">
        <v>51</v>
      </c>
      <c r="I27" t="s">
        <v>170</v>
      </c>
      <c r="J27" t="s">
        <v>2989</v>
      </c>
      <c r="K27" t="s">
        <v>171</v>
      </c>
      <c r="L27" t="s">
        <v>172</v>
      </c>
      <c r="M27" s="3" t="str">
        <f>HYPERLINK(склад2въезд14[[#This Row],[RelativePath]])</f>
        <v>2 Пилорама поката\E33149364_7_20251114T100848Z.jpg</v>
      </c>
    </row>
    <row r="28" spans="1:13" x14ac:dyDescent="0.25">
      <c r="A28" s="2" t="s">
        <v>17</v>
      </c>
      <c r="B28" s="4">
        <v>45975</v>
      </c>
      <c r="C28" s="5">
        <v>0.48237268518518517</v>
      </c>
      <c r="D28" t="s">
        <v>159</v>
      </c>
      <c r="E28" t="s">
        <v>86</v>
      </c>
      <c r="F28" t="s">
        <v>200</v>
      </c>
      <c r="I28" t="s">
        <v>173</v>
      </c>
      <c r="J28" t="s">
        <v>2989</v>
      </c>
      <c r="K28" t="s">
        <v>174</v>
      </c>
      <c r="L28" t="s">
        <v>175</v>
      </c>
      <c r="M28" s="3" t="str">
        <f>HYPERLINK(склад2въезд14[[#This Row],[RelativePath]])</f>
        <v>2 Пилорама поката\E33149364_7_20251114T113437Z.jpg</v>
      </c>
    </row>
    <row r="29" spans="1:13" x14ac:dyDescent="0.25">
      <c r="A29" s="2" t="s">
        <v>17</v>
      </c>
      <c r="B29" s="4">
        <v>45975</v>
      </c>
      <c r="C29" s="5">
        <v>0.49148148148148146</v>
      </c>
      <c r="D29" t="s">
        <v>159</v>
      </c>
      <c r="E29" t="s">
        <v>86</v>
      </c>
      <c r="F29" t="s">
        <v>200</v>
      </c>
      <c r="I29" t="s">
        <v>176</v>
      </c>
      <c r="J29" t="s">
        <v>2989</v>
      </c>
      <c r="K29" t="s">
        <v>177</v>
      </c>
      <c r="L29" t="s">
        <v>178</v>
      </c>
      <c r="M29" s="3" t="str">
        <f>HYPERLINK(склад2въезд14[[#This Row],[RelativePath]])</f>
        <v>2 Пилорама поката\E33149364_7_20251114T114744Z.jpg</v>
      </c>
    </row>
    <row r="30" spans="1:13" x14ac:dyDescent="0.25">
      <c r="A30" s="2" t="s">
        <v>17</v>
      </c>
      <c r="B30" s="4">
        <v>45975</v>
      </c>
      <c r="C30" s="5">
        <v>0.49703703703703705</v>
      </c>
      <c r="D30" t="s">
        <v>158</v>
      </c>
      <c r="E30" t="s">
        <v>86</v>
      </c>
      <c r="F30" t="s">
        <v>60</v>
      </c>
      <c r="G30">
        <v>1</v>
      </c>
      <c r="I30" t="s">
        <v>179</v>
      </c>
      <c r="J30" t="s">
        <v>2989</v>
      </c>
      <c r="K30" t="s">
        <v>180</v>
      </c>
      <c r="L30" t="s">
        <v>181</v>
      </c>
      <c r="M30" s="3" t="str">
        <f>HYPERLINK(склад2въезд14[[#This Row],[RelativePath]])</f>
        <v>2 Пилорама поката\E33149364_7_20251114T115544Z.jpg</v>
      </c>
    </row>
    <row r="31" spans="1:13" x14ac:dyDescent="0.25">
      <c r="A31" s="2" t="s">
        <v>17</v>
      </c>
      <c r="B31" s="4">
        <v>45975</v>
      </c>
      <c r="C31" s="5">
        <v>0.50545138888888885</v>
      </c>
      <c r="D31" t="s">
        <v>159</v>
      </c>
      <c r="E31" t="s">
        <v>86</v>
      </c>
      <c r="F31" t="s">
        <v>200</v>
      </c>
      <c r="I31" t="s">
        <v>182</v>
      </c>
      <c r="J31" t="s">
        <v>2989</v>
      </c>
      <c r="K31" t="s">
        <v>183</v>
      </c>
      <c r="L31" t="s">
        <v>184</v>
      </c>
      <c r="M31" s="3" t="str">
        <f>HYPERLINK(склад2въезд14[[#This Row],[RelativePath]])</f>
        <v>2 Пилорама поката\E33149364_7_20251114T120751Z.jpg</v>
      </c>
    </row>
    <row r="32" spans="1:13" x14ac:dyDescent="0.25">
      <c r="A32" s="2" t="s">
        <v>17</v>
      </c>
      <c r="B32" s="4">
        <v>45975</v>
      </c>
      <c r="C32" s="5">
        <v>0.51671296296296299</v>
      </c>
      <c r="D32" t="s">
        <v>159</v>
      </c>
      <c r="E32" t="s">
        <v>86</v>
      </c>
      <c r="F32" t="s">
        <v>200</v>
      </c>
      <c r="I32" t="s">
        <v>185</v>
      </c>
      <c r="J32" t="s">
        <v>2989</v>
      </c>
      <c r="K32" t="s">
        <v>186</v>
      </c>
      <c r="L32" t="s">
        <v>187</v>
      </c>
      <c r="M32" s="3" t="str">
        <f>HYPERLINK(склад2въезд14[[#This Row],[RelativePath]])</f>
        <v>2 Пилорама поката\E33149364_7_20251114T122404Z.jpg</v>
      </c>
    </row>
    <row r="33" spans="1:13" x14ac:dyDescent="0.25">
      <c r="A33" s="2" t="s">
        <v>17</v>
      </c>
      <c r="B33" s="4">
        <v>45975</v>
      </c>
      <c r="C33" s="5">
        <v>0.52964120370370371</v>
      </c>
      <c r="D33" t="s">
        <v>159</v>
      </c>
      <c r="E33" t="s">
        <v>86</v>
      </c>
      <c r="F33" t="s">
        <v>200</v>
      </c>
      <c r="I33" t="s">
        <v>188</v>
      </c>
      <c r="J33" t="s">
        <v>2989</v>
      </c>
      <c r="K33" t="s">
        <v>189</v>
      </c>
      <c r="L33" t="s">
        <v>190</v>
      </c>
      <c r="M33" s="3" t="str">
        <f>HYPERLINK(склад2въезд14[[#This Row],[RelativePath]])</f>
        <v>2 Пилорама поката\E33149364_7_20251114T124241Z.jpg</v>
      </c>
    </row>
    <row r="34" spans="1:13" x14ac:dyDescent="0.25">
      <c r="A34" s="2" t="s">
        <v>17</v>
      </c>
      <c r="B34" s="4">
        <v>45975</v>
      </c>
      <c r="C34" s="5">
        <v>0.53068287037037032</v>
      </c>
      <c r="D34" t="s">
        <v>202</v>
      </c>
      <c r="E34" t="s">
        <v>86</v>
      </c>
      <c r="F34" t="s">
        <v>51</v>
      </c>
      <c r="I34" t="s">
        <v>191</v>
      </c>
      <c r="J34" t="s">
        <v>2989</v>
      </c>
      <c r="K34" t="s">
        <v>192</v>
      </c>
      <c r="L34" t="s">
        <v>193</v>
      </c>
      <c r="M34" s="3" t="str">
        <f>HYPERLINK(склад2въезд14[[#This Row],[RelativePath]])</f>
        <v>2 Пилорама поката\E33149364_7_20251114T124411Z.jpg</v>
      </c>
    </row>
    <row r="35" spans="1:13" x14ac:dyDescent="0.25">
      <c r="A35" s="2" t="s">
        <v>17</v>
      </c>
      <c r="B35" s="4">
        <v>45975</v>
      </c>
      <c r="C35" s="5">
        <v>0.54098379629629634</v>
      </c>
      <c r="D35" t="s">
        <v>159</v>
      </c>
      <c r="E35" t="s">
        <v>86</v>
      </c>
      <c r="F35" t="s">
        <v>87</v>
      </c>
      <c r="I35" t="s">
        <v>194</v>
      </c>
      <c r="J35" t="s">
        <v>2989</v>
      </c>
      <c r="K35" t="s">
        <v>195</v>
      </c>
      <c r="L35" t="s">
        <v>196</v>
      </c>
      <c r="M35" s="3" t="str">
        <f>HYPERLINK(склад2въезд14[[#This Row],[RelativePath]])</f>
        <v>2 Пилорама поката\E33149364_7_20251114T125901Z.jpg</v>
      </c>
    </row>
    <row r="36" spans="1:13" x14ac:dyDescent="0.25">
      <c r="A36" s="2" t="s">
        <v>17</v>
      </c>
      <c r="B36" s="4">
        <v>45975</v>
      </c>
      <c r="C36" s="5">
        <v>0.74130787037037038</v>
      </c>
      <c r="D36" t="s">
        <v>4</v>
      </c>
      <c r="E36" t="s">
        <v>8</v>
      </c>
      <c r="I36" t="s">
        <v>197</v>
      </c>
      <c r="J36" t="s">
        <v>2989</v>
      </c>
      <c r="K36" t="s">
        <v>198</v>
      </c>
      <c r="L36" t="s">
        <v>199</v>
      </c>
      <c r="M36" s="3" t="str">
        <f>HYPERLINK(склад2въезд14[[#This Row],[RelativePath]])</f>
        <v>2 Пилорама поката\E33149364_7_20251114T174729Z.jpg</v>
      </c>
    </row>
    <row r="37" spans="1:13" x14ac:dyDescent="0.25">
      <c r="A37" s="2" t="s">
        <v>18</v>
      </c>
      <c r="B37" s="4">
        <v>45976</v>
      </c>
      <c r="C37" s="5">
        <v>0.35449074074074072</v>
      </c>
      <c r="D37" t="s">
        <v>4</v>
      </c>
      <c r="E37" t="s">
        <v>8</v>
      </c>
      <c r="H37" t="s">
        <v>2004</v>
      </c>
      <c r="I37" t="s">
        <v>1178</v>
      </c>
      <c r="J37" t="s">
        <v>2989</v>
      </c>
      <c r="K37" t="s">
        <v>1179</v>
      </c>
      <c r="L37" t="s">
        <v>1180</v>
      </c>
      <c r="M37" s="3" t="str">
        <f>HYPERLINK(склад2въезд14[[#This Row],[RelativePath]])</f>
        <v>2 Пилорама поката\E33149364_7_20251115T083028Z.jpg</v>
      </c>
    </row>
    <row r="38" spans="1:13" x14ac:dyDescent="0.25">
      <c r="A38" s="2" t="s">
        <v>18</v>
      </c>
      <c r="B38" s="4">
        <v>45976</v>
      </c>
      <c r="C38" s="5">
        <v>0.73379629629629628</v>
      </c>
      <c r="D38" t="s">
        <v>4</v>
      </c>
      <c r="E38" t="s">
        <v>8</v>
      </c>
      <c r="I38" t="s">
        <v>1181</v>
      </c>
      <c r="J38" t="s">
        <v>2989</v>
      </c>
      <c r="K38" t="s">
        <v>1182</v>
      </c>
      <c r="L38" t="s">
        <v>1183</v>
      </c>
      <c r="M38" s="3" t="str">
        <f>HYPERLINK(склад2въезд14[[#This Row],[RelativePath]])</f>
        <v>2 Пилорама поката\E33149364_7_20251115T173640Z.jpg</v>
      </c>
    </row>
    <row r="39" spans="1:13" x14ac:dyDescent="0.25">
      <c r="A39" s="2" t="s">
        <v>22</v>
      </c>
      <c r="B39" s="4">
        <v>45977</v>
      </c>
      <c r="C39" s="5">
        <v>0.39959490740740738</v>
      </c>
      <c r="D39" t="s">
        <v>4</v>
      </c>
      <c r="E39" t="s">
        <v>8</v>
      </c>
      <c r="H39" t="s">
        <v>2004</v>
      </c>
      <c r="I39" t="s">
        <v>1184</v>
      </c>
      <c r="J39" t="s">
        <v>2989</v>
      </c>
      <c r="K39" t="s">
        <v>1185</v>
      </c>
      <c r="L39" t="s">
        <v>1186</v>
      </c>
      <c r="M39" s="3" t="str">
        <f>HYPERLINK(склад2въезд14[[#This Row],[RelativePath]])</f>
        <v>2 Пилорама поката\E33149364_7_20251116T093525Z.jpg</v>
      </c>
    </row>
    <row r="40" spans="1:13" x14ac:dyDescent="0.25">
      <c r="A40" s="2" t="s">
        <v>22</v>
      </c>
      <c r="B40" s="4">
        <v>45977</v>
      </c>
      <c r="C40" s="5">
        <v>0.74412037037037038</v>
      </c>
      <c r="D40" t="s">
        <v>4</v>
      </c>
      <c r="E40" t="s">
        <v>8</v>
      </c>
      <c r="I40" t="s">
        <v>1187</v>
      </c>
      <c r="J40" t="s">
        <v>2989</v>
      </c>
      <c r="K40" t="s">
        <v>1188</v>
      </c>
      <c r="L40" t="s">
        <v>1189</v>
      </c>
      <c r="M40" s="3" t="str">
        <f>HYPERLINK(склад2въезд14[[#This Row],[RelativePath]])</f>
        <v>2 Пилорама поката\E33149364_7_20251116T175132Z.jpg</v>
      </c>
    </row>
    <row r="41" spans="1:13" x14ac:dyDescent="0.25">
      <c r="A41" s="2" t="s">
        <v>13</v>
      </c>
      <c r="B41" s="4">
        <v>45978</v>
      </c>
      <c r="C41" s="5">
        <v>0.74068287037037039</v>
      </c>
      <c r="D41" t="s">
        <v>2004</v>
      </c>
      <c r="I41" t="s">
        <v>2025</v>
      </c>
      <c r="J41" t="s">
        <v>2989</v>
      </c>
      <c r="K41" t="s">
        <v>2026</v>
      </c>
      <c r="L41" t="s">
        <v>2027</v>
      </c>
      <c r="M41" s="3" t="str">
        <f>HYPERLINK(склад2въезд14[[#This Row],[RelativePath]])</f>
        <v>2 Пилорама поката\E33149364_7_20251117T174635Z.jpg</v>
      </c>
    </row>
    <row r="42" spans="1:13" x14ac:dyDescent="0.25">
      <c r="A42" s="2" t="s">
        <v>14</v>
      </c>
      <c r="B42" s="4">
        <v>45979</v>
      </c>
      <c r="C42" s="5">
        <v>0.47488425925925926</v>
      </c>
      <c r="D42" t="s">
        <v>2004</v>
      </c>
      <c r="I42" t="s">
        <v>2028</v>
      </c>
      <c r="J42" t="s">
        <v>2989</v>
      </c>
      <c r="K42" t="s">
        <v>2029</v>
      </c>
      <c r="L42" t="s">
        <v>2030</v>
      </c>
      <c r="M42" s="3" t="str">
        <f>HYPERLINK(склад2въезд14[[#This Row],[RelativePath]])</f>
        <v>2 Пилорама поката\E33149364_7_20251118T112350Z.jpg</v>
      </c>
    </row>
    <row r="43" spans="1:13" x14ac:dyDescent="0.25">
      <c r="A43" s="2" t="s">
        <v>15</v>
      </c>
      <c r="B43" s="4">
        <v>45980</v>
      </c>
      <c r="C43" s="5">
        <v>0.71018518518518514</v>
      </c>
      <c r="D43" t="s">
        <v>2004</v>
      </c>
      <c r="I43" t="s">
        <v>2031</v>
      </c>
      <c r="J43" t="s">
        <v>2989</v>
      </c>
      <c r="K43" t="s">
        <v>2032</v>
      </c>
      <c r="L43" t="s">
        <v>2033</v>
      </c>
      <c r="M43" s="3" t="str">
        <f>HYPERLINK(склад2въезд14[[#This Row],[RelativePath]])</f>
        <v>2 Пилорама поката\E33149364_7_20251119T170240Z.jpg</v>
      </c>
    </row>
    <row r="44" spans="1:13" x14ac:dyDescent="0.25">
      <c r="A44" s="2" t="s">
        <v>16</v>
      </c>
      <c r="B44" s="4">
        <v>45981</v>
      </c>
      <c r="C44" s="5">
        <v>0.68290509259259258</v>
      </c>
      <c r="D44" t="s">
        <v>2926</v>
      </c>
      <c r="I44" t="s">
        <v>2034</v>
      </c>
      <c r="J44" t="s">
        <v>2989</v>
      </c>
      <c r="K44" t="s">
        <v>2035</v>
      </c>
      <c r="L44" t="s">
        <v>2036</v>
      </c>
      <c r="M44" s="3" t="str">
        <f>HYPERLINK(склад2въезд14[[#This Row],[RelativePath]])</f>
        <v>2 Пилорама поката\E33149364_7_20251120T162323Z.jpg</v>
      </c>
    </row>
    <row r="45" spans="1:13" x14ac:dyDescent="0.25">
      <c r="A45" s="2" t="s">
        <v>16</v>
      </c>
      <c r="B45" s="4">
        <v>45981</v>
      </c>
      <c r="C45" s="5">
        <v>0.7059375</v>
      </c>
      <c r="D45" t="s">
        <v>4</v>
      </c>
      <c r="E45" t="s">
        <v>8</v>
      </c>
      <c r="I45" t="s">
        <v>2037</v>
      </c>
      <c r="J45" t="s">
        <v>2989</v>
      </c>
      <c r="K45" t="s">
        <v>2038</v>
      </c>
      <c r="L45" t="s">
        <v>2039</v>
      </c>
      <c r="M45" s="3" t="str">
        <f>HYPERLINK(склад2въезд14[[#This Row],[RelativePath]])</f>
        <v>2 Пилорама поката\E33149364_7_20251120T165633Z.jpg</v>
      </c>
    </row>
    <row r="46" spans="1:13" x14ac:dyDescent="0.25">
      <c r="A46" s="2" t="s">
        <v>17</v>
      </c>
      <c r="B46" s="4">
        <v>45982</v>
      </c>
      <c r="C46" s="5">
        <v>0.73827546296296298</v>
      </c>
      <c r="D46" t="s">
        <v>2004</v>
      </c>
      <c r="I46" t="s">
        <v>2040</v>
      </c>
      <c r="J46" t="s">
        <v>2989</v>
      </c>
      <c r="K46" t="s">
        <v>2041</v>
      </c>
      <c r="L46" t="s">
        <v>2042</v>
      </c>
      <c r="M46" s="3" t="str">
        <f>HYPERLINK(склад2въезд14[[#This Row],[RelativePath]])</f>
        <v>2 Пилорама поката\E33149364_7_20251121T174307Z.jpg</v>
      </c>
    </row>
    <row r="47" spans="1:13" x14ac:dyDescent="0.25">
      <c r="A47" s="2" t="s">
        <v>18</v>
      </c>
      <c r="B47" s="4">
        <v>45983</v>
      </c>
      <c r="C47" s="5">
        <v>0.73099537037037032</v>
      </c>
      <c r="D47" t="s">
        <v>2004</v>
      </c>
      <c r="I47" t="s">
        <v>2043</v>
      </c>
      <c r="J47" t="s">
        <v>2989</v>
      </c>
      <c r="K47" t="s">
        <v>2044</v>
      </c>
      <c r="L47" t="s">
        <v>2045</v>
      </c>
      <c r="M47" s="3" t="str">
        <f>HYPERLINK(склад2въезд14[[#This Row],[RelativePath]])</f>
        <v>2 Пилорама поката\E33149364_7_20251122T173238Z.jpg</v>
      </c>
    </row>
    <row r="48" spans="1:13" x14ac:dyDescent="0.25">
      <c r="A48" s="2" t="s">
        <v>22</v>
      </c>
      <c r="B48" s="4">
        <v>45984</v>
      </c>
      <c r="C48" s="5">
        <v>0.72163194444444445</v>
      </c>
      <c r="D48" t="s">
        <v>2004</v>
      </c>
      <c r="I48" t="s">
        <v>2046</v>
      </c>
      <c r="J48" t="s">
        <v>2989</v>
      </c>
      <c r="K48" t="s">
        <v>2047</v>
      </c>
      <c r="L48" t="s">
        <v>2048</v>
      </c>
      <c r="M48" s="3" t="str">
        <f>HYPERLINK(склад2въезд14[[#This Row],[RelativePath]])</f>
        <v>2 Пилорама поката\E33149364_7_20251123T171909Z.jpg</v>
      </c>
    </row>
    <row r="49" spans="1:13" x14ac:dyDescent="0.25">
      <c r="A49" s="2" t="s">
        <v>13</v>
      </c>
      <c r="B49" s="4">
        <v>45985</v>
      </c>
      <c r="C49" s="5">
        <v>0.61034722222222226</v>
      </c>
      <c r="D49" t="s">
        <v>289</v>
      </c>
      <c r="E49" t="s">
        <v>86</v>
      </c>
      <c r="F49" t="s">
        <v>3071</v>
      </c>
      <c r="H49" t="s">
        <v>3072</v>
      </c>
      <c r="I49" t="s">
        <v>3020</v>
      </c>
      <c r="J49" t="s">
        <v>2989</v>
      </c>
      <c r="K49" t="s">
        <v>3021</v>
      </c>
      <c r="L49" t="s">
        <v>3022</v>
      </c>
      <c r="M49" s="3" t="str">
        <f>HYPERLINK(склад2въезд14[[#This Row],[RelativePath]])</f>
        <v>2 Пилорама поката\E33149364_7_20251124T143854Z.jpg</v>
      </c>
    </row>
    <row r="50" spans="1:13" x14ac:dyDescent="0.25">
      <c r="A50" s="2" t="s">
        <v>13</v>
      </c>
      <c r="B50" s="4">
        <v>45985</v>
      </c>
      <c r="C50" s="5">
        <v>0.61153935185185182</v>
      </c>
      <c r="D50" t="s">
        <v>3073</v>
      </c>
      <c r="E50" t="s">
        <v>86</v>
      </c>
      <c r="F50" t="s">
        <v>3071</v>
      </c>
      <c r="H50" t="s">
        <v>3074</v>
      </c>
      <c r="I50" t="s">
        <v>3023</v>
      </c>
      <c r="J50" t="s">
        <v>2989</v>
      </c>
      <c r="K50" t="s">
        <v>3024</v>
      </c>
      <c r="L50" t="s">
        <v>3025</v>
      </c>
      <c r="M50" s="3" t="str">
        <f>HYPERLINK(склад2въезд14[[#This Row],[RelativePath]])</f>
        <v>2 Пилорама поката\E33149364_7_20251124T144037Z.jpg</v>
      </c>
    </row>
    <row r="51" spans="1:13" x14ac:dyDescent="0.25">
      <c r="A51" s="2" t="s">
        <v>13</v>
      </c>
      <c r="B51" s="4">
        <v>45985</v>
      </c>
      <c r="C51" s="5">
        <v>0.61314814814814811</v>
      </c>
      <c r="D51" t="s">
        <v>289</v>
      </c>
      <c r="E51" t="s">
        <v>86</v>
      </c>
      <c r="F51" t="s">
        <v>3071</v>
      </c>
      <c r="H51" t="s">
        <v>3072</v>
      </c>
      <c r="I51" t="s">
        <v>3026</v>
      </c>
      <c r="J51" t="s">
        <v>2989</v>
      </c>
      <c r="K51" t="s">
        <v>3027</v>
      </c>
      <c r="L51" t="s">
        <v>3028</v>
      </c>
      <c r="M51" s="3" t="str">
        <f>HYPERLINK(склад2въезд14[[#This Row],[RelativePath]])</f>
        <v>2 Пилорама поката\E33149364_7_20251124T144256Z.jpg</v>
      </c>
    </row>
    <row r="52" spans="1:13" x14ac:dyDescent="0.25">
      <c r="A52" s="2" t="s">
        <v>13</v>
      </c>
      <c r="B52" s="4">
        <v>45985</v>
      </c>
      <c r="C52" s="5">
        <v>0.61351851851851846</v>
      </c>
      <c r="D52" t="s">
        <v>3073</v>
      </c>
      <c r="E52" t="s">
        <v>86</v>
      </c>
      <c r="F52" t="s">
        <v>3071</v>
      </c>
      <c r="H52" t="s">
        <v>3074</v>
      </c>
      <c r="I52" t="s">
        <v>3029</v>
      </c>
      <c r="J52" t="s">
        <v>2989</v>
      </c>
      <c r="K52" t="s">
        <v>3030</v>
      </c>
      <c r="L52" t="s">
        <v>3031</v>
      </c>
      <c r="M52" s="3" t="str">
        <f>HYPERLINK(склад2въезд14[[#This Row],[RelativePath]])</f>
        <v>2 Пилорама поката\E33149364_7_20251124T144328Z.jpg</v>
      </c>
    </row>
    <row r="53" spans="1:13" x14ac:dyDescent="0.25">
      <c r="A53" s="2" t="s">
        <v>13</v>
      </c>
      <c r="B53" s="4">
        <v>45985</v>
      </c>
      <c r="C53" s="5">
        <v>0.70601851851851849</v>
      </c>
      <c r="D53" t="s">
        <v>158</v>
      </c>
      <c r="E53" t="s">
        <v>86</v>
      </c>
      <c r="F53" t="s">
        <v>60</v>
      </c>
      <c r="G53">
        <v>4</v>
      </c>
      <c r="H53" t="s">
        <v>3075</v>
      </c>
      <c r="I53" t="s">
        <v>3032</v>
      </c>
      <c r="J53" t="s">
        <v>2989</v>
      </c>
      <c r="K53" t="s">
        <v>3033</v>
      </c>
      <c r="L53" t="s">
        <v>3034</v>
      </c>
      <c r="M53" s="3" t="str">
        <f>HYPERLINK(склад2въезд14[[#This Row],[RelativePath]])</f>
        <v>2 Пилорама поката\E33149364_7_20251124T165640Z.jpg</v>
      </c>
    </row>
    <row r="54" spans="1:13" x14ac:dyDescent="0.25">
      <c r="A54" s="2" t="s">
        <v>14</v>
      </c>
      <c r="B54" s="4">
        <v>45986</v>
      </c>
      <c r="C54" s="5">
        <v>0.43487268518518518</v>
      </c>
      <c r="D54" t="s">
        <v>289</v>
      </c>
      <c r="E54" t="s">
        <v>86</v>
      </c>
      <c r="F54" t="s">
        <v>3071</v>
      </c>
      <c r="H54" t="s">
        <v>3072</v>
      </c>
      <c r="I54" t="s">
        <v>3035</v>
      </c>
      <c r="J54" t="s">
        <v>2989</v>
      </c>
      <c r="K54" t="s">
        <v>3036</v>
      </c>
      <c r="L54" t="s">
        <v>3037</v>
      </c>
      <c r="M54" s="3" t="str">
        <f>HYPERLINK(склад2въезд14[[#This Row],[RelativePath]])</f>
        <v>2 Пилорама поката\E33149364_7_20251125T102613Z.jpg</v>
      </c>
    </row>
    <row r="55" spans="1:13" x14ac:dyDescent="0.25">
      <c r="A55" s="2" t="s">
        <v>14</v>
      </c>
      <c r="B55" s="4">
        <v>45986</v>
      </c>
      <c r="C55" s="5">
        <v>0.43512731481481481</v>
      </c>
      <c r="D55" t="s">
        <v>3073</v>
      </c>
      <c r="E55" t="s">
        <v>86</v>
      </c>
      <c r="F55" t="s">
        <v>3071</v>
      </c>
      <c r="H55" t="s">
        <v>3074</v>
      </c>
      <c r="I55" t="s">
        <v>3038</v>
      </c>
      <c r="J55" t="s">
        <v>2989</v>
      </c>
      <c r="K55" t="s">
        <v>3039</v>
      </c>
      <c r="L55" t="s">
        <v>3040</v>
      </c>
      <c r="M55" s="3" t="str">
        <f>HYPERLINK(склад2въезд14[[#This Row],[RelativePath]])</f>
        <v>2 Пилорама поката\E33149364_7_20251125T102635Z.jpg</v>
      </c>
    </row>
    <row r="56" spans="1:13" x14ac:dyDescent="0.25">
      <c r="A56" s="2" t="s">
        <v>14</v>
      </c>
      <c r="B56" s="4">
        <v>45986</v>
      </c>
      <c r="C56" s="5">
        <v>0.44564814814814813</v>
      </c>
      <c r="D56" t="s">
        <v>289</v>
      </c>
      <c r="E56" t="s">
        <v>86</v>
      </c>
      <c r="F56" t="s">
        <v>3071</v>
      </c>
      <c r="H56" t="s">
        <v>3072</v>
      </c>
      <c r="I56" t="s">
        <v>3041</v>
      </c>
      <c r="J56" t="s">
        <v>2989</v>
      </c>
      <c r="K56" t="s">
        <v>3042</v>
      </c>
      <c r="L56" t="s">
        <v>3043</v>
      </c>
      <c r="M56" s="3" t="str">
        <f>HYPERLINK(склад2въезд14[[#This Row],[RelativePath]])</f>
        <v>2 Пилорама поката\E33149364_7_20251125T104144Z.jpg</v>
      </c>
    </row>
    <row r="57" spans="1:13" x14ac:dyDescent="0.25">
      <c r="A57" s="2" t="s">
        <v>14</v>
      </c>
      <c r="B57" s="4">
        <v>45986</v>
      </c>
      <c r="C57" s="5">
        <v>0.44611111111111112</v>
      </c>
      <c r="D57" t="s">
        <v>3073</v>
      </c>
      <c r="E57" t="s">
        <v>86</v>
      </c>
      <c r="F57" t="s">
        <v>3071</v>
      </c>
      <c r="H57" t="s">
        <v>3074</v>
      </c>
      <c r="I57" t="s">
        <v>3044</v>
      </c>
      <c r="J57" t="s">
        <v>2989</v>
      </c>
      <c r="K57" t="s">
        <v>3045</v>
      </c>
      <c r="L57" t="s">
        <v>3046</v>
      </c>
      <c r="M57" s="3" t="str">
        <f>HYPERLINK(склад2въезд14[[#This Row],[RelativePath]])</f>
        <v>2 Пилорама поката\E33149364_7_20251125T104224Z.jpg</v>
      </c>
    </row>
    <row r="58" spans="1:13" x14ac:dyDescent="0.25">
      <c r="A58" s="2" t="s">
        <v>14</v>
      </c>
      <c r="B58" s="4">
        <v>45986</v>
      </c>
      <c r="C58" s="5">
        <v>0.45468750000000002</v>
      </c>
      <c r="D58" t="s">
        <v>289</v>
      </c>
      <c r="E58" t="s">
        <v>86</v>
      </c>
      <c r="F58" t="s">
        <v>3071</v>
      </c>
      <c r="H58" t="s">
        <v>3072</v>
      </c>
      <c r="I58" t="s">
        <v>3047</v>
      </c>
      <c r="J58" t="s">
        <v>2989</v>
      </c>
      <c r="K58" t="s">
        <v>3048</v>
      </c>
      <c r="L58" t="s">
        <v>3049</v>
      </c>
      <c r="M58" s="3" t="str">
        <f>HYPERLINK(склад2въезд14[[#This Row],[RelativePath]])</f>
        <v>2 Пилорама поката\E33149364_7_20251125T105445Z.jpg</v>
      </c>
    </row>
    <row r="59" spans="1:13" x14ac:dyDescent="0.25">
      <c r="A59" s="2" t="s">
        <v>14</v>
      </c>
      <c r="B59" s="4">
        <v>45986</v>
      </c>
      <c r="C59" s="5">
        <v>0.45495370370370369</v>
      </c>
      <c r="D59" t="s">
        <v>3073</v>
      </c>
      <c r="E59" t="s">
        <v>86</v>
      </c>
      <c r="F59" t="s">
        <v>3071</v>
      </c>
      <c r="H59" t="s">
        <v>3074</v>
      </c>
      <c r="I59" t="s">
        <v>3050</v>
      </c>
      <c r="J59" t="s">
        <v>2989</v>
      </c>
      <c r="K59" t="s">
        <v>3051</v>
      </c>
      <c r="L59" t="s">
        <v>3052</v>
      </c>
      <c r="M59" s="3" t="str">
        <f>HYPERLINK(склад2въезд14[[#This Row],[RelativePath]])</f>
        <v>2 Пилорама поката\E33149364_7_20251125T105508Z.jpg</v>
      </c>
    </row>
    <row r="60" spans="1:13" x14ac:dyDescent="0.25">
      <c r="A60" s="2" t="s">
        <v>14</v>
      </c>
      <c r="B60" s="4">
        <v>45986</v>
      </c>
      <c r="C60" s="5">
        <v>0.51313657407407409</v>
      </c>
      <c r="D60" t="s">
        <v>289</v>
      </c>
      <c r="E60" t="s">
        <v>86</v>
      </c>
      <c r="F60" t="s">
        <v>3076</v>
      </c>
      <c r="G60">
        <v>1</v>
      </c>
      <c r="I60" t="s">
        <v>3053</v>
      </c>
      <c r="J60" t="s">
        <v>2989</v>
      </c>
      <c r="K60" t="s">
        <v>3054</v>
      </c>
      <c r="L60" t="s">
        <v>3055</v>
      </c>
      <c r="M60" s="3" t="str">
        <f>HYPERLINK(склад2въезд14[[#This Row],[RelativePath]])</f>
        <v>2 Пилорама поката\E33149364_7_20251125T121855Z.jpg</v>
      </c>
    </row>
    <row r="61" spans="1:13" x14ac:dyDescent="0.25">
      <c r="A61" s="2" t="s">
        <v>14</v>
      </c>
      <c r="B61" s="4">
        <v>45986</v>
      </c>
      <c r="C61" s="5">
        <v>0.51368055555555558</v>
      </c>
      <c r="D61" t="s">
        <v>3073</v>
      </c>
      <c r="E61" t="s">
        <v>86</v>
      </c>
      <c r="F61" t="s">
        <v>3076</v>
      </c>
      <c r="G61">
        <v>1</v>
      </c>
      <c r="H61" t="s">
        <v>3077</v>
      </c>
      <c r="I61" t="s">
        <v>3056</v>
      </c>
      <c r="J61" t="s">
        <v>2989</v>
      </c>
      <c r="K61" t="s">
        <v>3057</v>
      </c>
      <c r="L61" t="s">
        <v>3058</v>
      </c>
      <c r="M61" s="3" t="str">
        <f>HYPERLINK(склад2въезд14[[#This Row],[RelativePath]])</f>
        <v>2 Пилорама поката\E33149364_7_20251125T121942Z.jpg</v>
      </c>
    </row>
    <row r="62" spans="1:13" x14ac:dyDescent="0.25">
      <c r="A62" s="2" t="s">
        <v>14</v>
      </c>
      <c r="B62" s="4">
        <v>45986</v>
      </c>
      <c r="C62" s="5">
        <v>0.51457175925925924</v>
      </c>
      <c r="D62" t="s">
        <v>289</v>
      </c>
      <c r="E62" t="s">
        <v>86</v>
      </c>
      <c r="F62" t="s">
        <v>3076</v>
      </c>
      <c r="G62">
        <v>1</v>
      </c>
      <c r="I62" t="s">
        <v>3059</v>
      </c>
      <c r="J62" t="s">
        <v>2989</v>
      </c>
      <c r="K62" t="s">
        <v>3060</v>
      </c>
      <c r="L62" t="s">
        <v>3061</v>
      </c>
      <c r="M62" s="3" t="str">
        <f>HYPERLINK(склад2въезд14[[#This Row],[RelativePath]])</f>
        <v>2 Пилорама поката\E33149364_7_20251125T122059Z.jpg</v>
      </c>
    </row>
    <row r="63" spans="1:13" x14ac:dyDescent="0.25">
      <c r="A63" s="2" t="s">
        <v>14</v>
      </c>
      <c r="B63" s="4">
        <v>45986</v>
      </c>
      <c r="C63" s="5">
        <v>0.51493055555555556</v>
      </c>
      <c r="D63" t="s">
        <v>3073</v>
      </c>
      <c r="E63" t="s">
        <v>86</v>
      </c>
      <c r="F63" t="s">
        <v>3076</v>
      </c>
      <c r="G63">
        <v>1</v>
      </c>
      <c r="H63" t="s">
        <v>3077</v>
      </c>
      <c r="I63" t="s">
        <v>3062</v>
      </c>
      <c r="J63" t="s">
        <v>2989</v>
      </c>
      <c r="K63" t="s">
        <v>3063</v>
      </c>
      <c r="L63" t="s">
        <v>3064</v>
      </c>
      <c r="M63" s="3" t="str">
        <f>HYPERLINK(склад2въезд14[[#This Row],[RelativePath]])</f>
        <v>2 Пилорама поката\E33149364_7_20251125T122130Z.jpg</v>
      </c>
    </row>
    <row r="64" spans="1:13" x14ac:dyDescent="0.25">
      <c r="A64" s="2" t="s">
        <v>14</v>
      </c>
      <c r="B64" s="4">
        <v>45986</v>
      </c>
      <c r="C64" s="5">
        <v>0.52054398148148151</v>
      </c>
      <c r="D64" t="s">
        <v>158</v>
      </c>
      <c r="E64" t="s">
        <v>86</v>
      </c>
      <c r="F64" t="s">
        <v>60</v>
      </c>
      <c r="G64">
        <v>1</v>
      </c>
      <c r="H64" t="s">
        <v>3075</v>
      </c>
      <c r="I64" t="s">
        <v>3065</v>
      </c>
      <c r="J64" t="s">
        <v>2989</v>
      </c>
      <c r="K64" t="s">
        <v>3066</v>
      </c>
      <c r="L64" t="s">
        <v>3067</v>
      </c>
      <c r="M64" s="3" t="str">
        <f>HYPERLINK(склад2въезд14[[#This Row],[RelativePath]])</f>
        <v>2 Пилорама поката\E33149364_7_20251125T122935Z.jpg</v>
      </c>
    </row>
    <row r="65" spans="1:13" x14ac:dyDescent="0.25">
      <c r="A65" s="2" t="s">
        <v>14</v>
      </c>
      <c r="B65" s="4">
        <v>45986</v>
      </c>
      <c r="C65" s="5">
        <v>0.68429398148148146</v>
      </c>
      <c r="D65" t="s">
        <v>4</v>
      </c>
      <c r="E65" t="s">
        <v>8</v>
      </c>
      <c r="H65" t="s">
        <v>3078</v>
      </c>
      <c r="I65" t="s">
        <v>3068</v>
      </c>
      <c r="J65" t="s">
        <v>2989</v>
      </c>
      <c r="K65" t="s">
        <v>3069</v>
      </c>
      <c r="L65" t="s">
        <v>3070</v>
      </c>
      <c r="M65" s="3" t="str">
        <f>HYPERLINK(склад2въезд14[[#This Row],[RelativePath]])</f>
        <v>2 Пилорама поката\E33149364_7_20251125T162523Z.jpg</v>
      </c>
    </row>
    <row r="66" spans="1:13" x14ac:dyDescent="0.25">
      <c r="A66" s="2" t="s">
        <v>15</v>
      </c>
      <c r="B66" s="4">
        <v>45987</v>
      </c>
      <c r="C66" s="5">
        <v>0.43495370370370373</v>
      </c>
      <c r="D66" t="s">
        <v>4198</v>
      </c>
      <c r="E66" t="s">
        <v>4192</v>
      </c>
      <c r="F66" t="s">
        <v>51</v>
      </c>
      <c r="I66" t="s">
        <v>3261</v>
      </c>
      <c r="J66" t="s">
        <v>2989</v>
      </c>
      <c r="K66" t="s">
        <v>3262</v>
      </c>
      <c r="L66" t="s">
        <v>3263</v>
      </c>
      <c r="M66" s="3" t="str">
        <f>HYPERLINK(склад2въезд14[[#This Row],[RelativePath]])</f>
        <v>2 Пилорама поката\E33149364_7_20251126T102620Z.jpg</v>
      </c>
    </row>
    <row r="67" spans="1:13" x14ac:dyDescent="0.25">
      <c r="A67" s="2" t="s">
        <v>15</v>
      </c>
      <c r="B67" s="4">
        <v>45987</v>
      </c>
      <c r="C67" s="5">
        <v>0.45113425925925926</v>
      </c>
      <c r="D67" t="s">
        <v>4199</v>
      </c>
      <c r="E67" t="s">
        <v>4200</v>
      </c>
      <c r="H67" t="s">
        <v>3075</v>
      </c>
      <c r="I67" t="s">
        <v>3264</v>
      </c>
      <c r="J67" t="s">
        <v>2989</v>
      </c>
      <c r="K67" t="s">
        <v>3265</v>
      </c>
      <c r="L67" t="s">
        <v>3266</v>
      </c>
      <c r="M67" s="3" t="str">
        <f>HYPERLINK(склад2въезд14[[#This Row],[RelativePath]])</f>
        <v>2 Пилорама поката\E33149364_7_20251126T104938Z.jpg</v>
      </c>
    </row>
    <row r="68" spans="1:13" x14ac:dyDescent="0.25">
      <c r="A68" s="2" t="s">
        <v>15</v>
      </c>
      <c r="B68" s="4">
        <v>45987</v>
      </c>
      <c r="C68" s="5">
        <v>0.49391203703703701</v>
      </c>
      <c r="D68" t="s">
        <v>4199</v>
      </c>
      <c r="E68" t="s">
        <v>4200</v>
      </c>
      <c r="H68" t="s">
        <v>2936</v>
      </c>
      <c r="I68" t="s">
        <v>3267</v>
      </c>
      <c r="J68" t="s">
        <v>2989</v>
      </c>
      <c r="K68" t="s">
        <v>3268</v>
      </c>
      <c r="L68" t="s">
        <v>3269</v>
      </c>
      <c r="M68" s="3" t="str">
        <f>HYPERLINK(склад2въезд14[[#This Row],[RelativePath]])</f>
        <v>2 Пилорама поката\E33149364_7_20251126T115114Z.jpg</v>
      </c>
    </row>
    <row r="69" spans="1:13" x14ac:dyDescent="0.25">
      <c r="A69" s="2" t="s">
        <v>15</v>
      </c>
      <c r="B69" s="4">
        <v>45987</v>
      </c>
      <c r="C69" s="5">
        <v>0.60818287037037033</v>
      </c>
      <c r="D69" t="s">
        <v>4199</v>
      </c>
      <c r="E69" t="s">
        <v>4200</v>
      </c>
      <c r="H69" t="s">
        <v>2936</v>
      </c>
      <c r="I69" t="s">
        <v>3270</v>
      </c>
      <c r="J69" t="s">
        <v>2989</v>
      </c>
      <c r="K69" t="s">
        <v>3271</v>
      </c>
      <c r="L69" t="s">
        <v>3272</v>
      </c>
      <c r="M69" s="3" t="str">
        <f>HYPERLINK(склад2въезд14[[#This Row],[RelativePath]])</f>
        <v>2 Пилорама поката\E33149364_7_20251126T143547Z.jpg</v>
      </c>
    </row>
    <row r="70" spans="1:13" x14ac:dyDescent="0.25">
      <c r="A70" s="2" t="s">
        <v>15</v>
      </c>
      <c r="B70" s="4">
        <v>45987</v>
      </c>
      <c r="C70" s="5">
        <v>0.60833333333333328</v>
      </c>
      <c r="D70" t="s">
        <v>4199</v>
      </c>
      <c r="E70" t="s">
        <v>4200</v>
      </c>
      <c r="H70" t="s">
        <v>2936</v>
      </c>
      <c r="I70" t="s">
        <v>3273</v>
      </c>
      <c r="J70" t="s">
        <v>2989</v>
      </c>
      <c r="K70" t="s">
        <v>3274</v>
      </c>
      <c r="L70" t="s">
        <v>3275</v>
      </c>
      <c r="M70" s="3" t="str">
        <f>HYPERLINK(склад2въезд14[[#This Row],[RelativePath]])</f>
        <v>2 Пилорама поката\E33149364_7_20251126T143600Z.jpg</v>
      </c>
    </row>
    <row r="71" spans="1:13" x14ac:dyDescent="0.25">
      <c r="A71" s="2" t="s">
        <v>15</v>
      </c>
      <c r="B71" s="4">
        <v>45987</v>
      </c>
      <c r="C71" s="5">
        <v>0.62814814814814812</v>
      </c>
      <c r="D71" t="s">
        <v>4199</v>
      </c>
      <c r="E71" t="s">
        <v>4200</v>
      </c>
      <c r="H71" t="s">
        <v>2936</v>
      </c>
      <c r="I71" t="s">
        <v>3276</v>
      </c>
      <c r="J71" t="s">
        <v>2989</v>
      </c>
      <c r="K71" t="s">
        <v>3277</v>
      </c>
      <c r="L71" t="s">
        <v>3278</v>
      </c>
      <c r="M71" s="3" t="str">
        <f>HYPERLINK(склад2въезд14[[#This Row],[RelativePath]])</f>
        <v>2 Пилорама поката\E33149364_7_20251126T150432Z.jpg</v>
      </c>
    </row>
    <row r="72" spans="1:13" x14ac:dyDescent="0.25">
      <c r="A72" s="2" t="s">
        <v>15</v>
      </c>
      <c r="B72" s="4">
        <v>45987</v>
      </c>
      <c r="C72" s="5">
        <v>0.6676157407407407</v>
      </c>
      <c r="D72" t="s">
        <v>4199</v>
      </c>
      <c r="E72" t="s">
        <v>4200</v>
      </c>
      <c r="H72" t="s">
        <v>2936</v>
      </c>
      <c r="I72" t="s">
        <v>3279</v>
      </c>
      <c r="J72" t="s">
        <v>2989</v>
      </c>
      <c r="K72" t="s">
        <v>3280</v>
      </c>
      <c r="L72" t="s">
        <v>3281</v>
      </c>
      <c r="M72" s="3" t="str">
        <f>HYPERLINK(склад2въезд14[[#This Row],[RelativePath]])</f>
        <v>2 Пилорама поката\E33149364_7_20251126T160122Z.jpg</v>
      </c>
    </row>
    <row r="73" spans="1:13" x14ac:dyDescent="0.25">
      <c r="A73" s="2" t="s">
        <v>15</v>
      </c>
      <c r="B73" s="4">
        <v>45987</v>
      </c>
      <c r="C73" s="5">
        <v>0.70072916666666663</v>
      </c>
      <c r="D73" t="s">
        <v>4199</v>
      </c>
      <c r="E73" t="s">
        <v>4200</v>
      </c>
      <c r="H73" t="s">
        <v>2936</v>
      </c>
      <c r="I73" t="s">
        <v>3282</v>
      </c>
      <c r="J73" t="s">
        <v>2989</v>
      </c>
      <c r="K73" t="s">
        <v>3283</v>
      </c>
      <c r="L73" t="s">
        <v>3284</v>
      </c>
      <c r="M73" s="3" t="str">
        <f>HYPERLINK(склад2въезд14[[#This Row],[RelativePath]])</f>
        <v>2 Пилорама поката\E33149364_7_20251126T164903Z.jpg</v>
      </c>
    </row>
    <row r="74" spans="1:13" x14ac:dyDescent="0.25">
      <c r="A74" s="2" t="s">
        <v>16</v>
      </c>
      <c r="B74" s="4">
        <v>45988</v>
      </c>
      <c r="C74" s="5">
        <v>0.39187499999999997</v>
      </c>
      <c r="D74" t="s">
        <v>4199</v>
      </c>
      <c r="E74" t="s">
        <v>4200</v>
      </c>
      <c r="H74" t="s">
        <v>2936</v>
      </c>
      <c r="I74" t="s">
        <v>3285</v>
      </c>
      <c r="J74" t="s">
        <v>2989</v>
      </c>
      <c r="K74" t="s">
        <v>3286</v>
      </c>
      <c r="L74" t="s">
        <v>3287</v>
      </c>
      <c r="M74" s="3" t="str">
        <f>HYPERLINK(склад2въезд14[[#This Row],[RelativePath]])</f>
        <v>2 Пилорама поката\E33149364_7_20251127T092418Z.jpg</v>
      </c>
    </row>
    <row r="75" spans="1:13" x14ac:dyDescent="0.25">
      <c r="A75" s="2" t="s">
        <v>16</v>
      </c>
      <c r="B75" s="4">
        <v>45988</v>
      </c>
      <c r="C75" s="5">
        <v>0.44978009259259261</v>
      </c>
      <c r="D75" t="s">
        <v>4199</v>
      </c>
      <c r="E75" t="s">
        <v>4200</v>
      </c>
      <c r="H75" t="s">
        <v>2936</v>
      </c>
      <c r="I75" t="s">
        <v>3288</v>
      </c>
      <c r="J75" t="s">
        <v>2989</v>
      </c>
      <c r="K75" t="s">
        <v>3289</v>
      </c>
      <c r="L75" t="s">
        <v>3290</v>
      </c>
      <c r="M75" s="3" t="str">
        <f>HYPERLINK(склад2въезд14[[#This Row],[RelativePath]])</f>
        <v>2 Пилорама поката\E33149364_7_20251127T104741Z.jpg</v>
      </c>
    </row>
    <row r="76" spans="1:13" x14ac:dyDescent="0.25">
      <c r="A76" s="2" t="s">
        <v>16</v>
      </c>
      <c r="B76" s="4">
        <v>45988</v>
      </c>
      <c r="C76" s="5">
        <v>0.61861111111111111</v>
      </c>
      <c r="D76" t="s">
        <v>4199</v>
      </c>
      <c r="E76" t="s">
        <v>4200</v>
      </c>
      <c r="H76" t="s">
        <v>2936</v>
      </c>
      <c r="I76" t="s">
        <v>3291</v>
      </c>
      <c r="J76" t="s">
        <v>2989</v>
      </c>
      <c r="K76" t="s">
        <v>3292</v>
      </c>
      <c r="L76" t="s">
        <v>3293</v>
      </c>
      <c r="M76" s="3" t="str">
        <f>HYPERLINK(склад2въезд14[[#This Row],[RelativePath]])</f>
        <v>2 Пилорама поката\E33149364_7_20251127T145048Z.jpg</v>
      </c>
    </row>
    <row r="77" spans="1:13" x14ac:dyDescent="0.25">
      <c r="A77" s="2" t="s">
        <v>16</v>
      </c>
      <c r="B77" s="4">
        <v>45988</v>
      </c>
      <c r="C77" s="5">
        <v>0.64340277777777777</v>
      </c>
      <c r="D77" t="s">
        <v>4199</v>
      </c>
      <c r="E77" t="s">
        <v>4200</v>
      </c>
      <c r="H77" t="s">
        <v>2936</v>
      </c>
      <c r="I77" t="s">
        <v>3294</v>
      </c>
      <c r="J77" t="s">
        <v>2989</v>
      </c>
      <c r="K77" t="s">
        <v>3295</v>
      </c>
      <c r="L77" t="s">
        <v>3296</v>
      </c>
      <c r="M77" s="3" t="str">
        <f>HYPERLINK(склад2въезд14[[#This Row],[RelativePath]])</f>
        <v>2 Пилорама поката\E33149364_7_20251127T152630Z.jpg</v>
      </c>
    </row>
    <row r="78" spans="1:13" x14ac:dyDescent="0.25">
      <c r="A78" s="2" t="s">
        <v>16</v>
      </c>
      <c r="B78" s="4">
        <v>45988</v>
      </c>
      <c r="C78" s="5">
        <v>0.68502314814814813</v>
      </c>
      <c r="D78" t="s">
        <v>289</v>
      </c>
      <c r="E78" t="s">
        <v>86</v>
      </c>
      <c r="F78" t="s">
        <v>3071</v>
      </c>
      <c r="H78" t="s">
        <v>3072</v>
      </c>
      <c r="I78" t="s">
        <v>3297</v>
      </c>
      <c r="J78" t="s">
        <v>2989</v>
      </c>
      <c r="K78" t="s">
        <v>3298</v>
      </c>
      <c r="L78" t="s">
        <v>3299</v>
      </c>
      <c r="M78" s="3" t="str">
        <f>HYPERLINK(склад2въезд14[[#This Row],[RelativePath]])</f>
        <v>2 Пилорама поката\E33149364_7_20251127T162626Z.jpg</v>
      </c>
    </row>
    <row r="79" spans="1:13" x14ac:dyDescent="0.25">
      <c r="A79" s="2" t="s">
        <v>16</v>
      </c>
      <c r="B79" s="4">
        <v>45988</v>
      </c>
      <c r="C79" s="5">
        <v>0.68557870370370366</v>
      </c>
      <c r="D79" t="s">
        <v>3073</v>
      </c>
      <c r="E79" t="s">
        <v>86</v>
      </c>
      <c r="F79" t="s">
        <v>3071</v>
      </c>
      <c r="H79" t="s">
        <v>3074</v>
      </c>
      <c r="I79" t="s">
        <v>3300</v>
      </c>
      <c r="J79" t="s">
        <v>2989</v>
      </c>
      <c r="K79" t="s">
        <v>3301</v>
      </c>
      <c r="L79" t="s">
        <v>3302</v>
      </c>
      <c r="M79" s="3" t="str">
        <f>HYPERLINK(склад2въезд14[[#This Row],[RelativePath]])</f>
        <v>2 Пилорама поката\E33149364_7_20251127T162714Z.jpg</v>
      </c>
    </row>
    <row r="80" spans="1:13" x14ac:dyDescent="0.25">
      <c r="A80" s="2" t="s">
        <v>17</v>
      </c>
      <c r="B80" s="4">
        <v>45989</v>
      </c>
      <c r="C80" s="5">
        <v>0.39405092592592594</v>
      </c>
      <c r="D80" t="s">
        <v>289</v>
      </c>
      <c r="E80" t="s">
        <v>86</v>
      </c>
      <c r="F80" t="s">
        <v>3071</v>
      </c>
      <c r="H80" t="s">
        <v>3072</v>
      </c>
      <c r="I80" t="s">
        <v>3303</v>
      </c>
      <c r="J80" t="s">
        <v>2989</v>
      </c>
      <c r="K80" t="s">
        <v>3304</v>
      </c>
      <c r="L80" t="s">
        <v>3305</v>
      </c>
      <c r="M80" s="3" t="str">
        <f>HYPERLINK(склад2въезд14[[#This Row],[RelativePath]])</f>
        <v>2 Пилорама поката\E33149364_7_20251128T092726Z.jpg</v>
      </c>
    </row>
    <row r="81" spans="1:13" x14ac:dyDescent="0.25">
      <c r="A81" s="2" t="s">
        <v>17</v>
      </c>
      <c r="B81" s="4">
        <v>45989</v>
      </c>
      <c r="C81" s="5">
        <v>0.39444444444444443</v>
      </c>
      <c r="D81" t="s">
        <v>3073</v>
      </c>
      <c r="E81" t="s">
        <v>86</v>
      </c>
      <c r="F81" t="s">
        <v>3071</v>
      </c>
      <c r="H81" t="s">
        <v>3074</v>
      </c>
      <c r="I81" t="s">
        <v>3306</v>
      </c>
      <c r="J81" t="s">
        <v>2989</v>
      </c>
      <c r="K81" t="s">
        <v>3307</v>
      </c>
      <c r="L81" t="s">
        <v>3308</v>
      </c>
      <c r="M81" s="3" t="str">
        <f>HYPERLINK(склад2въезд14[[#This Row],[RelativePath]])</f>
        <v>2 Пилорама поката\E33149364_7_20251128T092800Z.jpg</v>
      </c>
    </row>
    <row r="82" spans="1:13" x14ac:dyDescent="0.25">
      <c r="A82" s="2" t="s">
        <v>17</v>
      </c>
      <c r="B82" s="4">
        <v>45989</v>
      </c>
      <c r="C82" s="5">
        <v>0.40479166666666666</v>
      </c>
      <c r="D82" t="s">
        <v>289</v>
      </c>
      <c r="E82" t="s">
        <v>86</v>
      </c>
      <c r="F82" t="s">
        <v>3071</v>
      </c>
      <c r="H82" t="s">
        <v>3072</v>
      </c>
      <c r="I82" t="s">
        <v>3309</v>
      </c>
      <c r="J82" t="s">
        <v>2989</v>
      </c>
      <c r="K82" t="s">
        <v>3310</v>
      </c>
      <c r="L82" t="s">
        <v>3311</v>
      </c>
      <c r="M82" s="3" t="str">
        <f>HYPERLINK(склад2въезд14[[#This Row],[RelativePath]])</f>
        <v>2 Пилорама поката\E33149364_7_20251128T094254Z.jpg</v>
      </c>
    </row>
    <row r="83" spans="1:13" x14ac:dyDescent="0.25">
      <c r="A83" s="2" t="s">
        <v>17</v>
      </c>
      <c r="B83" s="4">
        <v>45989</v>
      </c>
      <c r="C83" s="5">
        <v>0.40516203703703701</v>
      </c>
      <c r="D83" t="s">
        <v>3073</v>
      </c>
      <c r="E83" t="s">
        <v>86</v>
      </c>
      <c r="F83" t="s">
        <v>3071</v>
      </c>
      <c r="H83" t="s">
        <v>3074</v>
      </c>
      <c r="I83" t="s">
        <v>3312</v>
      </c>
      <c r="J83" t="s">
        <v>2989</v>
      </c>
      <c r="K83" t="s">
        <v>3313</v>
      </c>
      <c r="L83" t="s">
        <v>3314</v>
      </c>
      <c r="M83" s="3" t="str">
        <f>HYPERLINK(склад2въезд14[[#This Row],[RelativePath]])</f>
        <v>2 Пилорама поката\E33149364_7_20251128T094326Z.jpg</v>
      </c>
    </row>
    <row r="84" spans="1:13" x14ac:dyDescent="0.25">
      <c r="A84" s="2" t="s">
        <v>17</v>
      </c>
      <c r="B84" s="4">
        <v>45989</v>
      </c>
      <c r="C84" s="5">
        <v>0.41587962962962965</v>
      </c>
      <c r="D84" t="s">
        <v>289</v>
      </c>
      <c r="E84" t="s">
        <v>86</v>
      </c>
      <c r="F84" t="s">
        <v>3071</v>
      </c>
      <c r="H84" t="s">
        <v>3072</v>
      </c>
      <c r="I84" t="s">
        <v>3315</v>
      </c>
      <c r="J84" t="s">
        <v>2989</v>
      </c>
      <c r="K84" t="s">
        <v>3316</v>
      </c>
      <c r="L84" t="s">
        <v>3317</v>
      </c>
      <c r="M84" s="3" t="str">
        <f>HYPERLINK(склад2въезд14[[#This Row],[RelativePath]])</f>
        <v>2 Пилорама поката\E33149364_7_20251128T095852Z.jpg</v>
      </c>
    </row>
    <row r="85" spans="1:13" x14ac:dyDescent="0.25">
      <c r="A85" s="2" t="s">
        <v>17</v>
      </c>
      <c r="B85" s="4">
        <v>45989</v>
      </c>
      <c r="C85" s="5">
        <v>0.43194444444444446</v>
      </c>
      <c r="D85" t="s">
        <v>3073</v>
      </c>
      <c r="E85" t="s">
        <v>86</v>
      </c>
      <c r="F85" t="s">
        <v>3071</v>
      </c>
      <c r="H85" t="s">
        <v>3074</v>
      </c>
      <c r="I85" t="s">
        <v>3318</v>
      </c>
      <c r="J85" t="s">
        <v>2989</v>
      </c>
      <c r="K85" t="s">
        <v>3319</v>
      </c>
      <c r="L85" t="s">
        <v>3320</v>
      </c>
      <c r="M85" s="3" t="str">
        <f>HYPERLINK(склад2въезд14[[#This Row],[RelativePath]])</f>
        <v>2 Пилорама поката\E33149364_7_20251128T102200Z.jpg</v>
      </c>
    </row>
    <row r="86" spans="1:13" x14ac:dyDescent="0.25">
      <c r="A86" s="2" t="s">
        <v>17</v>
      </c>
      <c r="B86" s="4">
        <v>45989</v>
      </c>
      <c r="C86" s="5">
        <v>0.45557870370370368</v>
      </c>
      <c r="D86" t="s">
        <v>4202</v>
      </c>
      <c r="E86" t="s">
        <v>4193</v>
      </c>
      <c r="F86" t="s">
        <v>51</v>
      </c>
      <c r="I86" t="s">
        <v>3321</v>
      </c>
      <c r="J86" t="s">
        <v>2989</v>
      </c>
      <c r="K86" t="s">
        <v>3322</v>
      </c>
      <c r="L86" t="s">
        <v>3323</v>
      </c>
      <c r="M86" s="3" t="str">
        <f>HYPERLINK(склад2въезд14[[#This Row],[RelativePath]])</f>
        <v>2 Пилорама поката\E33149364_7_20251128T105602Z.jpg</v>
      </c>
    </row>
    <row r="87" spans="1:13" x14ac:dyDescent="0.25">
      <c r="A87" s="2" t="s">
        <v>17</v>
      </c>
      <c r="B87" s="4">
        <v>45989</v>
      </c>
      <c r="C87" s="5">
        <v>0.45584490740740741</v>
      </c>
      <c r="D87" t="s">
        <v>4202</v>
      </c>
      <c r="E87" t="s">
        <v>4193</v>
      </c>
      <c r="F87" t="s">
        <v>51</v>
      </c>
      <c r="H87" t="s">
        <v>2936</v>
      </c>
      <c r="I87" t="s">
        <v>3324</v>
      </c>
      <c r="J87" t="s">
        <v>2989</v>
      </c>
      <c r="K87" t="s">
        <v>3325</v>
      </c>
      <c r="L87" t="s">
        <v>3326</v>
      </c>
      <c r="M87" s="3" t="str">
        <f>HYPERLINK(склад2въезд14[[#This Row],[RelativePath]])</f>
        <v>2 Пилорама поката\E33149364_7_20251128T105625Z.jpg</v>
      </c>
    </row>
    <row r="88" spans="1:13" x14ac:dyDescent="0.25">
      <c r="A88" s="2" t="s">
        <v>17</v>
      </c>
      <c r="B88" s="4">
        <v>45989</v>
      </c>
      <c r="C88" s="5">
        <v>0.49850694444444443</v>
      </c>
      <c r="D88" t="s">
        <v>4202</v>
      </c>
      <c r="E88" t="s">
        <v>4193</v>
      </c>
      <c r="F88" t="s">
        <v>51</v>
      </c>
      <c r="H88" t="s">
        <v>2936</v>
      </c>
      <c r="I88" t="s">
        <v>3327</v>
      </c>
      <c r="J88" t="s">
        <v>2989</v>
      </c>
      <c r="K88" t="s">
        <v>3328</v>
      </c>
      <c r="L88" t="s">
        <v>3329</v>
      </c>
      <c r="M88" s="3" t="str">
        <f>HYPERLINK(склад2въезд14[[#This Row],[RelativePath]])</f>
        <v>2 Пилорама поката\E33149364_7_20251128T115751Z.jpg</v>
      </c>
    </row>
    <row r="89" spans="1:13" x14ac:dyDescent="0.25">
      <c r="A89" s="2" t="s">
        <v>17</v>
      </c>
      <c r="B89" s="4">
        <v>45989</v>
      </c>
      <c r="C89" s="5">
        <v>0.50651620370370365</v>
      </c>
      <c r="D89" t="s">
        <v>4201</v>
      </c>
      <c r="E89" t="s">
        <v>4193</v>
      </c>
      <c r="I89" t="s">
        <v>3330</v>
      </c>
      <c r="J89" t="s">
        <v>2989</v>
      </c>
      <c r="K89" t="s">
        <v>3331</v>
      </c>
      <c r="L89" t="s">
        <v>3332</v>
      </c>
      <c r="M89" s="3" t="str">
        <f>HYPERLINK(склад2въезд14[[#This Row],[RelativePath]])</f>
        <v>2 Пилорама поката\E33149364_7_20251128T120923Z.jpg</v>
      </c>
    </row>
    <row r="90" spans="1:13" x14ac:dyDescent="0.25">
      <c r="A90" s="2" t="s">
        <v>18</v>
      </c>
      <c r="B90" s="4">
        <v>45990</v>
      </c>
      <c r="C90" s="5">
        <v>0.7224652777777778</v>
      </c>
      <c r="D90" t="s">
        <v>4</v>
      </c>
      <c r="E90" t="s">
        <v>8</v>
      </c>
      <c r="H90" t="s">
        <v>3078</v>
      </c>
      <c r="I90" t="s">
        <v>3333</v>
      </c>
      <c r="J90" t="s">
        <v>2989</v>
      </c>
      <c r="K90" t="s">
        <v>3334</v>
      </c>
      <c r="L90" t="s">
        <v>3335</v>
      </c>
      <c r="M90" s="3" t="str">
        <f>HYPERLINK(склад2въезд14[[#This Row],[RelativePath]])</f>
        <v>2 Пилорама поката\E33149364_7_20251129T172021Z.jpg</v>
      </c>
    </row>
    <row r="91" spans="1:13" x14ac:dyDescent="0.25">
      <c r="A91" s="2" t="s">
        <v>22</v>
      </c>
      <c r="B91" s="4">
        <v>45991</v>
      </c>
      <c r="C91" s="5">
        <v>0.48660879629629628</v>
      </c>
      <c r="D91" t="s">
        <v>2004</v>
      </c>
      <c r="I91" t="s">
        <v>4258</v>
      </c>
      <c r="J91" t="s">
        <v>2989</v>
      </c>
      <c r="K91" t="s">
        <v>4259</v>
      </c>
      <c r="L91" t="s">
        <v>4260</v>
      </c>
      <c r="M91" s="3" t="str">
        <f>HYPERLINK(склад2въезд14[[#This Row],[RelativePath]])</f>
        <v>2 Пилорама поката\E33149364_7_20251130T114043Z.jpg</v>
      </c>
    </row>
    <row r="92" spans="1:13" x14ac:dyDescent="0.25">
      <c r="A92" s="2" t="s">
        <v>13</v>
      </c>
      <c r="B92" s="4">
        <v>45992</v>
      </c>
      <c r="C92" s="5">
        <v>0.40438657407407408</v>
      </c>
      <c r="D92" t="s">
        <v>5078</v>
      </c>
      <c r="E92" t="s">
        <v>1607</v>
      </c>
      <c r="F92" t="s">
        <v>5079</v>
      </c>
      <c r="H92" t="s">
        <v>5080</v>
      </c>
      <c r="I92" t="s">
        <v>4299</v>
      </c>
      <c r="J92" t="s">
        <v>2989</v>
      </c>
      <c r="K92" t="s">
        <v>4300</v>
      </c>
      <c r="L92" t="s">
        <v>4301</v>
      </c>
      <c r="M92" s="3" t="str">
        <f>HYPERLINK(склад2въезд14[[#This Row],[RelativePath]])</f>
        <v>2 Пилорама поката\E33149364_7_20251201T094219Z.jpg</v>
      </c>
    </row>
    <row r="93" spans="1:13" x14ac:dyDescent="0.25">
      <c r="A93" s="2" t="s">
        <v>13</v>
      </c>
      <c r="B93" s="4">
        <v>45992</v>
      </c>
      <c r="C93" s="5">
        <v>0.41398148148148151</v>
      </c>
      <c r="D93" t="s">
        <v>5081</v>
      </c>
      <c r="E93" t="s">
        <v>86</v>
      </c>
      <c r="F93" t="s">
        <v>3071</v>
      </c>
      <c r="H93" t="s">
        <v>5082</v>
      </c>
      <c r="I93" t="s">
        <v>4302</v>
      </c>
      <c r="J93" t="s">
        <v>2989</v>
      </c>
      <c r="K93" t="s">
        <v>4303</v>
      </c>
      <c r="L93" t="s">
        <v>4304</v>
      </c>
      <c r="M93" s="3" t="str">
        <f>HYPERLINK(склад2въезд14[[#This Row],[RelativePath]])</f>
        <v>2 Пилорама поката\E33149364_7_20251201T095608Z.jpg</v>
      </c>
    </row>
    <row r="94" spans="1:13" x14ac:dyDescent="0.25">
      <c r="A94" s="2" t="s">
        <v>13</v>
      </c>
      <c r="B94" s="4">
        <v>45992</v>
      </c>
      <c r="C94" s="5">
        <v>0.43004629629629632</v>
      </c>
      <c r="D94" t="s">
        <v>4</v>
      </c>
      <c r="E94" t="s">
        <v>86</v>
      </c>
      <c r="F94" t="s">
        <v>51</v>
      </c>
      <c r="I94" t="s">
        <v>4305</v>
      </c>
      <c r="J94" t="s">
        <v>2989</v>
      </c>
      <c r="K94" t="s">
        <v>4306</v>
      </c>
      <c r="L94" t="s">
        <v>4307</v>
      </c>
      <c r="M94" s="3" t="str">
        <f>HYPERLINK(склад2въезд14[[#This Row],[RelativePath]])</f>
        <v>2 Пилорама поката\E33149364_7_20251201T101916Z.jpg</v>
      </c>
    </row>
    <row r="95" spans="1:13" x14ac:dyDescent="0.25">
      <c r="A95" s="2" t="s">
        <v>13</v>
      </c>
      <c r="B95" s="4">
        <v>45992</v>
      </c>
      <c r="C95" s="5">
        <v>0.4418287037037037</v>
      </c>
      <c r="D95" t="s">
        <v>4</v>
      </c>
      <c r="E95" t="s">
        <v>86</v>
      </c>
      <c r="F95" t="s">
        <v>2938</v>
      </c>
      <c r="I95" t="s">
        <v>4308</v>
      </c>
      <c r="J95" t="s">
        <v>2989</v>
      </c>
      <c r="K95" t="s">
        <v>4309</v>
      </c>
      <c r="L95" t="s">
        <v>4310</v>
      </c>
      <c r="M95" s="3" t="str">
        <f>HYPERLINK(склад2въезд14[[#This Row],[RelativePath]])</f>
        <v>2 Пилорама поката\E33149364_7_20251201T103614Z.jpg</v>
      </c>
    </row>
    <row r="96" spans="1:13" x14ac:dyDescent="0.25">
      <c r="A96" s="2" t="s">
        <v>13</v>
      </c>
      <c r="B96" s="4">
        <v>45992</v>
      </c>
      <c r="C96" s="5">
        <v>0.44217592592592592</v>
      </c>
      <c r="D96" t="s">
        <v>5081</v>
      </c>
      <c r="E96" t="s">
        <v>86</v>
      </c>
      <c r="F96" t="s">
        <v>2938</v>
      </c>
      <c r="H96" t="s">
        <v>5082</v>
      </c>
      <c r="I96" t="s">
        <v>4311</v>
      </c>
      <c r="J96" t="s">
        <v>2989</v>
      </c>
      <c r="K96" t="s">
        <v>4312</v>
      </c>
      <c r="L96" t="s">
        <v>4313</v>
      </c>
      <c r="M96" s="3" t="str">
        <f>HYPERLINK(склад2въезд14[[#This Row],[RelativePath]])</f>
        <v>2 Пилорама поката\E33149364_7_20251201T103644Z.jpg</v>
      </c>
    </row>
    <row r="97" spans="1:13" x14ac:dyDescent="0.25">
      <c r="A97" s="2" t="s">
        <v>13</v>
      </c>
      <c r="B97" s="4">
        <v>45992</v>
      </c>
      <c r="C97" s="5">
        <v>0.4924189814814815</v>
      </c>
      <c r="D97" t="s">
        <v>4</v>
      </c>
      <c r="E97" t="s">
        <v>86</v>
      </c>
      <c r="F97" t="s">
        <v>5083</v>
      </c>
      <c r="H97" t="s">
        <v>5084</v>
      </c>
      <c r="I97" t="s">
        <v>4314</v>
      </c>
      <c r="J97" t="s">
        <v>2989</v>
      </c>
      <c r="K97" t="s">
        <v>4315</v>
      </c>
      <c r="L97" t="s">
        <v>4316</v>
      </c>
      <c r="M97" s="3" t="str">
        <f>HYPERLINK(склад2въезд14[[#This Row],[RelativePath]])</f>
        <v>2 Пилорама поката\E33149364_7_20251201T114905Z.jpg</v>
      </c>
    </row>
    <row r="98" spans="1:13" x14ac:dyDescent="0.25">
      <c r="A98" s="2" t="s">
        <v>13</v>
      </c>
      <c r="B98" s="4">
        <v>45992</v>
      </c>
      <c r="C98" s="5">
        <v>0.4931828703703704</v>
      </c>
      <c r="D98" t="s">
        <v>4</v>
      </c>
      <c r="E98" t="s">
        <v>8</v>
      </c>
      <c r="I98" t="s">
        <v>4318</v>
      </c>
      <c r="J98" t="s">
        <v>2989</v>
      </c>
      <c r="K98" t="s">
        <v>4319</v>
      </c>
      <c r="L98" t="s">
        <v>4320</v>
      </c>
      <c r="M98" s="3" t="str">
        <f>HYPERLINK(склад2въезд14[[#This Row],[RelativePath]])</f>
        <v>2 Пилорама поката\E33149364_7_20251201T115011Z.jpg</v>
      </c>
    </row>
    <row r="99" spans="1:13" x14ac:dyDescent="0.25">
      <c r="A99" s="2" t="s">
        <v>13</v>
      </c>
      <c r="B99" s="4">
        <v>45992</v>
      </c>
      <c r="C99" s="5">
        <v>0.50033564814814813</v>
      </c>
      <c r="D99" t="s">
        <v>158</v>
      </c>
      <c r="E99" t="s">
        <v>86</v>
      </c>
      <c r="F99" t="s">
        <v>60</v>
      </c>
      <c r="G99">
        <v>2</v>
      </c>
      <c r="H99" t="s">
        <v>3075</v>
      </c>
      <c r="I99" t="s">
        <v>4321</v>
      </c>
      <c r="J99" t="s">
        <v>2989</v>
      </c>
      <c r="K99" t="s">
        <v>4322</v>
      </c>
      <c r="L99" t="s">
        <v>4323</v>
      </c>
      <c r="M99" s="3" t="str">
        <f>HYPERLINK(склад2въезд14[[#This Row],[RelativePath]])</f>
        <v>2 Пилорама поката\E33149364_7_20251201T120029Z.jpg</v>
      </c>
    </row>
    <row r="100" spans="1:13" x14ac:dyDescent="0.25">
      <c r="A100" s="2" t="s">
        <v>13</v>
      </c>
      <c r="B100" s="4">
        <v>45992</v>
      </c>
      <c r="C100" s="5">
        <v>0.50459490740740742</v>
      </c>
      <c r="D100" t="s">
        <v>158</v>
      </c>
      <c r="E100" t="s">
        <v>86</v>
      </c>
      <c r="F100" t="s">
        <v>60</v>
      </c>
      <c r="G100">
        <v>1</v>
      </c>
      <c r="H100" t="s">
        <v>3075</v>
      </c>
      <c r="I100" t="s">
        <v>4324</v>
      </c>
      <c r="J100" t="s">
        <v>2989</v>
      </c>
      <c r="K100" t="s">
        <v>4325</v>
      </c>
      <c r="L100" t="s">
        <v>4326</v>
      </c>
      <c r="M100" s="3" t="str">
        <f>HYPERLINK(склад2въезд14[[#This Row],[RelativePath]])</f>
        <v>2 Пилорама поката\E33149364_7_20251201T120637Z.jpg</v>
      </c>
    </row>
    <row r="101" spans="1:13" x14ac:dyDescent="0.25">
      <c r="A101" s="2" t="s">
        <v>13</v>
      </c>
      <c r="B101" s="4">
        <v>45992</v>
      </c>
      <c r="C101" s="5">
        <v>0.51089120370370367</v>
      </c>
      <c r="D101" t="s">
        <v>158</v>
      </c>
      <c r="E101" t="s">
        <v>86</v>
      </c>
      <c r="F101" t="s">
        <v>60</v>
      </c>
      <c r="G101">
        <v>2</v>
      </c>
      <c r="H101" t="s">
        <v>3075</v>
      </c>
      <c r="I101" t="s">
        <v>4327</v>
      </c>
      <c r="J101" t="s">
        <v>2989</v>
      </c>
      <c r="K101" t="s">
        <v>4328</v>
      </c>
      <c r="L101" t="s">
        <v>4329</v>
      </c>
      <c r="M101" s="3" t="str">
        <f>HYPERLINK(склад2въезд14[[#This Row],[RelativePath]])</f>
        <v>2 Пилорама поката\E33149364_7_20251201T121541Z.jpg</v>
      </c>
    </row>
    <row r="102" spans="1:13" x14ac:dyDescent="0.25">
      <c r="A102" s="2" t="s">
        <v>13</v>
      </c>
      <c r="B102" s="4">
        <v>45992</v>
      </c>
      <c r="C102" s="5">
        <v>0.61046296296296299</v>
      </c>
      <c r="D102" t="s">
        <v>158</v>
      </c>
      <c r="E102" t="s">
        <v>86</v>
      </c>
      <c r="F102" t="s">
        <v>200</v>
      </c>
      <c r="G102">
        <v>2</v>
      </c>
      <c r="H102" t="s">
        <v>3075</v>
      </c>
      <c r="I102" t="s">
        <v>4330</v>
      </c>
      <c r="J102" t="s">
        <v>2989</v>
      </c>
      <c r="K102" t="s">
        <v>4331</v>
      </c>
      <c r="L102" t="s">
        <v>4332</v>
      </c>
      <c r="M102" s="3" t="str">
        <f>HYPERLINK(склад2въезд14[[#This Row],[RelativePath]])</f>
        <v>2 Пилорама поката\E33149364_7_20251201T143904Z.jpg</v>
      </c>
    </row>
    <row r="103" spans="1:13" x14ac:dyDescent="0.25">
      <c r="A103" s="2" t="s">
        <v>13</v>
      </c>
      <c r="B103" s="4">
        <v>45992</v>
      </c>
      <c r="C103" s="5">
        <v>0.61878472222222225</v>
      </c>
      <c r="D103" t="s">
        <v>158</v>
      </c>
      <c r="E103" t="s">
        <v>86</v>
      </c>
      <c r="F103" t="s">
        <v>200</v>
      </c>
      <c r="G103">
        <v>4</v>
      </c>
      <c r="H103" t="s">
        <v>3075</v>
      </c>
      <c r="I103" t="s">
        <v>4333</v>
      </c>
      <c r="J103" t="s">
        <v>2989</v>
      </c>
      <c r="K103" t="s">
        <v>4334</v>
      </c>
      <c r="L103" t="s">
        <v>4335</v>
      </c>
      <c r="M103" s="3" t="str">
        <f>HYPERLINK(склад2въезд14[[#This Row],[RelativePath]])</f>
        <v>2 Пилорама поката\E33149364_7_20251201T145103Z.jpg</v>
      </c>
    </row>
    <row r="104" spans="1:13" x14ac:dyDescent="0.25">
      <c r="A104" s="2" t="s">
        <v>13</v>
      </c>
      <c r="B104" s="4">
        <v>45992</v>
      </c>
      <c r="C104" s="5">
        <v>0.64337962962962958</v>
      </c>
      <c r="D104" t="s">
        <v>158</v>
      </c>
      <c r="E104" t="s">
        <v>86</v>
      </c>
      <c r="F104" t="s">
        <v>200</v>
      </c>
      <c r="G104">
        <v>4</v>
      </c>
      <c r="H104" t="s">
        <v>3075</v>
      </c>
      <c r="I104" t="s">
        <v>4336</v>
      </c>
      <c r="J104" t="s">
        <v>2989</v>
      </c>
      <c r="K104" t="s">
        <v>4337</v>
      </c>
      <c r="L104" t="s">
        <v>4338</v>
      </c>
      <c r="M104" s="3" t="str">
        <f>HYPERLINK(склад2въезд14[[#This Row],[RelativePath]])</f>
        <v>2 Пилорама поката\E33149364_7_20251201T152628Z.jpg</v>
      </c>
    </row>
    <row r="105" spans="1:13" x14ac:dyDescent="0.25">
      <c r="A105" s="2" t="s">
        <v>14</v>
      </c>
      <c r="B105" s="4">
        <v>45993</v>
      </c>
      <c r="C105" s="5">
        <v>0.40924768518518517</v>
      </c>
      <c r="D105" t="s">
        <v>158</v>
      </c>
      <c r="E105" t="s">
        <v>86</v>
      </c>
      <c r="F105" t="s">
        <v>200</v>
      </c>
      <c r="G105">
        <v>1</v>
      </c>
      <c r="H105" t="s">
        <v>3075</v>
      </c>
      <c r="I105" t="s">
        <v>4339</v>
      </c>
      <c r="J105" t="s">
        <v>2989</v>
      </c>
      <c r="K105" t="s">
        <v>4340</v>
      </c>
      <c r="L105" t="s">
        <v>4341</v>
      </c>
      <c r="M105" s="3" t="str">
        <f>HYPERLINK(склад2въезд14[[#This Row],[RelativePath]])</f>
        <v>2 Пилорама поката\E33149364_7_20251202T094919Z.jpg</v>
      </c>
    </row>
    <row r="106" spans="1:13" x14ac:dyDescent="0.25">
      <c r="A106" s="2" t="s">
        <v>14</v>
      </c>
      <c r="B106" s="4">
        <v>45993</v>
      </c>
      <c r="C106" s="5">
        <v>0.5259490740740741</v>
      </c>
      <c r="D106" t="s">
        <v>158</v>
      </c>
      <c r="E106" t="s">
        <v>86</v>
      </c>
      <c r="F106" t="s">
        <v>5085</v>
      </c>
      <c r="G106">
        <v>3</v>
      </c>
      <c r="H106" t="s">
        <v>3075</v>
      </c>
      <c r="I106" t="s">
        <v>4342</v>
      </c>
      <c r="J106" t="s">
        <v>2989</v>
      </c>
      <c r="K106" t="s">
        <v>4343</v>
      </c>
      <c r="L106" t="s">
        <v>4344</v>
      </c>
      <c r="M106" s="3" t="str">
        <f>HYPERLINK(склад2въезд14[[#This Row],[RelativePath]])</f>
        <v>2 Пилорама поката\E33149364_7_20251202T123722Z.jpg</v>
      </c>
    </row>
    <row r="107" spans="1:13" x14ac:dyDescent="0.25">
      <c r="A107" s="2" t="s">
        <v>14</v>
      </c>
      <c r="B107" s="4">
        <v>45993</v>
      </c>
      <c r="C107" s="5">
        <v>0.63435185185185183</v>
      </c>
      <c r="D107" t="s">
        <v>158</v>
      </c>
      <c r="E107" t="s">
        <v>86</v>
      </c>
      <c r="F107" t="s">
        <v>5085</v>
      </c>
      <c r="G107">
        <v>3</v>
      </c>
      <c r="H107" t="s">
        <v>3075</v>
      </c>
      <c r="I107" t="s">
        <v>4345</v>
      </c>
      <c r="J107" t="s">
        <v>2989</v>
      </c>
      <c r="K107" t="s">
        <v>4346</v>
      </c>
      <c r="L107" t="s">
        <v>4347</v>
      </c>
      <c r="M107" s="3" t="str">
        <f>HYPERLINK(склад2въезд14[[#This Row],[RelativePath]])</f>
        <v>2 Пилорама поката\E33149364_7_20251202T151328Z.jpg</v>
      </c>
    </row>
    <row r="108" spans="1:13" x14ac:dyDescent="0.25">
      <c r="A108" s="2" t="s">
        <v>14</v>
      </c>
      <c r="B108" s="4">
        <v>45993</v>
      </c>
      <c r="C108" s="5">
        <v>0.64623842592592595</v>
      </c>
      <c r="D108" t="s">
        <v>158</v>
      </c>
      <c r="E108" t="s">
        <v>86</v>
      </c>
      <c r="F108" t="s">
        <v>5085</v>
      </c>
      <c r="G108">
        <v>3</v>
      </c>
      <c r="H108" t="s">
        <v>3075</v>
      </c>
      <c r="I108" t="s">
        <v>4348</v>
      </c>
      <c r="J108" t="s">
        <v>2989</v>
      </c>
      <c r="K108" t="s">
        <v>4349</v>
      </c>
      <c r="L108" t="s">
        <v>4350</v>
      </c>
      <c r="M108" s="3" t="str">
        <f>HYPERLINK(склад2въезд14[[#This Row],[RelativePath]])</f>
        <v>2 Пилорама поката\E33149364_7_20251202T153035Z.jpg</v>
      </c>
    </row>
    <row r="109" spans="1:13" x14ac:dyDescent="0.25">
      <c r="A109" s="2" t="s">
        <v>14</v>
      </c>
      <c r="B109" s="4">
        <v>45993</v>
      </c>
      <c r="C109" s="5">
        <v>0.65961805555555553</v>
      </c>
      <c r="D109" t="s">
        <v>4221</v>
      </c>
      <c r="E109" t="s">
        <v>86</v>
      </c>
      <c r="F109" t="s">
        <v>4240</v>
      </c>
      <c r="H109" t="s">
        <v>4236</v>
      </c>
      <c r="I109" t="s">
        <v>4351</v>
      </c>
      <c r="J109" t="s">
        <v>2989</v>
      </c>
      <c r="K109" t="s">
        <v>4352</v>
      </c>
      <c r="L109" t="s">
        <v>4353</v>
      </c>
      <c r="M109" s="3" t="str">
        <f>HYPERLINK(склад2въезд14[[#This Row],[RelativePath]])</f>
        <v>2 Пилорама поката\E33149364_7_20251202T154951Z.jpg</v>
      </c>
    </row>
    <row r="110" spans="1:13" x14ac:dyDescent="0.25">
      <c r="A110" s="2" t="s">
        <v>14</v>
      </c>
      <c r="B110" s="4">
        <v>45993</v>
      </c>
      <c r="C110" s="5">
        <v>0.65982638888888889</v>
      </c>
      <c r="D110" t="s">
        <v>4221</v>
      </c>
      <c r="E110" t="s">
        <v>86</v>
      </c>
      <c r="F110" t="s">
        <v>4240</v>
      </c>
      <c r="H110" t="s">
        <v>2936</v>
      </c>
      <c r="I110" t="s">
        <v>4354</v>
      </c>
      <c r="J110" t="s">
        <v>2989</v>
      </c>
      <c r="K110" t="s">
        <v>4355</v>
      </c>
      <c r="L110" t="s">
        <v>4356</v>
      </c>
      <c r="M110" s="3" t="str">
        <f>HYPERLINK(склад2въезд14[[#This Row],[RelativePath]])</f>
        <v>2 Пилорама поката\E33149364_7_20251202T155009Z.jpg</v>
      </c>
    </row>
    <row r="111" spans="1:13" x14ac:dyDescent="0.25">
      <c r="A111" s="2" t="s">
        <v>15</v>
      </c>
      <c r="B111" s="4">
        <v>45994</v>
      </c>
      <c r="C111" s="5">
        <v>0.37923611111111111</v>
      </c>
      <c r="D111" t="s">
        <v>158</v>
      </c>
      <c r="E111" t="s">
        <v>86</v>
      </c>
      <c r="F111" t="s">
        <v>5085</v>
      </c>
      <c r="G111">
        <v>3</v>
      </c>
      <c r="H111" t="s">
        <v>3075</v>
      </c>
      <c r="I111" t="s">
        <v>4357</v>
      </c>
      <c r="J111" t="s">
        <v>2989</v>
      </c>
      <c r="K111" t="s">
        <v>4358</v>
      </c>
      <c r="L111" t="s">
        <v>4359</v>
      </c>
      <c r="M111" s="3" t="str">
        <f>HYPERLINK(склад2въезд14[[#This Row],[RelativePath]])</f>
        <v>2 Пилорама поката\E33149364_7_20251203T090606Z.jpg</v>
      </c>
    </row>
    <row r="112" spans="1:13" x14ac:dyDescent="0.25">
      <c r="A112" s="2" t="s">
        <v>15</v>
      </c>
      <c r="B112" s="4">
        <v>45994</v>
      </c>
      <c r="C112" s="5">
        <v>0.40377314814814813</v>
      </c>
      <c r="D112" t="s">
        <v>158</v>
      </c>
      <c r="E112" t="s">
        <v>86</v>
      </c>
      <c r="F112" t="s">
        <v>200</v>
      </c>
      <c r="G112">
        <v>2</v>
      </c>
      <c r="H112" t="s">
        <v>3075</v>
      </c>
      <c r="I112" t="s">
        <v>4360</v>
      </c>
      <c r="J112" t="s">
        <v>2989</v>
      </c>
      <c r="K112" t="s">
        <v>4361</v>
      </c>
      <c r="L112" t="s">
        <v>4362</v>
      </c>
      <c r="M112" s="3" t="str">
        <f>HYPERLINK(склад2въезд14[[#This Row],[RelativePath]])</f>
        <v>2 Пилорама поката\E33149364_7_20251203T094126Z.jpg</v>
      </c>
    </row>
    <row r="113" spans="1:13" x14ac:dyDescent="0.25">
      <c r="A113" s="2" t="s">
        <v>15</v>
      </c>
      <c r="B113" s="4">
        <v>45994</v>
      </c>
      <c r="C113" s="5">
        <v>0.44018518518518518</v>
      </c>
      <c r="D113" t="s">
        <v>158</v>
      </c>
      <c r="E113" t="s">
        <v>86</v>
      </c>
      <c r="F113" t="s">
        <v>200</v>
      </c>
      <c r="G113">
        <v>5</v>
      </c>
      <c r="H113" t="s">
        <v>3075</v>
      </c>
      <c r="I113" t="s">
        <v>4363</v>
      </c>
      <c r="J113" t="s">
        <v>2989</v>
      </c>
      <c r="K113" t="s">
        <v>4364</v>
      </c>
      <c r="L113" t="s">
        <v>4365</v>
      </c>
      <c r="M113" s="3" t="str">
        <f>HYPERLINK(склад2въезд14[[#This Row],[RelativePath]])</f>
        <v>2 Пилорама поката\E33149364_7_20251203T103352Z.jpg</v>
      </c>
    </row>
    <row r="114" spans="1:13" x14ac:dyDescent="0.25">
      <c r="A114" s="2" t="s">
        <v>15</v>
      </c>
      <c r="B114" s="4">
        <v>45994</v>
      </c>
      <c r="C114" s="5">
        <v>0.52025462962962965</v>
      </c>
      <c r="D114" t="s">
        <v>158</v>
      </c>
      <c r="E114" t="s">
        <v>86</v>
      </c>
      <c r="F114" t="s">
        <v>200</v>
      </c>
      <c r="G114">
        <v>4</v>
      </c>
      <c r="H114" t="s">
        <v>3075</v>
      </c>
      <c r="I114" t="s">
        <v>4366</v>
      </c>
      <c r="J114" t="s">
        <v>2989</v>
      </c>
      <c r="K114" t="s">
        <v>4367</v>
      </c>
      <c r="L114" t="s">
        <v>4368</v>
      </c>
      <c r="M114" s="3" t="str">
        <f>HYPERLINK(склад2въезд14[[#This Row],[RelativePath]])</f>
        <v>2 Пилорама поката\E33149364_7_20251203T122910Z.jpg</v>
      </c>
    </row>
    <row r="115" spans="1:13" x14ac:dyDescent="0.25">
      <c r="A115" s="2" t="s">
        <v>15</v>
      </c>
      <c r="B115" s="4">
        <v>45994</v>
      </c>
      <c r="C115" s="5">
        <v>0.52848379629629627</v>
      </c>
      <c r="D115" t="s">
        <v>158</v>
      </c>
      <c r="E115" t="s">
        <v>86</v>
      </c>
      <c r="F115" t="s">
        <v>200</v>
      </c>
      <c r="G115">
        <v>4</v>
      </c>
      <c r="H115" t="s">
        <v>3075</v>
      </c>
      <c r="I115" t="s">
        <v>4369</v>
      </c>
      <c r="J115" t="s">
        <v>2989</v>
      </c>
      <c r="K115" t="s">
        <v>4370</v>
      </c>
      <c r="L115" t="s">
        <v>4371</v>
      </c>
      <c r="M115" s="3" t="str">
        <f>HYPERLINK(склад2въезд14[[#This Row],[RelativePath]])</f>
        <v>2 Пилорама поката\E33149364_7_20251203T124101Z.jpg</v>
      </c>
    </row>
    <row r="116" spans="1:13" x14ac:dyDescent="0.25">
      <c r="A116" s="2" t="s">
        <v>16</v>
      </c>
      <c r="B116" s="4">
        <v>45995</v>
      </c>
      <c r="C116" s="5">
        <v>0.65629629629629627</v>
      </c>
      <c r="D116" t="s">
        <v>158</v>
      </c>
      <c r="E116" t="s">
        <v>86</v>
      </c>
      <c r="F116" t="s">
        <v>60</v>
      </c>
      <c r="G116">
        <v>2</v>
      </c>
      <c r="H116" t="s">
        <v>3075</v>
      </c>
      <c r="I116" t="s">
        <v>4372</v>
      </c>
      <c r="J116" t="s">
        <v>2989</v>
      </c>
      <c r="K116" t="s">
        <v>4373</v>
      </c>
      <c r="L116" t="s">
        <v>4374</v>
      </c>
      <c r="M116" s="3" t="str">
        <f>HYPERLINK(склад2въезд14[[#This Row],[RelativePath]])</f>
        <v>2 Пилорама поката\E33149364_7_20251204T154504Z.jpg</v>
      </c>
    </row>
    <row r="117" spans="1:13" x14ac:dyDescent="0.25">
      <c r="A117" s="2" t="s">
        <v>16</v>
      </c>
      <c r="B117" s="4">
        <v>45995</v>
      </c>
      <c r="C117" s="5">
        <v>0.66488425925925931</v>
      </c>
      <c r="D117" t="s">
        <v>158</v>
      </c>
      <c r="E117" t="s">
        <v>86</v>
      </c>
      <c r="F117" t="s">
        <v>200</v>
      </c>
      <c r="G117">
        <v>1</v>
      </c>
      <c r="H117" t="s">
        <v>3075</v>
      </c>
      <c r="I117" t="s">
        <v>4375</v>
      </c>
      <c r="J117" t="s">
        <v>2989</v>
      </c>
      <c r="K117" t="s">
        <v>4376</v>
      </c>
      <c r="L117" t="s">
        <v>4377</v>
      </c>
      <c r="M117" s="3" t="str">
        <f>HYPERLINK(склад2въезд14[[#This Row],[RelativePath]])</f>
        <v>2 Пилорама поката\E33149364_7_20251204T155726Z.jpg</v>
      </c>
    </row>
    <row r="118" spans="1:13" x14ac:dyDescent="0.25">
      <c r="A118" s="2" t="s">
        <v>17</v>
      </c>
      <c r="B118" s="4">
        <v>45996</v>
      </c>
      <c r="C118" s="5">
        <v>0.38974537037037038</v>
      </c>
      <c r="D118" t="s">
        <v>4221</v>
      </c>
      <c r="E118" t="s">
        <v>86</v>
      </c>
      <c r="F118" t="s">
        <v>2938</v>
      </c>
      <c r="H118" t="s">
        <v>4236</v>
      </c>
      <c r="I118" t="s">
        <v>4378</v>
      </c>
      <c r="J118" t="s">
        <v>2989</v>
      </c>
      <c r="K118" t="s">
        <v>4379</v>
      </c>
      <c r="L118" t="s">
        <v>4380</v>
      </c>
      <c r="M118" s="3" t="str">
        <f>HYPERLINK(склад2въезд14[[#This Row],[RelativePath]])</f>
        <v>2 Пилорама поката\E33149364_7_20251205T092114Z.jpg</v>
      </c>
    </row>
    <row r="119" spans="1:13" x14ac:dyDescent="0.25">
      <c r="A119" s="2" t="s">
        <v>17</v>
      </c>
      <c r="B119" s="4">
        <v>45996</v>
      </c>
      <c r="C119" s="5">
        <v>0.39002314814814815</v>
      </c>
      <c r="D119" t="s">
        <v>4221</v>
      </c>
      <c r="E119" t="s">
        <v>86</v>
      </c>
      <c r="F119" t="s">
        <v>2938</v>
      </c>
      <c r="H119" t="s">
        <v>2936</v>
      </c>
      <c r="I119" t="s">
        <v>4381</v>
      </c>
      <c r="J119" t="s">
        <v>2989</v>
      </c>
      <c r="K119" t="s">
        <v>4382</v>
      </c>
      <c r="L119" t="s">
        <v>4383</v>
      </c>
      <c r="M119" s="3" t="str">
        <f>HYPERLINK(склад2въезд14[[#This Row],[RelativePath]])</f>
        <v>2 Пилорама поката\E33149364_7_20251205T092138Z.jpg</v>
      </c>
    </row>
    <row r="120" spans="1:13" x14ac:dyDescent="0.25">
      <c r="A120" s="2" t="s">
        <v>17</v>
      </c>
      <c r="B120" s="4">
        <v>45996</v>
      </c>
      <c r="C120" s="5">
        <v>0.51715277777777779</v>
      </c>
      <c r="D120" t="s">
        <v>158</v>
      </c>
      <c r="E120" t="s">
        <v>86</v>
      </c>
      <c r="F120" t="s">
        <v>200</v>
      </c>
      <c r="G120">
        <v>4</v>
      </c>
      <c r="H120" t="s">
        <v>3075</v>
      </c>
      <c r="I120" t="s">
        <v>4384</v>
      </c>
      <c r="J120" t="s">
        <v>2989</v>
      </c>
      <c r="K120" t="s">
        <v>4385</v>
      </c>
      <c r="L120" t="s">
        <v>4386</v>
      </c>
      <c r="M120" s="3" t="str">
        <f>HYPERLINK(склад2въезд14[[#This Row],[RelativePath]])</f>
        <v>2 Пилорама поката\E33149364_7_20251205T122442Z.jpg</v>
      </c>
    </row>
    <row r="121" spans="1:13" x14ac:dyDescent="0.25">
      <c r="A121" s="2" t="s">
        <v>17</v>
      </c>
      <c r="B121" s="4">
        <v>45996</v>
      </c>
      <c r="C121" s="5">
        <v>0.52350694444444446</v>
      </c>
      <c r="D121" t="s">
        <v>158</v>
      </c>
      <c r="E121" t="s">
        <v>86</v>
      </c>
      <c r="F121" t="s">
        <v>200</v>
      </c>
      <c r="G121">
        <v>3</v>
      </c>
      <c r="H121" t="s">
        <v>3075</v>
      </c>
      <c r="I121" t="s">
        <v>4387</v>
      </c>
      <c r="J121" t="s">
        <v>2989</v>
      </c>
      <c r="K121" t="s">
        <v>4388</v>
      </c>
      <c r="L121" t="s">
        <v>4389</v>
      </c>
      <c r="M121" s="3" t="str">
        <f>HYPERLINK(склад2въезд14[[#This Row],[RelativePath]])</f>
        <v>2 Пилорама поката\E33149364_7_20251205T123351Z.jpg</v>
      </c>
    </row>
    <row r="122" spans="1:13" x14ac:dyDescent="0.25">
      <c r="A122" s="2" t="s">
        <v>17</v>
      </c>
      <c r="B122" s="4">
        <v>45996</v>
      </c>
      <c r="C122" s="5">
        <v>0.60083333333333333</v>
      </c>
      <c r="D122" t="s">
        <v>158</v>
      </c>
      <c r="E122" t="s">
        <v>86</v>
      </c>
      <c r="F122" t="s">
        <v>200</v>
      </c>
      <c r="G122">
        <v>2</v>
      </c>
      <c r="H122" t="s">
        <v>3075</v>
      </c>
      <c r="I122" t="s">
        <v>4390</v>
      </c>
      <c r="J122" t="s">
        <v>2989</v>
      </c>
      <c r="K122" t="s">
        <v>4391</v>
      </c>
      <c r="L122" t="s">
        <v>4392</v>
      </c>
      <c r="M122" s="3" t="str">
        <f>HYPERLINK(склад2въезд14[[#This Row],[RelativePath]])</f>
        <v>2 Пилорама поката\E33149364_7_20251205T142512Z.jpg</v>
      </c>
    </row>
    <row r="123" spans="1:13" x14ac:dyDescent="0.25">
      <c r="A123" s="2" t="s">
        <v>17</v>
      </c>
      <c r="B123" s="4">
        <v>45996</v>
      </c>
      <c r="C123" s="5">
        <v>0.60820601851851852</v>
      </c>
      <c r="D123" t="s">
        <v>158</v>
      </c>
      <c r="E123" t="s">
        <v>86</v>
      </c>
      <c r="F123" t="s">
        <v>200</v>
      </c>
      <c r="G123">
        <v>3</v>
      </c>
      <c r="H123" t="s">
        <v>3075</v>
      </c>
      <c r="I123" t="s">
        <v>4393</v>
      </c>
      <c r="J123" t="s">
        <v>2989</v>
      </c>
      <c r="K123" t="s">
        <v>4394</v>
      </c>
      <c r="L123" t="s">
        <v>4395</v>
      </c>
      <c r="M123" s="3" t="str">
        <f>HYPERLINK(склад2въезд14[[#This Row],[RelativePath]])</f>
        <v>2 Пилорама поката\E33149364_7_20251205T143549Z.jpg</v>
      </c>
    </row>
    <row r="124" spans="1:13" x14ac:dyDescent="0.25">
      <c r="A124" s="2" t="s">
        <v>17</v>
      </c>
      <c r="B124" s="4">
        <v>45996</v>
      </c>
      <c r="C124" s="5">
        <v>0.61489583333333331</v>
      </c>
      <c r="D124" t="s">
        <v>158</v>
      </c>
      <c r="E124" t="s">
        <v>86</v>
      </c>
      <c r="F124" t="s">
        <v>200</v>
      </c>
      <c r="G124">
        <v>4</v>
      </c>
      <c r="H124" t="s">
        <v>3075</v>
      </c>
      <c r="I124" t="s">
        <v>4396</v>
      </c>
      <c r="J124" t="s">
        <v>2989</v>
      </c>
      <c r="K124" t="s">
        <v>4397</v>
      </c>
      <c r="L124" t="s">
        <v>4398</v>
      </c>
      <c r="M124" s="3" t="str">
        <f>HYPERLINK(склад2въезд14[[#This Row],[RelativePath]])</f>
        <v>2 Пилорама поката\E33149364_7_20251205T144527Z.jpg</v>
      </c>
    </row>
    <row r="125" spans="1:13" x14ac:dyDescent="0.25">
      <c r="A125" s="2" t="s">
        <v>18</v>
      </c>
      <c r="B125" s="4">
        <v>45997</v>
      </c>
      <c r="C125" s="5">
        <v>0.51355324074074071</v>
      </c>
      <c r="D125" t="s">
        <v>2004</v>
      </c>
      <c r="I125" t="s">
        <v>4399</v>
      </c>
      <c r="J125" t="s">
        <v>2989</v>
      </c>
      <c r="K125" t="s">
        <v>4400</v>
      </c>
      <c r="L125" t="s">
        <v>4401</v>
      </c>
      <c r="M125" s="3" t="str">
        <f>HYPERLINK(склад2въезд14[[#This Row],[RelativePath]])</f>
        <v>2 Пилорама поката\E33149364_7_20251206T121931Z.jpg</v>
      </c>
    </row>
    <row r="126" spans="1:13" x14ac:dyDescent="0.25">
      <c r="A126" s="2" t="s">
        <v>22</v>
      </c>
      <c r="B126" s="4">
        <v>45998</v>
      </c>
      <c r="C126" s="5">
        <v>0.72687500000000005</v>
      </c>
      <c r="D126" t="s">
        <v>2004</v>
      </c>
      <c r="I126" t="s">
        <v>5196</v>
      </c>
      <c r="J126" t="s">
        <v>2989</v>
      </c>
      <c r="K126" t="s">
        <v>5197</v>
      </c>
      <c r="L126" t="s">
        <v>5198</v>
      </c>
      <c r="M126" s="3" t="str">
        <f>HYPERLINK(склад2въезд14[[#This Row],[RelativePath]])</f>
        <v>2 Пилорама поката\E33149364_7_20251207T172642Z.jpg</v>
      </c>
    </row>
    <row r="127" spans="1:13" x14ac:dyDescent="0.25">
      <c r="A127" s="2" t="s">
        <v>13</v>
      </c>
      <c r="B127" s="4">
        <v>45999</v>
      </c>
      <c r="C127" s="5">
        <v>0.59916666666666663</v>
      </c>
      <c r="D127" t="s">
        <v>4</v>
      </c>
      <c r="E127" t="s">
        <v>4193</v>
      </c>
      <c r="F127" t="s">
        <v>5076</v>
      </c>
      <c r="I127" t="s">
        <v>5282</v>
      </c>
      <c r="J127" t="s">
        <v>2989</v>
      </c>
      <c r="K127" t="s">
        <v>5283</v>
      </c>
      <c r="L127" t="s">
        <v>5284</v>
      </c>
      <c r="M127" s="3" t="str">
        <f>HYPERLINK(склад2въезд14[[#This Row],[RelativePath]])</f>
        <v>2 Пилорама поката\E33149364_7_20251208T142248Z.jpg</v>
      </c>
    </row>
    <row r="128" spans="1:13" x14ac:dyDescent="0.25">
      <c r="A128" s="2" t="s">
        <v>13</v>
      </c>
      <c r="B128" s="4">
        <v>45999</v>
      </c>
      <c r="C128" s="5">
        <v>0.6244791666666667</v>
      </c>
      <c r="D128" t="s">
        <v>4</v>
      </c>
      <c r="E128" t="s">
        <v>4193</v>
      </c>
      <c r="F128" t="s">
        <v>5076</v>
      </c>
      <c r="H128" t="s">
        <v>5474</v>
      </c>
      <c r="I128" t="s">
        <v>5269</v>
      </c>
      <c r="J128" t="s">
        <v>2989</v>
      </c>
      <c r="K128" t="s">
        <v>5270</v>
      </c>
      <c r="L128" t="s">
        <v>5271</v>
      </c>
      <c r="M128" s="3" t="str">
        <f>HYPERLINK(склад2въезд14[[#This Row],[RelativePath]])</f>
        <v>2 Пилорама поката\E33149364_7_20251208T145915Z.jpg</v>
      </c>
    </row>
    <row r="129" spans="1:13" x14ac:dyDescent="0.25">
      <c r="A129" s="2" t="s">
        <v>13</v>
      </c>
      <c r="B129" s="4">
        <v>45999</v>
      </c>
      <c r="C129" s="5">
        <v>0.63473379629629634</v>
      </c>
      <c r="D129" t="s">
        <v>158</v>
      </c>
      <c r="E129" t="s">
        <v>86</v>
      </c>
      <c r="F129" t="s">
        <v>200</v>
      </c>
      <c r="G129">
        <v>3</v>
      </c>
      <c r="H129" t="s">
        <v>3075</v>
      </c>
      <c r="I129" t="s">
        <v>5285</v>
      </c>
      <c r="J129" t="s">
        <v>2989</v>
      </c>
      <c r="K129" t="s">
        <v>5286</v>
      </c>
      <c r="L129" t="s">
        <v>5287</v>
      </c>
      <c r="M129" s="3" t="str">
        <f>HYPERLINK(склад2въезд14[[#This Row],[RelativePath]])</f>
        <v>2 Пилорама поката\E33149364_7_20251208T151401Z.jpg</v>
      </c>
    </row>
    <row r="130" spans="1:13" x14ac:dyDescent="0.25">
      <c r="A130" s="2" t="s">
        <v>13</v>
      </c>
      <c r="B130" s="4">
        <v>45999</v>
      </c>
      <c r="C130" s="5">
        <v>0.64184027777777775</v>
      </c>
      <c r="D130" t="s">
        <v>158</v>
      </c>
      <c r="E130" t="s">
        <v>86</v>
      </c>
      <c r="F130" t="s">
        <v>200</v>
      </c>
      <c r="G130">
        <v>4</v>
      </c>
      <c r="H130" t="s">
        <v>3075</v>
      </c>
      <c r="I130" t="s">
        <v>5288</v>
      </c>
      <c r="J130" t="s">
        <v>2989</v>
      </c>
      <c r="K130" t="s">
        <v>5289</v>
      </c>
      <c r="L130" t="s">
        <v>5290</v>
      </c>
      <c r="M130" s="3" t="str">
        <f>HYPERLINK(склад2въезд14[[#This Row],[RelativePath]])</f>
        <v>2 Пилорама поката\E33149364_7_20251208T152415Z.jpg</v>
      </c>
    </row>
    <row r="131" spans="1:13" x14ac:dyDescent="0.25">
      <c r="A131" s="2" t="s">
        <v>13</v>
      </c>
      <c r="B131" s="4">
        <v>45999</v>
      </c>
      <c r="C131" s="5">
        <v>0.66174768518518523</v>
      </c>
      <c r="D131" t="s">
        <v>4</v>
      </c>
      <c r="E131" t="s">
        <v>5475</v>
      </c>
      <c r="F131" t="s">
        <v>5076</v>
      </c>
      <c r="H131" t="s">
        <v>5474</v>
      </c>
      <c r="I131" t="s">
        <v>5291</v>
      </c>
      <c r="J131" t="s">
        <v>2989</v>
      </c>
      <c r="K131" t="s">
        <v>5292</v>
      </c>
      <c r="L131" t="s">
        <v>5293</v>
      </c>
      <c r="M131" s="3" t="str">
        <f>HYPERLINK(склад2въезд14[[#This Row],[RelativePath]])</f>
        <v>2 Пилорама поката\E33149364_7_20251208T155255Z.jpg</v>
      </c>
    </row>
    <row r="132" spans="1:13" x14ac:dyDescent="0.25">
      <c r="A132" s="2" t="s">
        <v>13</v>
      </c>
      <c r="B132" s="4">
        <v>45999</v>
      </c>
      <c r="C132" s="5">
        <v>0.72633101851851856</v>
      </c>
      <c r="D132" t="s">
        <v>4</v>
      </c>
      <c r="E132" t="s">
        <v>8</v>
      </c>
      <c r="I132" t="s">
        <v>5294</v>
      </c>
      <c r="J132" t="s">
        <v>2989</v>
      </c>
      <c r="K132" t="s">
        <v>5295</v>
      </c>
      <c r="L132" t="s">
        <v>5296</v>
      </c>
      <c r="M132" s="3" t="str">
        <f>HYPERLINK(склад2въезд14[[#This Row],[RelativePath]])</f>
        <v>2 Пилорама поката\E33149364_7_20251208T172555Z.jpg</v>
      </c>
    </row>
    <row r="133" spans="1:13" x14ac:dyDescent="0.25">
      <c r="A133" s="2" t="s">
        <v>14</v>
      </c>
      <c r="B133" s="4">
        <v>46000</v>
      </c>
      <c r="C133" s="5">
        <v>0.42149305555555555</v>
      </c>
      <c r="D133" t="s">
        <v>4198</v>
      </c>
      <c r="E133" t="s">
        <v>86</v>
      </c>
      <c r="F133" t="s">
        <v>6172</v>
      </c>
      <c r="I133" t="s">
        <v>5506</v>
      </c>
      <c r="J133" t="s">
        <v>2989</v>
      </c>
      <c r="K133" t="s">
        <v>5507</v>
      </c>
      <c r="L133" t="s">
        <v>5508</v>
      </c>
      <c r="M133" s="3" t="str">
        <f>HYPERLINK(склад2въезд14[[#This Row],[RelativePath]])</f>
        <v>2 Пилорама поката\E33149364_7_20251209T100657Z.jpg</v>
      </c>
    </row>
    <row r="134" spans="1:13" x14ac:dyDescent="0.25">
      <c r="A134" s="2" t="s">
        <v>14</v>
      </c>
      <c r="B134" s="4">
        <v>46000</v>
      </c>
      <c r="C134" s="5">
        <v>0.43395833333333333</v>
      </c>
      <c r="D134" t="s">
        <v>1606</v>
      </c>
      <c r="E134" t="s">
        <v>4193</v>
      </c>
      <c r="F134" t="s">
        <v>5076</v>
      </c>
      <c r="I134" t="s">
        <v>5509</v>
      </c>
      <c r="J134" t="s">
        <v>2989</v>
      </c>
      <c r="K134" t="s">
        <v>5510</v>
      </c>
      <c r="L134" t="s">
        <v>5511</v>
      </c>
      <c r="M134" s="3" t="str">
        <f>HYPERLINK(склад2въезд14[[#This Row],[RelativePath]])</f>
        <v>2 Пилорама поката\E33149364_7_20251209T102454Z.jpg</v>
      </c>
    </row>
    <row r="135" spans="1:13" x14ac:dyDescent="0.25">
      <c r="A135" s="2" t="s">
        <v>14</v>
      </c>
      <c r="B135" s="4">
        <v>46000</v>
      </c>
      <c r="C135" s="5">
        <v>0.43410879629629628</v>
      </c>
      <c r="D135" t="s">
        <v>6173</v>
      </c>
      <c r="E135" t="s">
        <v>4193</v>
      </c>
      <c r="F135" t="s">
        <v>5076</v>
      </c>
      <c r="H135" t="s">
        <v>5474</v>
      </c>
      <c r="I135" t="s">
        <v>5512</v>
      </c>
      <c r="J135" t="s">
        <v>2989</v>
      </c>
      <c r="K135" t="s">
        <v>5513</v>
      </c>
      <c r="L135" t="s">
        <v>5514</v>
      </c>
      <c r="M135" s="3" t="str">
        <f>HYPERLINK(склад2въезд14[[#This Row],[RelativePath]])</f>
        <v>2 Пилорама поката\E33149364_7_20251209T102507Z.jpg</v>
      </c>
    </row>
    <row r="136" spans="1:13" x14ac:dyDescent="0.25">
      <c r="A136" s="2" t="s">
        <v>14</v>
      </c>
      <c r="B136" s="4">
        <v>46000</v>
      </c>
      <c r="C136" s="5">
        <v>0.63540509259259259</v>
      </c>
      <c r="D136" t="s">
        <v>1606</v>
      </c>
      <c r="E136" t="s">
        <v>4193</v>
      </c>
      <c r="F136" t="s">
        <v>5076</v>
      </c>
      <c r="I136" t="s">
        <v>5515</v>
      </c>
      <c r="J136" t="s">
        <v>2989</v>
      </c>
      <c r="K136" t="s">
        <v>5516</v>
      </c>
      <c r="L136" t="s">
        <v>5517</v>
      </c>
      <c r="M136" s="3" t="str">
        <f>HYPERLINK(склад2въезд14[[#This Row],[RelativePath]])</f>
        <v>2 Пилорама поката\E33149364_7_20251209T151459Z.jpg</v>
      </c>
    </row>
    <row r="137" spans="1:13" x14ac:dyDescent="0.25">
      <c r="A137" s="2" t="s">
        <v>14</v>
      </c>
      <c r="B137" s="4">
        <v>46000</v>
      </c>
      <c r="C137" s="5">
        <v>0.6868171296296296</v>
      </c>
      <c r="D137" t="s">
        <v>6173</v>
      </c>
      <c r="E137" t="s">
        <v>4193</v>
      </c>
      <c r="F137" t="s">
        <v>5076</v>
      </c>
      <c r="H137" t="s">
        <v>5474</v>
      </c>
      <c r="I137" t="s">
        <v>5518</v>
      </c>
      <c r="J137" t="s">
        <v>2989</v>
      </c>
      <c r="K137" t="s">
        <v>5519</v>
      </c>
      <c r="L137" t="s">
        <v>5520</v>
      </c>
      <c r="M137" s="3" t="str">
        <f>HYPERLINK(склад2въезд14[[#This Row],[RelativePath]])</f>
        <v>2 Пилорама поката\E33149364_7_20251209T162901Z.jpg</v>
      </c>
    </row>
    <row r="138" spans="1:13" x14ac:dyDescent="0.25">
      <c r="A138" s="2" t="s">
        <v>15</v>
      </c>
      <c r="B138" s="4">
        <v>46001</v>
      </c>
      <c r="C138" s="5">
        <v>0.37682870370370369</v>
      </c>
      <c r="D138" t="s">
        <v>4198</v>
      </c>
      <c r="E138" t="s">
        <v>86</v>
      </c>
      <c r="F138" t="s">
        <v>2944</v>
      </c>
      <c r="I138" t="s">
        <v>5521</v>
      </c>
      <c r="J138" t="s">
        <v>2989</v>
      </c>
      <c r="K138" t="s">
        <v>5522</v>
      </c>
      <c r="L138" t="s">
        <v>5523</v>
      </c>
      <c r="M138" s="3" t="str">
        <f>HYPERLINK(склад2въезд14[[#This Row],[RelativePath]])</f>
        <v>2 Пилорама поката\E33149364_7_20251210T090238Z.jpg</v>
      </c>
    </row>
    <row r="139" spans="1:13" x14ac:dyDescent="0.25">
      <c r="A139" s="2" t="s">
        <v>15</v>
      </c>
      <c r="B139" s="4">
        <v>46001</v>
      </c>
      <c r="C139" s="5">
        <v>0.37695601851851851</v>
      </c>
      <c r="D139" t="s">
        <v>4198</v>
      </c>
      <c r="E139" t="s">
        <v>86</v>
      </c>
      <c r="F139" t="s">
        <v>2944</v>
      </c>
      <c r="H139" t="s">
        <v>2936</v>
      </c>
      <c r="I139" t="s">
        <v>5524</v>
      </c>
      <c r="J139" t="s">
        <v>2989</v>
      </c>
      <c r="K139" t="s">
        <v>5525</v>
      </c>
      <c r="L139" t="s">
        <v>5526</v>
      </c>
      <c r="M139" s="3" t="str">
        <f>HYPERLINK(склад2въезд14[[#This Row],[RelativePath]])</f>
        <v>2 Пилорама поката\E33149364_7_20251210T090249Z.jpg</v>
      </c>
    </row>
    <row r="140" spans="1:13" x14ac:dyDescent="0.25">
      <c r="A140" s="2" t="s">
        <v>15</v>
      </c>
      <c r="B140" s="4">
        <v>46001</v>
      </c>
      <c r="C140" s="5">
        <v>0.3828125</v>
      </c>
      <c r="D140" t="s">
        <v>4198</v>
      </c>
      <c r="E140" t="s">
        <v>86</v>
      </c>
      <c r="F140" t="s">
        <v>528</v>
      </c>
      <c r="I140" t="s">
        <v>5527</v>
      </c>
      <c r="J140" t="s">
        <v>2989</v>
      </c>
      <c r="K140" t="s">
        <v>5528</v>
      </c>
      <c r="L140" t="s">
        <v>5529</v>
      </c>
      <c r="M140" s="3" t="str">
        <f>HYPERLINK(склад2въезд14[[#This Row],[RelativePath]])</f>
        <v>2 Пилорама поката\E33149364_7_20251210T091115Z.jpg</v>
      </c>
    </row>
    <row r="141" spans="1:13" x14ac:dyDescent="0.25">
      <c r="A141" s="2" t="s">
        <v>15</v>
      </c>
      <c r="B141" s="4">
        <v>46001</v>
      </c>
      <c r="C141" s="5">
        <v>0.3830439814814815</v>
      </c>
      <c r="D141" t="s">
        <v>4198</v>
      </c>
      <c r="E141" t="s">
        <v>86</v>
      </c>
      <c r="F141" t="s">
        <v>528</v>
      </c>
      <c r="H141" t="s">
        <v>2936</v>
      </c>
      <c r="I141" t="s">
        <v>5530</v>
      </c>
      <c r="J141" t="s">
        <v>2989</v>
      </c>
      <c r="K141" t="s">
        <v>5531</v>
      </c>
      <c r="L141" t="s">
        <v>5532</v>
      </c>
      <c r="M141" s="3" t="str">
        <f>HYPERLINK(склад2въезд14[[#This Row],[RelativePath]])</f>
        <v>2 Пилорама поката\E33149364_7_20251210T091135Z.jpg</v>
      </c>
    </row>
    <row r="142" spans="1:13" x14ac:dyDescent="0.25">
      <c r="A142" s="2" t="s">
        <v>15</v>
      </c>
      <c r="B142" s="4">
        <v>46001</v>
      </c>
      <c r="C142" s="5">
        <v>0.53289351851851852</v>
      </c>
      <c r="D142" t="s">
        <v>1606</v>
      </c>
      <c r="E142" t="s">
        <v>4193</v>
      </c>
      <c r="F142" t="s">
        <v>5076</v>
      </c>
      <c r="I142" t="s">
        <v>5533</v>
      </c>
      <c r="J142" t="s">
        <v>2989</v>
      </c>
      <c r="K142" t="s">
        <v>5534</v>
      </c>
      <c r="L142" t="s">
        <v>5535</v>
      </c>
      <c r="M142" s="3" t="str">
        <f>HYPERLINK(склад2въезд14[[#This Row],[RelativePath]])</f>
        <v>2 Пилорама поката\E33149364_7_20251210T124722Z.jpg</v>
      </c>
    </row>
    <row r="143" spans="1:13" x14ac:dyDescent="0.25">
      <c r="A143" s="2" t="s">
        <v>15</v>
      </c>
      <c r="B143" s="4">
        <v>46001</v>
      </c>
      <c r="C143" s="5">
        <v>0.57746527777777779</v>
      </c>
      <c r="D143" t="s">
        <v>6173</v>
      </c>
      <c r="E143" t="s">
        <v>4193</v>
      </c>
      <c r="F143" t="s">
        <v>5076</v>
      </c>
      <c r="H143" t="s">
        <v>5474</v>
      </c>
      <c r="I143" t="s">
        <v>5536</v>
      </c>
      <c r="J143" t="s">
        <v>2989</v>
      </c>
      <c r="K143" t="s">
        <v>5537</v>
      </c>
      <c r="L143" t="s">
        <v>5538</v>
      </c>
      <c r="M143" s="3" t="str">
        <f>HYPERLINK(склад2въезд14[[#This Row],[RelativePath]])</f>
        <v>2 Пилорама поката\E33149364_7_20251210T135133Z.jpg</v>
      </c>
    </row>
    <row r="144" spans="1:13" x14ac:dyDescent="0.25">
      <c r="A144" s="2" t="s">
        <v>16</v>
      </c>
      <c r="B144" s="4">
        <v>46002</v>
      </c>
      <c r="C144" s="5">
        <v>0.62288194444444445</v>
      </c>
      <c r="D144" t="s">
        <v>4</v>
      </c>
      <c r="E144" t="s">
        <v>8</v>
      </c>
      <c r="I144" t="s">
        <v>5803</v>
      </c>
      <c r="J144" t="s">
        <v>2989</v>
      </c>
      <c r="K144" t="s">
        <v>5804</v>
      </c>
      <c r="L144" t="s">
        <v>5805</v>
      </c>
      <c r="M144" s="3" t="str">
        <f>HYPERLINK(склад2въезд14[[#This Row],[RelativePath]])</f>
        <v>2 Пилорама поката\E33149364_7_20251211T145657Z.jpg</v>
      </c>
    </row>
    <row r="145" spans="1:13" x14ac:dyDescent="0.25">
      <c r="A145" s="2" t="s">
        <v>17</v>
      </c>
      <c r="B145" s="4">
        <v>46003</v>
      </c>
      <c r="C145" s="5">
        <v>0.44298611111111114</v>
      </c>
      <c r="D145" t="s">
        <v>4198</v>
      </c>
      <c r="E145" t="s">
        <v>86</v>
      </c>
      <c r="F145" t="s">
        <v>6174</v>
      </c>
      <c r="I145" t="s">
        <v>5806</v>
      </c>
      <c r="J145" t="s">
        <v>2989</v>
      </c>
      <c r="K145" t="s">
        <v>5807</v>
      </c>
      <c r="L145" t="s">
        <v>5808</v>
      </c>
      <c r="M145" s="3" t="str">
        <f>HYPERLINK(склад2въезд14[[#This Row],[RelativePath]])</f>
        <v>2 Пилорама поката\E33149364_7_20251212T103754Z.jpg</v>
      </c>
    </row>
    <row r="146" spans="1:13" x14ac:dyDescent="0.25">
      <c r="A146" s="2" t="s">
        <v>17</v>
      </c>
      <c r="B146" s="4">
        <v>46003</v>
      </c>
      <c r="C146" s="5">
        <v>0.4594212962962963</v>
      </c>
      <c r="D146" t="s">
        <v>158</v>
      </c>
      <c r="E146" t="s">
        <v>86</v>
      </c>
      <c r="F146" t="s">
        <v>200</v>
      </c>
      <c r="G146">
        <v>3</v>
      </c>
      <c r="H146" t="s">
        <v>3075</v>
      </c>
      <c r="I146" t="s">
        <v>5809</v>
      </c>
      <c r="J146" t="s">
        <v>2989</v>
      </c>
      <c r="K146" t="s">
        <v>5810</v>
      </c>
      <c r="L146" t="s">
        <v>5811</v>
      </c>
      <c r="M146" s="3" t="str">
        <f>HYPERLINK(склад2въезд14[[#This Row],[RelativePath]])</f>
        <v>2 Пилорама поката\E33149364_7_20251212T110134Z.jpg</v>
      </c>
    </row>
    <row r="147" spans="1:13" x14ac:dyDescent="0.25">
      <c r="A147" s="2" t="s">
        <v>17</v>
      </c>
      <c r="B147" s="4">
        <v>46003</v>
      </c>
      <c r="C147" s="5">
        <v>0.47104166666666669</v>
      </c>
      <c r="D147" t="s">
        <v>158</v>
      </c>
      <c r="E147" t="s">
        <v>86</v>
      </c>
      <c r="F147" t="s">
        <v>200</v>
      </c>
      <c r="G147">
        <v>4</v>
      </c>
      <c r="H147" t="s">
        <v>3075</v>
      </c>
      <c r="I147" t="s">
        <v>5812</v>
      </c>
      <c r="J147" t="s">
        <v>2989</v>
      </c>
      <c r="K147" t="s">
        <v>5813</v>
      </c>
      <c r="L147" t="s">
        <v>5814</v>
      </c>
      <c r="M147" s="3" t="str">
        <f>HYPERLINK(склад2въезд14[[#This Row],[RelativePath]])</f>
        <v>2 Пилорама поката\E33149364_7_20251212T111818Z.jpg</v>
      </c>
    </row>
    <row r="148" spans="1:13" x14ac:dyDescent="0.25">
      <c r="A148" s="2" t="s">
        <v>17</v>
      </c>
      <c r="B148" s="4">
        <v>46003</v>
      </c>
      <c r="C148" s="5">
        <v>0.47760416666666666</v>
      </c>
      <c r="D148" t="s">
        <v>158</v>
      </c>
      <c r="E148" t="s">
        <v>86</v>
      </c>
      <c r="F148" t="s">
        <v>60</v>
      </c>
      <c r="G148">
        <v>2</v>
      </c>
      <c r="H148" t="s">
        <v>3075</v>
      </c>
      <c r="I148" t="s">
        <v>5815</v>
      </c>
      <c r="J148" t="s">
        <v>2989</v>
      </c>
      <c r="K148" t="s">
        <v>5816</v>
      </c>
      <c r="L148" t="s">
        <v>5817</v>
      </c>
      <c r="M148" s="3" t="str">
        <f>HYPERLINK(склад2въезд14[[#This Row],[RelativePath]])</f>
        <v>2 Пилорама поката\E33149364_7_20251212T112745Z.jpg</v>
      </c>
    </row>
    <row r="149" spans="1:13" x14ac:dyDescent="0.25">
      <c r="A149" s="2" t="s">
        <v>17</v>
      </c>
      <c r="B149" s="4">
        <v>46003</v>
      </c>
      <c r="C149" s="5">
        <v>0.4820949074074074</v>
      </c>
      <c r="D149" t="s">
        <v>158</v>
      </c>
      <c r="E149" t="s">
        <v>86</v>
      </c>
      <c r="F149" t="s">
        <v>200</v>
      </c>
      <c r="G149">
        <v>2</v>
      </c>
      <c r="H149" t="s">
        <v>3075</v>
      </c>
      <c r="I149" t="s">
        <v>5818</v>
      </c>
      <c r="J149" t="s">
        <v>2989</v>
      </c>
      <c r="K149" t="s">
        <v>5819</v>
      </c>
      <c r="L149" t="s">
        <v>5820</v>
      </c>
      <c r="M149" s="3" t="str">
        <f>HYPERLINK(склад2въезд14[[#This Row],[RelativePath]])</f>
        <v>2 Пилорама поката\E33149364_7_20251212T113413Z.jpg</v>
      </c>
    </row>
    <row r="150" spans="1:13" x14ac:dyDescent="0.25">
      <c r="A150" s="2" t="s">
        <v>17</v>
      </c>
      <c r="B150" s="4">
        <v>46003</v>
      </c>
      <c r="C150" s="5">
        <v>0.48931712962962964</v>
      </c>
      <c r="D150" t="s">
        <v>158</v>
      </c>
      <c r="E150" t="s">
        <v>86</v>
      </c>
      <c r="F150" t="s">
        <v>60</v>
      </c>
      <c r="G150">
        <v>3</v>
      </c>
      <c r="H150" t="s">
        <v>3075</v>
      </c>
      <c r="I150" t="s">
        <v>5821</v>
      </c>
      <c r="J150" t="s">
        <v>2989</v>
      </c>
      <c r="K150" t="s">
        <v>5822</v>
      </c>
      <c r="L150" t="s">
        <v>5823</v>
      </c>
      <c r="M150" s="3" t="str">
        <f>HYPERLINK(склад2въезд14[[#This Row],[RelativePath]])</f>
        <v>2 Пилорама поката\E33149364_7_20251212T114437Z.jpg</v>
      </c>
    </row>
    <row r="151" spans="1:13" x14ac:dyDescent="0.25">
      <c r="A151" s="2" t="s">
        <v>17</v>
      </c>
      <c r="B151" s="4">
        <v>46003</v>
      </c>
      <c r="C151" s="5">
        <v>0.50577546296296294</v>
      </c>
      <c r="D151" t="s">
        <v>158</v>
      </c>
      <c r="E151" t="s">
        <v>86</v>
      </c>
      <c r="F151" t="s">
        <v>60</v>
      </c>
      <c r="G151">
        <v>3</v>
      </c>
      <c r="H151" t="s">
        <v>3075</v>
      </c>
      <c r="I151" t="s">
        <v>5824</v>
      </c>
      <c r="J151" t="s">
        <v>2989</v>
      </c>
      <c r="K151" t="s">
        <v>5825</v>
      </c>
      <c r="L151" t="s">
        <v>5826</v>
      </c>
      <c r="M151" s="3" t="str">
        <f>HYPERLINK(склад2въезд14[[#This Row],[RelativePath]])</f>
        <v>2 Пилорама поката\E33149364_7_20251212T120819Z.jpg</v>
      </c>
    </row>
    <row r="152" spans="1:13" x14ac:dyDescent="0.25">
      <c r="A152" s="2" t="s">
        <v>17</v>
      </c>
      <c r="B152" s="4">
        <v>46003</v>
      </c>
      <c r="C152" s="5">
        <v>0.51458333333333328</v>
      </c>
      <c r="D152" t="s">
        <v>158</v>
      </c>
      <c r="E152" t="s">
        <v>86</v>
      </c>
      <c r="F152" t="s">
        <v>200</v>
      </c>
      <c r="G152">
        <v>2</v>
      </c>
      <c r="H152" t="s">
        <v>3075</v>
      </c>
      <c r="I152" t="s">
        <v>5827</v>
      </c>
      <c r="J152" t="s">
        <v>2989</v>
      </c>
      <c r="K152" t="s">
        <v>5828</v>
      </c>
      <c r="L152" t="s">
        <v>5829</v>
      </c>
      <c r="M152" s="3" t="str">
        <f>HYPERLINK(склад2въезд14[[#This Row],[RelativePath]])</f>
        <v>2 Пилорама поката\E33149364_7_20251212T122100Z.jpg</v>
      </c>
    </row>
    <row r="153" spans="1:13" x14ac:dyDescent="0.25">
      <c r="A153" s="2" t="s">
        <v>18</v>
      </c>
      <c r="B153" s="4">
        <v>46004</v>
      </c>
      <c r="C153" s="5">
        <v>0.73241898148148143</v>
      </c>
      <c r="D153" t="s">
        <v>2004</v>
      </c>
      <c r="E153" t="s">
        <v>8</v>
      </c>
      <c r="I153" t="s">
        <v>6022</v>
      </c>
      <c r="J153" t="s">
        <v>2989</v>
      </c>
      <c r="K153" t="s">
        <v>6023</v>
      </c>
      <c r="L153" t="s">
        <v>6024</v>
      </c>
      <c r="M153" s="3" t="str">
        <f>HYPERLINK(склад2въезд14[[#This Row],[RelativePath]])</f>
        <v>2 Пилорама поката\E33149364_7_20251213T173441Z.jpg</v>
      </c>
    </row>
  </sheetData>
  <conditionalFormatting sqref="D154:D164 E154:E167 G2:H153 D2:E153">
    <cfRule type="containsText" dxfId="562" priority="14" operator="containsText" text="Выезд с территории">
      <formula>NOT(ISERROR(SEARCH("Выезд с территории",D2)))</formula>
    </cfRule>
  </conditionalFormatting>
  <conditionalFormatting sqref="F2:F153">
    <cfRule type="notContainsText" dxfId="561" priority="13" operator="notContains" text="порожний">
      <formula>ISERROR(SEARCH("порожний",F2))</formula>
    </cfRule>
  </conditionalFormatting>
  <conditionalFormatting sqref="E2:E167">
    <cfRule type="containsText" dxfId="560" priority="11" operator="containsText" text="Газель базы">
      <formula>NOT(ISERROR(SEARCH("Газель базы",E2)))</formula>
    </cfRule>
    <cfRule type="containsText" dxfId="559" priority="12" operator="containsText" text="Погрузчик базы">
      <formula>NOT(ISERROR(SEARCH("Погрузчик базы",E2)))</formula>
    </cfRule>
  </conditionalFormatting>
  <conditionalFormatting sqref="E2:E167">
    <cfRule type="containsText" dxfId="558" priority="10" operator="containsText" text="Трактор базы">
      <formula>NOT(ISERROR(SEARCH("Трактор базы",E2)))</formula>
    </cfRule>
  </conditionalFormatting>
  <conditionalFormatting sqref="A2:C153">
    <cfRule type="expression" dxfId="557" priority="9">
      <formula>$A2="пн"</formula>
    </cfRule>
  </conditionalFormatting>
  <conditionalFormatting sqref="A2:C155">
    <cfRule type="expression" dxfId="556" priority="3">
      <formula>$A2="вс"</formula>
    </cfRule>
    <cfRule type="expression" dxfId="555" priority="4">
      <formula>$A2="сб"</formula>
    </cfRule>
    <cfRule type="expression" dxfId="554" priority="5">
      <formula>$A2="пт"</formula>
    </cfRule>
    <cfRule type="expression" dxfId="553" priority="6">
      <formula>$A2="чт"</formula>
    </cfRule>
    <cfRule type="expression" dxfId="552" priority="7">
      <formula>$A2="ср"</formula>
    </cfRule>
    <cfRule type="expression" dxfId="551" priority="8">
      <formula>$A2="вт"</formula>
    </cfRule>
  </conditionalFormatting>
  <conditionalFormatting sqref="D2:D164">
    <cfRule type="containsText" dxfId="550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164">
    <cfRule type="containsText" dxfId="549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27EE-C400-47AD-BE4A-C39CED0B3B36}">
  <sheetPr>
    <tabColor theme="0" tint="-0.499984740745262"/>
  </sheetPr>
  <dimension ref="A1:M84"/>
  <sheetViews>
    <sheetView zoomScale="90" zoomScaleNormal="90" workbookViewId="0">
      <pane ySplit="1" topLeftCell="A59" activePane="bottomLeft" state="frozen"/>
      <selection pane="bottomLeft" activeCell="E86" sqref="E86"/>
    </sheetView>
  </sheetViews>
  <sheetFormatPr defaultRowHeight="15" x14ac:dyDescent="0.25"/>
  <cols>
    <col min="1" max="1" width="14.7109375" style="2" bestFit="1" customWidth="1"/>
    <col min="2" max="2" width="11" style="2" bestFit="1" customWidth="1"/>
    <col min="3" max="3" width="11.85546875" style="2" bestFit="1" customWidth="1"/>
    <col min="4" max="4" width="17.28515625" bestFit="1" customWidth="1"/>
    <col min="5" max="5" width="39.28515625" bestFit="1" customWidth="1"/>
    <col min="6" max="6" width="19.42578125" bestFit="1" customWidth="1"/>
    <col min="7" max="7" width="9.7109375" bestFit="1" customWidth="1"/>
    <col min="8" max="8" width="45.5703125" bestFit="1" customWidth="1"/>
    <col min="9" max="9" width="35.42578125" hidden="1" customWidth="1"/>
    <col min="10" max="10" width="39.5703125" hidden="1" customWidth="1"/>
    <col min="11" max="11" width="50.7109375" hidden="1" customWidth="1"/>
    <col min="12" max="12" width="24.5703125" hidden="1" customWidth="1"/>
    <col min="13" max="13" width="50.7109375" bestFit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0.35270833333333335</v>
      </c>
      <c r="D2" t="s">
        <v>4</v>
      </c>
      <c r="E2" t="s">
        <v>8</v>
      </c>
      <c r="I2" t="s">
        <v>203</v>
      </c>
      <c r="J2" t="s">
        <v>2990</v>
      </c>
      <c r="K2" t="s">
        <v>205</v>
      </c>
      <c r="L2" t="s">
        <v>206</v>
      </c>
      <c r="M2" s="3" t="str">
        <f>HYPERLINK(склад2въезд18[[#This Row],[RelativePath]])</f>
        <v>3 Въезд на базу\E33149364_8_20251110T082754Z.jpg</v>
      </c>
    </row>
    <row r="3" spans="1:13" x14ac:dyDescent="0.25">
      <c r="A3" s="2" t="s">
        <v>13</v>
      </c>
      <c r="B3" s="4">
        <v>45971</v>
      </c>
      <c r="C3" s="5">
        <v>0.37762731481481482</v>
      </c>
      <c r="D3" t="s">
        <v>4</v>
      </c>
      <c r="E3" t="s">
        <v>8</v>
      </c>
      <c r="I3" t="s">
        <v>207</v>
      </c>
      <c r="J3" t="s">
        <v>2990</v>
      </c>
      <c r="K3" t="s">
        <v>208</v>
      </c>
      <c r="L3" t="s">
        <v>209</v>
      </c>
      <c r="M3" s="3" t="str">
        <f>HYPERLINK(склад2въезд18[[#This Row],[RelativePath]])</f>
        <v>3 Въезд на базу\E33149364_8_20251110T090347Z.jpg</v>
      </c>
    </row>
    <row r="4" spans="1:13" x14ac:dyDescent="0.25">
      <c r="A4" s="2" t="s">
        <v>13</v>
      </c>
      <c r="B4" s="4">
        <v>45971</v>
      </c>
      <c r="C4" s="5">
        <v>0.4864236111111111</v>
      </c>
      <c r="D4" t="s">
        <v>4</v>
      </c>
      <c r="E4" t="s">
        <v>8</v>
      </c>
      <c r="I4" t="s">
        <v>210</v>
      </c>
      <c r="J4" t="s">
        <v>2990</v>
      </c>
      <c r="K4" t="s">
        <v>211</v>
      </c>
      <c r="L4" t="s">
        <v>212</v>
      </c>
      <c r="M4" s="3" t="str">
        <f>HYPERLINK(склад2въезд18[[#This Row],[RelativePath]])</f>
        <v>3 Въезд на базу\E33149364_8_20251110T114027Z.jpg</v>
      </c>
    </row>
    <row r="5" spans="1:13" x14ac:dyDescent="0.25">
      <c r="A5" s="2" t="s">
        <v>13</v>
      </c>
      <c r="B5" s="4">
        <v>45971</v>
      </c>
      <c r="C5" s="5">
        <v>0.50173611111111116</v>
      </c>
      <c r="D5" t="s">
        <v>4</v>
      </c>
      <c r="E5" t="s">
        <v>8</v>
      </c>
      <c r="I5" t="s">
        <v>213</v>
      </c>
      <c r="J5" t="s">
        <v>2990</v>
      </c>
      <c r="K5" t="s">
        <v>214</v>
      </c>
      <c r="L5" t="s">
        <v>215</v>
      </c>
      <c r="M5" s="3" t="str">
        <f>HYPERLINK(склад2въезд18[[#This Row],[RelativePath]])</f>
        <v>3 Въезд на базу\E33149364_8_20251110T120230Z.jpg</v>
      </c>
    </row>
    <row r="6" spans="1:13" x14ac:dyDescent="0.25">
      <c r="A6" s="2" t="s">
        <v>13</v>
      </c>
      <c r="B6" s="4">
        <v>45971</v>
      </c>
      <c r="C6" s="5">
        <v>0.56997685185185187</v>
      </c>
      <c r="D6" t="s">
        <v>4</v>
      </c>
      <c r="E6" t="s">
        <v>8</v>
      </c>
      <c r="I6" t="s">
        <v>216</v>
      </c>
      <c r="J6" t="s">
        <v>2990</v>
      </c>
      <c r="K6" t="s">
        <v>217</v>
      </c>
      <c r="L6" t="s">
        <v>218</v>
      </c>
      <c r="M6" s="3" t="str">
        <f>HYPERLINK(склад2въезд18[[#This Row],[RelativePath]])</f>
        <v>3 Въезд на базу\E33149364_8_20251110T134046Z.jpg</v>
      </c>
    </row>
    <row r="7" spans="1:13" x14ac:dyDescent="0.25">
      <c r="A7" s="2" t="s">
        <v>13</v>
      </c>
      <c r="B7" s="4">
        <v>45971</v>
      </c>
      <c r="C7" s="5">
        <v>0.71843749999999995</v>
      </c>
      <c r="D7" t="s">
        <v>4</v>
      </c>
      <c r="E7" t="s">
        <v>8</v>
      </c>
      <c r="I7" t="s">
        <v>219</v>
      </c>
      <c r="J7" t="s">
        <v>2990</v>
      </c>
      <c r="K7" t="s">
        <v>220</v>
      </c>
      <c r="L7" t="s">
        <v>221</v>
      </c>
      <c r="M7" s="3" t="str">
        <f>HYPERLINK(склад2въезд18[[#This Row],[RelativePath]])</f>
        <v>3 Въезд на базу\E33149364_8_20251110T171433Z.jpg</v>
      </c>
    </row>
    <row r="8" spans="1:13" x14ac:dyDescent="0.25">
      <c r="A8" s="2" t="s">
        <v>14</v>
      </c>
      <c r="B8" s="4">
        <v>45972</v>
      </c>
      <c r="C8" s="5">
        <v>0.39150462962962962</v>
      </c>
      <c r="D8" t="s">
        <v>4</v>
      </c>
      <c r="E8" t="s">
        <v>8</v>
      </c>
      <c r="I8" t="s">
        <v>222</v>
      </c>
      <c r="J8" t="s">
        <v>2990</v>
      </c>
      <c r="K8" t="s">
        <v>223</v>
      </c>
      <c r="L8" t="s">
        <v>224</v>
      </c>
      <c r="M8" s="3" t="str">
        <f>HYPERLINK(склад2въезд18[[#This Row],[RelativePath]])</f>
        <v>3 Въезд на базу\E33149364_8_20251111T092346Z.jpg</v>
      </c>
    </row>
    <row r="9" spans="1:13" x14ac:dyDescent="0.25">
      <c r="A9" s="2" t="s">
        <v>14</v>
      </c>
      <c r="B9" s="4">
        <v>45972</v>
      </c>
      <c r="C9" s="5">
        <v>0.44740740740740742</v>
      </c>
      <c r="D9" t="s">
        <v>4</v>
      </c>
      <c r="E9" t="s">
        <v>8</v>
      </c>
      <c r="I9" t="s">
        <v>225</v>
      </c>
      <c r="J9" t="s">
        <v>2990</v>
      </c>
      <c r="K9" t="s">
        <v>226</v>
      </c>
      <c r="L9" t="s">
        <v>227</v>
      </c>
      <c r="M9" s="3" t="str">
        <f>HYPERLINK(склад2въезд18[[#This Row],[RelativePath]])</f>
        <v>3 Въезд на базу\E33149364_8_20251111T104416Z.jpg</v>
      </c>
    </row>
    <row r="10" spans="1:13" x14ac:dyDescent="0.25">
      <c r="A10" s="2" t="s">
        <v>14</v>
      </c>
      <c r="B10" s="4">
        <v>45972</v>
      </c>
      <c r="C10" s="5">
        <v>0.45055555555555554</v>
      </c>
      <c r="D10" t="s">
        <v>4</v>
      </c>
      <c r="E10" t="s">
        <v>8</v>
      </c>
      <c r="I10" t="s">
        <v>228</v>
      </c>
      <c r="J10" t="s">
        <v>2990</v>
      </c>
      <c r="K10" t="s">
        <v>229</v>
      </c>
      <c r="L10" t="s">
        <v>230</v>
      </c>
      <c r="M10" s="3" t="str">
        <f>HYPERLINK(склад2въезд18[[#This Row],[RelativePath]])</f>
        <v>3 Въезд на базу\E33149364_8_20251111T104848Z.jpg</v>
      </c>
    </row>
    <row r="11" spans="1:13" x14ac:dyDescent="0.25">
      <c r="A11" s="2" t="s">
        <v>14</v>
      </c>
      <c r="B11" s="4">
        <v>45972</v>
      </c>
      <c r="C11" s="5">
        <v>0.48456018518518518</v>
      </c>
      <c r="D11" t="s">
        <v>4</v>
      </c>
      <c r="E11" t="s">
        <v>8</v>
      </c>
      <c r="I11" t="s">
        <v>231</v>
      </c>
      <c r="J11" t="s">
        <v>2990</v>
      </c>
      <c r="K11" t="s">
        <v>232</v>
      </c>
      <c r="L11" t="s">
        <v>233</v>
      </c>
      <c r="M11" s="3" t="str">
        <f>HYPERLINK(склад2въезд18[[#This Row],[RelativePath]])</f>
        <v>3 Въезд на базу\E33149364_8_20251111T113746Z.jpg</v>
      </c>
    </row>
    <row r="12" spans="1:13" x14ac:dyDescent="0.25">
      <c r="A12" s="2" t="s">
        <v>14</v>
      </c>
      <c r="B12" s="4">
        <v>45972</v>
      </c>
      <c r="C12" s="5">
        <v>0.48466435185185186</v>
      </c>
      <c r="D12" t="s">
        <v>4</v>
      </c>
      <c r="E12" t="s">
        <v>8</v>
      </c>
      <c r="I12" t="s">
        <v>234</v>
      </c>
      <c r="J12" t="s">
        <v>2990</v>
      </c>
      <c r="K12" t="s">
        <v>235</v>
      </c>
      <c r="L12" t="s">
        <v>236</v>
      </c>
      <c r="M12" s="3" t="str">
        <f>HYPERLINK(склад2въезд18[[#This Row],[RelativePath]])</f>
        <v>3 Въезд на базу\E33149364_8_20251111T113755Z.jpg</v>
      </c>
    </row>
    <row r="13" spans="1:13" x14ac:dyDescent="0.25">
      <c r="A13" s="2" t="s">
        <v>14</v>
      </c>
      <c r="B13" s="4">
        <v>45972</v>
      </c>
      <c r="C13" s="5">
        <v>0.53394675925925927</v>
      </c>
      <c r="D13" t="s">
        <v>4</v>
      </c>
      <c r="E13" t="s">
        <v>8</v>
      </c>
      <c r="I13" t="s">
        <v>237</v>
      </c>
      <c r="J13" t="s">
        <v>2990</v>
      </c>
      <c r="K13" t="s">
        <v>238</v>
      </c>
      <c r="L13" t="s">
        <v>239</v>
      </c>
      <c r="M13" s="3" t="str">
        <f>HYPERLINK(склад2въезд18[[#This Row],[RelativePath]])</f>
        <v>3 Въезд на базу\E33149364_8_20251111T124853Z.jpg</v>
      </c>
    </row>
    <row r="14" spans="1:13" x14ac:dyDescent="0.25">
      <c r="A14" s="2" t="s">
        <v>14</v>
      </c>
      <c r="B14" s="4">
        <v>45972</v>
      </c>
      <c r="C14" s="5">
        <v>0.53635416666666669</v>
      </c>
      <c r="D14" t="s">
        <v>4</v>
      </c>
      <c r="E14" t="s">
        <v>8</v>
      </c>
      <c r="I14" t="s">
        <v>240</v>
      </c>
      <c r="J14" t="s">
        <v>2990</v>
      </c>
      <c r="K14" t="s">
        <v>241</v>
      </c>
      <c r="L14" t="s">
        <v>242</v>
      </c>
      <c r="M14" s="3" t="str">
        <f>HYPERLINK(склад2въезд18[[#This Row],[RelativePath]])</f>
        <v>3 Въезд на базу\E33149364_8_20251111T125221Z.jpg</v>
      </c>
    </row>
    <row r="15" spans="1:13" x14ac:dyDescent="0.25">
      <c r="A15" s="2" t="s">
        <v>14</v>
      </c>
      <c r="B15" s="4">
        <v>45972</v>
      </c>
      <c r="C15" s="5">
        <v>0.63995370370370375</v>
      </c>
      <c r="D15" t="s">
        <v>4</v>
      </c>
      <c r="E15" t="s">
        <v>8</v>
      </c>
      <c r="I15" t="s">
        <v>243</v>
      </c>
      <c r="J15" t="s">
        <v>2990</v>
      </c>
      <c r="K15" t="s">
        <v>244</v>
      </c>
      <c r="L15" t="s">
        <v>245</v>
      </c>
      <c r="M15" s="3" t="str">
        <f>HYPERLINK(склад2въезд18[[#This Row],[RelativePath]])</f>
        <v>3 Въезд на базу\E33149364_8_20251111T152132Z.jpg</v>
      </c>
    </row>
    <row r="16" spans="1:13" x14ac:dyDescent="0.25">
      <c r="A16" s="2" t="s">
        <v>15</v>
      </c>
      <c r="B16" s="4">
        <v>45973</v>
      </c>
      <c r="C16" s="5">
        <v>0.67754629629629626</v>
      </c>
      <c r="D16" t="s">
        <v>4</v>
      </c>
      <c r="E16" t="s">
        <v>8</v>
      </c>
      <c r="I16" t="s">
        <v>246</v>
      </c>
      <c r="J16" t="s">
        <v>2990</v>
      </c>
      <c r="K16" t="s">
        <v>247</v>
      </c>
      <c r="L16" t="s">
        <v>248</v>
      </c>
      <c r="M16" s="3" t="str">
        <f>HYPERLINK(склад2въезд18[[#This Row],[RelativePath]])</f>
        <v>3 Въезд на базу\E33149364_8_20251112T161540Z.jpg</v>
      </c>
    </row>
    <row r="17" spans="1:13" x14ac:dyDescent="0.25">
      <c r="A17" s="2" t="s">
        <v>15</v>
      </c>
      <c r="B17" s="4">
        <v>45973</v>
      </c>
      <c r="C17" s="5">
        <v>0.6857523148148148</v>
      </c>
      <c r="D17" t="s">
        <v>289</v>
      </c>
      <c r="E17" t="s">
        <v>66</v>
      </c>
      <c r="F17" t="s">
        <v>288</v>
      </c>
      <c r="I17" t="s">
        <v>249</v>
      </c>
      <c r="J17" t="s">
        <v>2990</v>
      </c>
      <c r="K17" t="s">
        <v>250</v>
      </c>
      <c r="L17" t="s">
        <v>251</v>
      </c>
      <c r="M17" s="3" t="str">
        <f>HYPERLINK(склад2въезд18[[#This Row],[RelativePath]])</f>
        <v>3 Въезд на базу\E33149364_8_20251112T162729Z.jpg</v>
      </c>
    </row>
    <row r="18" spans="1:13" x14ac:dyDescent="0.25">
      <c r="A18" s="2" t="s">
        <v>15</v>
      </c>
      <c r="B18" s="4">
        <v>45973</v>
      </c>
      <c r="C18" s="5">
        <v>0.71013888888888888</v>
      </c>
      <c r="D18" t="s">
        <v>4</v>
      </c>
      <c r="E18" t="s">
        <v>8</v>
      </c>
      <c r="I18" t="s">
        <v>252</v>
      </c>
      <c r="J18" t="s">
        <v>2990</v>
      </c>
      <c r="K18" t="s">
        <v>253</v>
      </c>
      <c r="L18" t="s">
        <v>254</v>
      </c>
      <c r="M18" s="3" t="str">
        <f>HYPERLINK(склад2въезд18[[#This Row],[RelativePath]])</f>
        <v>3 Въезд на базу\E33149364_8_20251112T170236Z.jpg</v>
      </c>
    </row>
    <row r="19" spans="1:13" x14ac:dyDescent="0.25">
      <c r="A19" s="2" t="s">
        <v>15</v>
      </c>
      <c r="B19" s="4">
        <v>45973</v>
      </c>
      <c r="C19" s="5">
        <v>0.73420138888888886</v>
      </c>
      <c r="D19" t="s">
        <v>4</v>
      </c>
      <c r="E19" t="s">
        <v>8</v>
      </c>
      <c r="I19" t="s">
        <v>255</v>
      </c>
      <c r="J19" t="s">
        <v>2990</v>
      </c>
      <c r="K19" t="s">
        <v>256</v>
      </c>
      <c r="L19" t="s">
        <v>257</v>
      </c>
      <c r="M19" s="3" t="str">
        <f>HYPERLINK(склад2въезд18[[#This Row],[RelativePath]])</f>
        <v>3 Въезд на базу\E33149364_8_20251112T173715Z.jpg</v>
      </c>
    </row>
    <row r="20" spans="1:13" x14ac:dyDescent="0.25">
      <c r="A20" s="2" t="s">
        <v>16</v>
      </c>
      <c r="B20" s="4">
        <v>45974</v>
      </c>
      <c r="C20" s="5">
        <v>0.37181712962962965</v>
      </c>
      <c r="D20" t="s">
        <v>4</v>
      </c>
      <c r="E20" t="s">
        <v>8</v>
      </c>
      <c r="I20" t="s">
        <v>258</v>
      </c>
      <c r="J20" t="s">
        <v>2990</v>
      </c>
      <c r="K20" t="s">
        <v>259</v>
      </c>
      <c r="L20" t="s">
        <v>260</v>
      </c>
      <c r="M20" s="3" t="str">
        <f>HYPERLINK(склад2въезд18[[#This Row],[RelativePath]])</f>
        <v>3 Въезд на базу\E33149364_8_20251113T085525Z.jpg</v>
      </c>
    </row>
    <row r="21" spans="1:13" x14ac:dyDescent="0.25">
      <c r="A21" s="2" t="s">
        <v>16</v>
      </c>
      <c r="B21" s="4">
        <v>45974</v>
      </c>
      <c r="C21" s="5">
        <v>0.3961689814814815</v>
      </c>
      <c r="D21" t="s">
        <v>4</v>
      </c>
      <c r="E21" t="s">
        <v>8</v>
      </c>
      <c r="I21" t="s">
        <v>261</v>
      </c>
      <c r="J21" t="s">
        <v>2990</v>
      </c>
      <c r="K21" t="s">
        <v>262</v>
      </c>
      <c r="L21" t="s">
        <v>263</v>
      </c>
      <c r="M21" s="3" t="str">
        <f>HYPERLINK(склад2въезд18[[#This Row],[RelativePath]])</f>
        <v>3 Въезд на базу\E33149364_8_20251113T093029Z.jpg</v>
      </c>
    </row>
    <row r="22" spans="1:13" x14ac:dyDescent="0.25">
      <c r="A22" s="2" t="s">
        <v>16</v>
      </c>
      <c r="B22" s="4">
        <v>45974</v>
      </c>
      <c r="C22" s="5">
        <v>0.39884259259259258</v>
      </c>
      <c r="D22" t="s">
        <v>4</v>
      </c>
      <c r="E22" t="s">
        <v>8</v>
      </c>
      <c r="I22" t="s">
        <v>264</v>
      </c>
      <c r="J22" t="s">
        <v>2990</v>
      </c>
      <c r="K22" t="s">
        <v>265</v>
      </c>
      <c r="L22" t="s">
        <v>266</v>
      </c>
      <c r="M22" s="3" t="str">
        <f>HYPERLINK(склад2въезд18[[#This Row],[RelativePath]])</f>
        <v>3 Въезд на базу\E33149364_8_20251113T093420Z.jpg</v>
      </c>
    </row>
    <row r="23" spans="1:13" x14ac:dyDescent="0.25">
      <c r="A23" s="2" t="s">
        <v>16</v>
      </c>
      <c r="B23" s="4">
        <v>45974</v>
      </c>
      <c r="C23" s="5">
        <v>0.52461805555555552</v>
      </c>
      <c r="D23" t="s">
        <v>4</v>
      </c>
      <c r="E23" t="s">
        <v>8</v>
      </c>
      <c r="I23" t="s">
        <v>267</v>
      </c>
      <c r="J23" t="s">
        <v>2990</v>
      </c>
      <c r="K23" t="s">
        <v>268</v>
      </c>
      <c r="L23" t="s">
        <v>269</v>
      </c>
      <c r="M23" s="3" t="str">
        <f>HYPERLINK(склад2въезд18[[#This Row],[RelativePath]])</f>
        <v>3 Въезд на базу\E33149364_8_20251113T123527Z.jpg</v>
      </c>
    </row>
    <row r="24" spans="1:13" x14ac:dyDescent="0.25">
      <c r="A24" s="2" t="s">
        <v>16</v>
      </c>
      <c r="B24" s="4">
        <v>45974</v>
      </c>
      <c r="C24" s="5">
        <v>0.60538194444444449</v>
      </c>
      <c r="D24" t="s">
        <v>4</v>
      </c>
      <c r="E24" t="s">
        <v>8</v>
      </c>
      <c r="I24" t="s">
        <v>270</v>
      </c>
      <c r="J24" t="s">
        <v>2990</v>
      </c>
      <c r="K24" t="s">
        <v>271</v>
      </c>
      <c r="L24" t="s">
        <v>272</v>
      </c>
      <c r="M24" s="3" t="str">
        <f>HYPERLINK(склад2въезд18[[#This Row],[RelativePath]])</f>
        <v>3 Въезд на базу\E33149364_8_20251113T143145Z.jpg</v>
      </c>
    </row>
    <row r="25" spans="1:13" x14ac:dyDescent="0.25">
      <c r="A25" s="2" t="s">
        <v>16</v>
      </c>
      <c r="B25" s="4">
        <v>45974</v>
      </c>
      <c r="C25" s="5">
        <v>0.72965277777777782</v>
      </c>
      <c r="D25" t="s">
        <v>4</v>
      </c>
      <c r="E25" t="s">
        <v>8</v>
      </c>
      <c r="I25" t="s">
        <v>273</v>
      </c>
      <c r="J25" t="s">
        <v>2990</v>
      </c>
      <c r="K25" t="s">
        <v>274</v>
      </c>
      <c r="L25" t="s">
        <v>275</v>
      </c>
      <c r="M25" s="3" t="str">
        <f>HYPERLINK(склад2въезд18[[#This Row],[RelativePath]])</f>
        <v>3 Въезд на базу\E33149364_8_20251113T173042Z.jpg</v>
      </c>
    </row>
    <row r="26" spans="1:13" x14ac:dyDescent="0.25">
      <c r="A26" s="2" t="s">
        <v>17</v>
      </c>
      <c r="B26" s="4">
        <v>45975</v>
      </c>
      <c r="C26" s="5">
        <v>0.39704861111111112</v>
      </c>
      <c r="D26" t="s">
        <v>4</v>
      </c>
      <c r="E26" t="s">
        <v>8</v>
      </c>
      <c r="I26" t="s">
        <v>276</v>
      </c>
      <c r="J26" t="s">
        <v>2990</v>
      </c>
      <c r="K26" t="s">
        <v>277</v>
      </c>
      <c r="L26" t="s">
        <v>278</v>
      </c>
      <c r="M26" s="3" t="str">
        <f>HYPERLINK(склад2въезд18[[#This Row],[RelativePath]])</f>
        <v>3 Въезд на базу\E33149364_8_20251114T093145Z.jpg</v>
      </c>
    </row>
    <row r="27" spans="1:13" x14ac:dyDescent="0.25">
      <c r="A27" s="2" t="s">
        <v>17</v>
      </c>
      <c r="B27" s="4">
        <v>45975</v>
      </c>
      <c r="C27" s="5">
        <v>0.5526388888888889</v>
      </c>
      <c r="D27" t="s">
        <v>290</v>
      </c>
      <c r="E27" t="s">
        <v>66</v>
      </c>
      <c r="F27" t="s">
        <v>88</v>
      </c>
      <c r="I27" t="s">
        <v>279</v>
      </c>
      <c r="J27" t="s">
        <v>2990</v>
      </c>
      <c r="K27" t="s">
        <v>280</v>
      </c>
      <c r="L27" t="s">
        <v>281</v>
      </c>
      <c r="M27" s="3" t="str">
        <f>HYPERLINK(склад2въезд18[[#This Row],[RelativePath]])</f>
        <v>3 Въезд на базу\E33149364_8_20251114T131548Z.jpg</v>
      </c>
    </row>
    <row r="28" spans="1:13" x14ac:dyDescent="0.25">
      <c r="A28" s="2" t="s">
        <v>17</v>
      </c>
      <c r="B28" s="4">
        <v>45975</v>
      </c>
      <c r="C28" s="5">
        <v>0.57384259259259263</v>
      </c>
      <c r="D28" t="s">
        <v>4</v>
      </c>
      <c r="E28" t="s">
        <v>8</v>
      </c>
      <c r="I28" t="s">
        <v>282</v>
      </c>
      <c r="J28" t="s">
        <v>2990</v>
      </c>
      <c r="K28" t="s">
        <v>283</v>
      </c>
      <c r="L28" t="s">
        <v>284</v>
      </c>
      <c r="M28" s="3" t="str">
        <f>HYPERLINK(склад2въезд18[[#This Row],[RelativePath]])</f>
        <v>3 Въезд на базу\E33149364_8_20251114T134620Z.jpg</v>
      </c>
    </row>
    <row r="29" spans="1:13" x14ac:dyDescent="0.25">
      <c r="A29" s="2" t="s">
        <v>17</v>
      </c>
      <c r="B29" s="4">
        <v>45975</v>
      </c>
      <c r="C29" s="5">
        <v>0.72843749999999996</v>
      </c>
      <c r="D29" t="s">
        <v>4</v>
      </c>
      <c r="E29" t="s">
        <v>8</v>
      </c>
      <c r="I29" t="s">
        <v>285</v>
      </c>
      <c r="J29" t="s">
        <v>2990</v>
      </c>
      <c r="K29" t="s">
        <v>286</v>
      </c>
      <c r="L29" t="s">
        <v>287</v>
      </c>
      <c r="M29" s="3" t="str">
        <f>HYPERLINK(склад2въезд18[[#This Row],[RelativePath]])</f>
        <v>3 Въезд на базу\E33149364_8_20251114T172857Z.jpg</v>
      </c>
    </row>
    <row r="30" spans="1:13" x14ac:dyDescent="0.25">
      <c r="A30" s="2" t="s">
        <v>18</v>
      </c>
      <c r="B30" s="4">
        <v>45976</v>
      </c>
      <c r="C30" s="5">
        <v>0.4364351851851852</v>
      </c>
      <c r="D30" t="s">
        <v>4</v>
      </c>
      <c r="E30" t="s">
        <v>8</v>
      </c>
      <c r="I30" t="s">
        <v>1211</v>
      </c>
      <c r="J30" t="s">
        <v>2990</v>
      </c>
      <c r="K30" t="s">
        <v>1212</v>
      </c>
      <c r="L30" t="s">
        <v>1213</v>
      </c>
      <c r="M30" s="3" t="str">
        <f>HYPERLINK(склад2въезд18[[#This Row],[RelativePath]])</f>
        <v>3 Въезд на базу\E33149364_8_20251115T102828Z.jpg</v>
      </c>
    </row>
    <row r="31" spans="1:13" x14ac:dyDescent="0.25">
      <c r="A31" s="2" t="s">
        <v>18</v>
      </c>
      <c r="B31" s="4">
        <v>45976</v>
      </c>
      <c r="C31" s="5">
        <v>0.46833333333333332</v>
      </c>
      <c r="D31" t="s">
        <v>4</v>
      </c>
      <c r="E31" t="s">
        <v>2005</v>
      </c>
      <c r="H31" t="s">
        <v>2006</v>
      </c>
      <c r="I31" t="s">
        <v>1214</v>
      </c>
      <c r="J31" t="s">
        <v>2990</v>
      </c>
      <c r="K31" t="s">
        <v>1215</v>
      </c>
      <c r="L31" t="s">
        <v>1216</v>
      </c>
      <c r="M31" s="3" t="str">
        <f>HYPERLINK(склад2въезд18[[#This Row],[RelativePath]])</f>
        <v>3 Въезд на базу\E33149364_8_20251115T111424Z.jpg</v>
      </c>
    </row>
    <row r="32" spans="1:13" x14ac:dyDescent="0.25">
      <c r="A32" s="2" t="s">
        <v>18</v>
      </c>
      <c r="B32" s="4">
        <v>45976</v>
      </c>
      <c r="C32" s="5">
        <v>0.4975</v>
      </c>
      <c r="D32" t="s">
        <v>4</v>
      </c>
      <c r="E32" t="s">
        <v>2005</v>
      </c>
      <c r="H32" t="s">
        <v>2007</v>
      </c>
      <c r="I32" t="s">
        <v>1217</v>
      </c>
      <c r="J32" t="s">
        <v>2990</v>
      </c>
      <c r="K32" t="s">
        <v>1218</v>
      </c>
      <c r="L32" t="s">
        <v>1219</v>
      </c>
      <c r="M32" s="3" t="str">
        <f>HYPERLINK(склад2въезд18[[#This Row],[RelativePath]])</f>
        <v>3 Въезд на базу\E33149364_8_20251115T115624Z.jpg</v>
      </c>
    </row>
    <row r="33" spans="1:13" x14ac:dyDescent="0.25">
      <c r="A33" s="2" t="s">
        <v>18</v>
      </c>
      <c r="B33" s="4">
        <v>45976</v>
      </c>
      <c r="C33" s="5">
        <v>0.63564814814814818</v>
      </c>
      <c r="D33" t="s">
        <v>4</v>
      </c>
      <c r="E33" t="s">
        <v>56</v>
      </c>
      <c r="H33" t="s">
        <v>2008</v>
      </c>
      <c r="I33" t="s">
        <v>1220</v>
      </c>
      <c r="J33" t="s">
        <v>2990</v>
      </c>
      <c r="K33" t="s">
        <v>1221</v>
      </c>
      <c r="L33" t="s">
        <v>1222</v>
      </c>
      <c r="M33" s="3" t="str">
        <f>HYPERLINK(склад2въезд18[[#This Row],[RelativePath]])</f>
        <v>3 Въезд на базу\E33149364_8_20251115T151520Z.jpg</v>
      </c>
    </row>
    <row r="34" spans="1:13" x14ac:dyDescent="0.25">
      <c r="A34" s="2" t="s">
        <v>18</v>
      </c>
      <c r="B34" s="4">
        <v>45976</v>
      </c>
      <c r="C34" s="5">
        <v>0.64347222222222222</v>
      </c>
      <c r="D34" t="s">
        <v>4</v>
      </c>
      <c r="E34" t="s">
        <v>8</v>
      </c>
      <c r="I34" t="s">
        <v>1223</v>
      </c>
      <c r="J34" t="s">
        <v>2990</v>
      </c>
      <c r="K34" t="s">
        <v>1224</v>
      </c>
      <c r="L34" t="s">
        <v>1225</v>
      </c>
      <c r="M34" s="3" t="str">
        <f>HYPERLINK(склад2въезд18[[#This Row],[RelativePath]])</f>
        <v>3 Въезд на базу\E33149364_8_20251115T152636Z.jpg</v>
      </c>
    </row>
    <row r="35" spans="1:13" x14ac:dyDescent="0.25">
      <c r="A35" s="2" t="s">
        <v>18</v>
      </c>
      <c r="B35" s="4">
        <v>45976</v>
      </c>
      <c r="C35" s="5">
        <v>0.72960648148148144</v>
      </c>
      <c r="D35" t="s">
        <v>4</v>
      </c>
      <c r="E35" t="s">
        <v>8</v>
      </c>
      <c r="H35" t="s">
        <v>1625</v>
      </c>
      <c r="I35" t="s">
        <v>1226</v>
      </c>
      <c r="J35" t="s">
        <v>2990</v>
      </c>
      <c r="K35" t="s">
        <v>1227</v>
      </c>
      <c r="L35" t="s">
        <v>1228</v>
      </c>
      <c r="M35" s="3" t="str">
        <f>HYPERLINK(склад2въезд18[[#This Row],[RelativePath]])</f>
        <v>3 Въезд на базу\E33149364_8_20251115T173038Z.jpg</v>
      </c>
    </row>
    <row r="36" spans="1:13" x14ac:dyDescent="0.25">
      <c r="A36" s="2" t="s">
        <v>22</v>
      </c>
      <c r="B36" s="4">
        <v>45977</v>
      </c>
      <c r="C36" s="5">
        <v>0.36952546296296296</v>
      </c>
      <c r="D36" t="s">
        <v>4</v>
      </c>
      <c r="E36" t="s">
        <v>8</v>
      </c>
      <c r="H36" t="s">
        <v>2009</v>
      </c>
      <c r="I36" t="s">
        <v>1229</v>
      </c>
      <c r="J36" t="s">
        <v>2990</v>
      </c>
      <c r="K36" t="s">
        <v>1230</v>
      </c>
      <c r="L36" t="s">
        <v>1231</v>
      </c>
      <c r="M36" s="3" t="str">
        <f>HYPERLINK(склад2въезд18[[#This Row],[RelativePath]])</f>
        <v>3 Въезд на базу\E33149364_8_20251116T085207Z.jpg</v>
      </c>
    </row>
    <row r="37" spans="1:13" x14ac:dyDescent="0.25">
      <c r="A37" s="2" t="s">
        <v>22</v>
      </c>
      <c r="B37" s="4">
        <v>45977</v>
      </c>
      <c r="C37" s="5">
        <v>0.59351851851851856</v>
      </c>
      <c r="D37" t="s">
        <v>4</v>
      </c>
      <c r="E37" t="s">
        <v>8</v>
      </c>
      <c r="H37" t="s">
        <v>2004</v>
      </c>
      <c r="I37" t="s">
        <v>1232</v>
      </c>
      <c r="J37" t="s">
        <v>2990</v>
      </c>
      <c r="K37" t="s">
        <v>1233</v>
      </c>
      <c r="L37" t="s">
        <v>1234</v>
      </c>
      <c r="M37" s="3" t="str">
        <f>HYPERLINK(склад2въезд18[[#This Row],[RelativePath]])</f>
        <v>3 Въезд на базу\E33149364_8_20251116T141440Z.jpg</v>
      </c>
    </row>
    <row r="38" spans="1:13" x14ac:dyDescent="0.25">
      <c r="A38" s="2" t="s">
        <v>22</v>
      </c>
      <c r="B38" s="4">
        <v>45977</v>
      </c>
      <c r="C38" s="5">
        <v>0.71975694444444449</v>
      </c>
      <c r="D38" t="s">
        <v>4</v>
      </c>
      <c r="E38" t="s">
        <v>8</v>
      </c>
      <c r="H38" t="s">
        <v>1625</v>
      </c>
      <c r="I38" t="s">
        <v>1235</v>
      </c>
      <c r="J38" t="s">
        <v>2990</v>
      </c>
      <c r="K38" t="s">
        <v>1236</v>
      </c>
      <c r="L38" t="s">
        <v>1237</v>
      </c>
      <c r="M38" s="3" t="str">
        <f>HYPERLINK(склад2въезд18[[#This Row],[RelativePath]])</f>
        <v>3 Въезд на базу\E33149364_8_20251116T171627Z.jpg</v>
      </c>
    </row>
    <row r="39" spans="1:13" x14ac:dyDescent="0.25">
      <c r="A39" s="2" t="s">
        <v>13</v>
      </c>
      <c r="B39" s="4">
        <v>45978</v>
      </c>
      <c r="C39" s="5">
        <v>0.72520833333333334</v>
      </c>
      <c r="D39" t="s">
        <v>2004</v>
      </c>
      <c r="I39" t="s">
        <v>2064</v>
      </c>
      <c r="J39" t="s">
        <v>2990</v>
      </c>
      <c r="K39" t="s">
        <v>2065</v>
      </c>
      <c r="L39" t="s">
        <v>2066</v>
      </c>
      <c r="M39" s="3" t="str">
        <f>HYPERLINK(склад2въезд18[[#This Row],[RelativePath]])</f>
        <v>3 Въезд на базу\E33149364_8_20251117T172418Z.jpg</v>
      </c>
    </row>
    <row r="40" spans="1:13" x14ac:dyDescent="0.25">
      <c r="A40" s="2" t="s">
        <v>14</v>
      </c>
      <c r="B40" s="4">
        <v>45979</v>
      </c>
      <c r="C40" s="5">
        <v>0.37560185185185185</v>
      </c>
      <c r="D40" t="s">
        <v>4</v>
      </c>
      <c r="E40" t="s">
        <v>8</v>
      </c>
      <c r="I40" t="s">
        <v>2067</v>
      </c>
      <c r="J40" t="s">
        <v>2990</v>
      </c>
      <c r="K40" t="s">
        <v>2068</v>
      </c>
      <c r="L40" t="s">
        <v>2069</v>
      </c>
      <c r="M40" s="3" t="str">
        <f>HYPERLINK(склад2въезд18[[#This Row],[RelativePath]])</f>
        <v>3 Въезд на базу\E33149364_8_20251118T090052Z.jpg</v>
      </c>
    </row>
    <row r="41" spans="1:13" x14ac:dyDescent="0.25">
      <c r="A41" s="2" t="s">
        <v>14</v>
      </c>
      <c r="B41" s="4">
        <v>45979</v>
      </c>
      <c r="C41" s="5">
        <v>0.58296296296296302</v>
      </c>
      <c r="D41" t="s">
        <v>289</v>
      </c>
      <c r="E41" t="s">
        <v>2927</v>
      </c>
      <c r="F41" t="s">
        <v>58</v>
      </c>
      <c r="H41" t="s">
        <v>2928</v>
      </c>
      <c r="I41" t="s">
        <v>2070</v>
      </c>
      <c r="J41" t="s">
        <v>2990</v>
      </c>
      <c r="K41" t="s">
        <v>2071</v>
      </c>
      <c r="L41" t="s">
        <v>2072</v>
      </c>
      <c r="M41" s="3" t="str">
        <f>HYPERLINK(склад2въезд18[[#This Row],[RelativePath]])</f>
        <v>3 Въезд на базу\E33149364_8_20251118T135928Z.jpg</v>
      </c>
    </row>
    <row r="42" spans="1:13" x14ac:dyDescent="0.25">
      <c r="A42" s="2" t="s">
        <v>15</v>
      </c>
      <c r="B42" s="4">
        <v>45980</v>
      </c>
      <c r="C42" s="5">
        <v>0.49180555555555555</v>
      </c>
      <c r="D42" t="s">
        <v>4</v>
      </c>
      <c r="E42" t="s">
        <v>8</v>
      </c>
      <c r="I42" t="s">
        <v>2073</v>
      </c>
      <c r="J42" t="s">
        <v>2990</v>
      </c>
      <c r="K42" t="s">
        <v>2074</v>
      </c>
      <c r="L42" t="s">
        <v>2075</v>
      </c>
      <c r="M42" s="3" t="str">
        <f>HYPERLINK(склад2въезд18[[#This Row],[RelativePath]])</f>
        <v>3 Въезд на базу\E33149364_8_20251119T114812Z.jpg</v>
      </c>
    </row>
    <row r="43" spans="1:13" x14ac:dyDescent="0.25">
      <c r="A43" s="2" t="s">
        <v>16</v>
      </c>
      <c r="B43" s="4">
        <v>45981</v>
      </c>
      <c r="C43" s="5">
        <v>0.60149305555555554</v>
      </c>
      <c r="D43" t="s">
        <v>4</v>
      </c>
      <c r="E43" t="s">
        <v>8</v>
      </c>
      <c r="I43" t="s">
        <v>2076</v>
      </c>
      <c r="J43" t="s">
        <v>2990</v>
      </c>
      <c r="K43" t="s">
        <v>2077</v>
      </c>
      <c r="L43" t="s">
        <v>2078</v>
      </c>
      <c r="M43" s="3" t="str">
        <f>HYPERLINK(склад2въезд18[[#This Row],[RelativePath]])</f>
        <v>3 Въезд на базу\E33149364_8_20251120T142609Z.jpg</v>
      </c>
    </row>
    <row r="44" spans="1:13" x14ac:dyDescent="0.25">
      <c r="A44" s="2" t="s">
        <v>16</v>
      </c>
      <c r="B44" s="4">
        <v>45981</v>
      </c>
      <c r="C44" s="5">
        <v>0.72138888888888886</v>
      </c>
      <c r="D44" t="s">
        <v>4</v>
      </c>
      <c r="E44" t="s">
        <v>8</v>
      </c>
      <c r="I44" t="s">
        <v>2079</v>
      </c>
      <c r="J44" t="s">
        <v>2990</v>
      </c>
      <c r="K44" t="s">
        <v>2080</v>
      </c>
      <c r="L44" t="s">
        <v>2081</v>
      </c>
      <c r="M44" s="3" t="str">
        <f>HYPERLINK(склад2въезд18[[#This Row],[RelativePath]])</f>
        <v>3 Въезд на базу\E33149364_8_20251120T171848Z.jpg</v>
      </c>
    </row>
    <row r="45" spans="1:13" x14ac:dyDescent="0.25">
      <c r="A45" s="2" t="s">
        <v>17</v>
      </c>
      <c r="B45" s="4">
        <v>45982</v>
      </c>
      <c r="C45" s="5">
        <v>0.44034722222222222</v>
      </c>
      <c r="D45" t="s">
        <v>289</v>
      </c>
      <c r="E45" t="s">
        <v>2927</v>
      </c>
      <c r="F45" t="s">
        <v>2929</v>
      </c>
      <c r="H45" t="s">
        <v>4203</v>
      </c>
      <c r="I45" t="s">
        <v>2082</v>
      </c>
      <c r="J45" t="s">
        <v>2990</v>
      </c>
      <c r="K45" t="s">
        <v>2083</v>
      </c>
      <c r="L45" t="s">
        <v>2084</v>
      </c>
      <c r="M45" s="3" t="str">
        <f>HYPERLINK(склад2въезд18[[#This Row],[RelativePath]])</f>
        <v>3 Въезд на базу\E33149364_8_20251121T103406Z.jpg</v>
      </c>
    </row>
    <row r="46" spans="1:13" x14ac:dyDescent="0.25">
      <c r="A46" s="2" t="s">
        <v>17</v>
      </c>
      <c r="B46" s="4">
        <v>45982</v>
      </c>
      <c r="C46" s="5">
        <v>0.72569444444444442</v>
      </c>
      <c r="D46" t="s">
        <v>4</v>
      </c>
      <c r="E46" t="s">
        <v>8</v>
      </c>
      <c r="I46" t="s">
        <v>2085</v>
      </c>
      <c r="J46" t="s">
        <v>2990</v>
      </c>
      <c r="K46" t="s">
        <v>2086</v>
      </c>
      <c r="L46" t="s">
        <v>2087</v>
      </c>
      <c r="M46" s="3" t="str">
        <f>HYPERLINK(склад2въезд18[[#This Row],[RelativePath]])</f>
        <v>3 Въезд на базу\E33149364_8_20251121T172500Z.jpg</v>
      </c>
    </row>
    <row r="47" spans="1:13" x14ac:dyDescent="0.25">
      <c r="A47" s="2" t="s">
        <v>18</v>
      </c>
      <c r="B47" s="4">
        <v>45983</v>
      </c>
      <c r="C47" s="5">
        <v>0.72243055555555558</v>
      </c>
      <c r="D47" t="s">
        <v>2004</v>
      </c>
      <c r="I47" t="s">
        <v>2088</v>
      </c>
      <c r="J47" t="s">
        <v>2990</v>
      </c>
      <c r="K47" t="s">
        <v>2089</v>
      </c>
      <c r="L47" t="s">
        <v>2090</v>
      </c>
      <c r="M47" s="3" t="str">
        <f>HYPERLINK(склад2въезд18[[#This Row],[RelativePath]])</f>
        <v>3 Въезд на базу\E33149364_8_20251122T172018Z.jpg</v>
      </c>
    </row>
    <row r="48" spans="1:13" x14ac:dyDescent="0.25">
      <c r="A48" s="2" t="s">
        <v>22</v>
      </c>
      <c r="B48" s="4">
        <v>45984</v>
      </c>
      <c r="C48" s="5">
        <v>0.67787037037037035</v>
      </c>
      <c r="D48" t="s">
        <v>2004</v>
      </c>
      <c r="I48" t="s">
        <v>2091</v>
      </c>
      <c r="J48" t="s">
        <v>2990</v>
      </c>
      <c r="K48" t="s">
        <v>2092</v>
      </c>
      <c r="L48" t="s">
        <v>2093</v>
      </c>
      <c r="M48" s="3" t="str">
        <f>HYPERLINK(склад2въезд18[[#This Row],[RelativePath]])</f>
        <v>3 Въезд на базу\E33149364_8_20251123T161608Z.jpg</v>
      </c>
    </row>
    <row r="49" spans="1:13" x14ac:dyDescent="0.25">
      <c r="A49" s="2" t="s">
        <v>13</v>
      </c>
      <c r="B49" s="4">
        <v>45985</v>
      </c>
      <c r="C49" s="5">
        <v>0.44565972222222222</v>
      </c>
      <c r="D49" t="s">
        <v>4</v>
      </c>
      <c r="E49" t="s">
        <v>8</v>
      </c>
      <c r="I49" t="s">
        <v>3336</v>
      </c>
      <c r="J49" t="s">
        <v>2990</v>
      </c>
      <c r="K49" t="s">
        <v>3337</v>
      </c>
      <c r="L49" t="s">
        <v>3338</v>
      </c>
      <c r="M49" s="3" t="str">
        <f>HYPERLINK(склад2въезд18[[#This Row],[RelativePath]])</f>
        <v>3 Въезд на базу\E33149364_8_20251124T104145Z.jpg</v>
      </c>
    </row>
    <row r="50" spans="1:13" x14ac:dyDescent="0.25">
      <c r="A50" s="2" t="s">
        <v>13</v>
      </c>
      <c r="B50" s="4">
        <v>45985</v>
      </c>
      <c r="C50" s="5">
        <v>0.56355324074074076</v>
      </c>
      <c r="D50" t="s">
        <v>4</v>
      </c>
      <c r="E50" t="s">
        <v>8</v>
      </c>
      <c r="I50" t="s">
        <v>3339</v>
      </c>
      <c r="J50" t="s">
        <v>2990</v>
      </c>
      <c r="K50" t="s">
        <v>3340</v>
      </c>
      <c r="L50" t="s">
        <v>3341</v>
      </c>
      <c r="M50" s="3" t="str">
        <f>HYPERLINK(склад2въезд18[[#This Row],[RelativePath]])</f>
        <v>3 Въезд на базу\E33149364_8_20251124T133131Z.jpg</v>
      </c>
    </row>
    <row r="51" spans="1:13" x14ac:dyDescent="0.25">
      <c r="A51" s="2" t="s">
        <v>13</v>
      </c>
      <c r="B51" s="4">
        <v>45985</v>
      </c>
      <c r="C51" s="5">
        <v>0.73635416666666664</v>
      </c>
      <c r="D51" t="s">
        <v>4</v>
      </c>
      <c r="E51" t="s">
        <v>70</v>
      </c>
      <c r="F51" t="s">
        <v>58</v>
      </c>
      <c r="I51" t="s">
        <v>3342</v>
      </c>
      <c r="J51" t="s">
        <v>2990</v>
      </c>
      <c r="K51" t="s">
        <v>3343</v>
      </c>
      <c r="L51" t="s">
        <v>3344</v>
      </c>
      <c r="M51" s="3" t="str">
        <f>HYPERLINK(склад2въезд18[[#This Row],[RelativePath]])</f>
        <v>3 Въезд на базу\E33149364_8_20251124T174021Z.jpg</v>
      </c>
    </row>
    <row r="52" spans="1:13" x14ac:dyDescent="0.25">
      <c r="A52" s="2" t="s">
        <v>13</v>
      </c>
      <c r="B52" s="4">
        <v>45985</v>
      </c>
      <c r="C52" s="5">
        <v>0.75795138888888891</v>
      </c>
      <c r="D52" t="s">
        <v>4</v>
      </c>
      <c r="E52" t="s">
        <v>70</v>
      </c>
      <c r="F52" t="s">
        <v>51</v>
      </c>
      <c r="H52" t="s">
        <v>4204</v>
      </c>
      <c r="I52" t="s">
        <v>3345</v>
      </c>
      <c r="J52" t="s">
        <v>2990</v>
      </c>
      <c r="K52" t="s">
        <v>3346</v>
      </c>
      <c r="L52" t="s">
        <v>3347</v>
      </c>
      <c r="M52" s="3" t="str">
        <f>HYPERLINK(склад2въезд18[[#This Row],[RelativePath]])</f>
        <v>3 Въезд на базу\E33149364_8_20251124T181127Z.jpg</v>
      </c>
    </row>
    <row r="53" spans="1:13" x14ac:dyDescent="0.25">
      <c r="A53" s="2" t="s">
        <v>14</v>
      </c>
      <c r="B53" s="4">
        <v>45986</v>
      </c>
      <c r="C53" s="5">
        <v>0.5118287037037037</v>
      </c>
      <c r="D53" t="s">
        <v>4</v>
      </c>
      <c r="E53" t="s">
        <v>8</v>
      </c>
      <c r="I53" t="s">
        <v>3348</v>
      </c>
      <c r="J53" t="s">
        <v>2990</v>
      </c>
      <c r="K53" t="s">
        <v>3349</v>
      </c>
      <c r="L53" t="s">
        <v>3350</v>
      </c>
      <c r="M53" s="3" t="str">
        <f>HYPERLINK(склад2въезд18[[#This Row],[RelativePath]])</f>
        <v>3 Въезд на базу\E33149364_8_20251125T121702Z.jpg</v>
      </c>
    </row>
    <row r="54" spans="1:13" x14ac:dyDescent="0.25">
      <c r="A54" s="2" t="s">
        <v>14</v>
      </c>
      <c r="B54" s="4">
        <v>45986</v>
      </c>
      <c r="C54" s="5">
        <v>0.69212962962962965</v>
      </c>
      <c r="D54" t="s">
        <v>2004</v>
      </c>
      <c r="I54" t="s">
        <v>3351</v>
      </c>
      <c r="J54" t="s">
        <v>2990</v>
      </c>
      <c r="K54" t="s">
        <v>3352</v>
      </c>
      <c r="L54" t="s">
        <v>3353</v>
      </c>
      <c r="M54" s="3" t="str">
        <f>HYPERLINK(склад2въезд18[[#This Row],[RelativePath]])</f>
        <v>3 Въезд на базу\E33149364_8_20251125T163640Z.jpg</v>
      </c>
    </row>
    <row r="55" spans="1:13" x14ac:dyDescent="0.25">
      <c r="A55" s="2" t="s">
        <v>15</v>
      </c>
      <c r="B55" s="4">
        <v>45987</v>
      </c>
      <c r="C55" s="5">
        <v>0.45251157407407405</v>
      </c>
      <c r="D55" t="s">
        <v>4</v>
      </c>
      <c r="E55" t="s">
        <v>4192</v>
      </c>
      <c r="F55" t="s">
        <v>58</v>
      </c>
      <c r="I55" t="s">
        <v>3354</v>
      </c>
      <c r="J55" t="s">
        <v>2990</v>
      </c>
      <c r="K55" t="s">
        <v>3355</v>
      </c>
      <c r="L55" t="s">
        <v>3356</v>
      </c>
      <c r="M55" s="3" t="str">
        <f>HYPERLINK(склад2въезд18[[#This Row],[RelativePath]])</f>
        <v>3 Въезд на базу\E33149364_8_20251126T105137Z.jpg</v>
      </c>
    </row>
    <row r="56" spans="1:13" x14ac:dyDescent="0.25">
      <c r="A56" s="2" t="s">
        <v>15</v>
      </c>
      <c r="B56" s="4">
        <v>45987</v>
      </c>
      <c r="C56" s="5">
        <v>0.51675925925925925</v>
      </c>
      <c r="D56" t="s">
        <v>4</v>
      </c>
      <c r="E56" t="s">
        <v>8</v>
      </c>
      <c r="I56" t="s">
        <v>3357</v>
      </c>
      <c r="J56" t="s">
        <v>2990</v>
      </c>
      <c r="K56" t="s">
        <v>3358</v>
      </c>
      <c r="L56" t="s">
        <v>3359</v>
      </c>
      <c r="M56" s="3" t="str">
        <f>HYPERLINK(склад2въезд18[[#This Row],[RelativePath]])</f>
        <v>3 Въезд на базу\E33149364_8_20251126T122408Z.jpg</v>
      </c>
    </row>
    <row r="57" spans="1:13" x14ac:dyDescent="0.25">
      <c r="A57" s="2" t="s">
        <v>16</v>
      </c>
      <c r="B57" s="4">
        <v>45988</v>
      </c>
      <c r="C57" s="5">
        <v>0.48026620370370371</v>
      </c>
      <c r="D57" t="s">
        <v>4</v>
      </c>
      <c r="E57" t="s">
        <v>8</v>
      </c>
      <c r="I57" t="s">
        <v>3360</v>
      </c>
      <c r="J57" t="s">
        <v>2990</v>
      </c>
      <c r="K57" t="s">
        <v>3361</v>
      </c>
      <c r="L57" t="s">
        <v>3362</v>
      </c>
      <c r="M57" s="3" t="str">
        <f>HYPERLINK(склад2въезд18[[#This Row],[RelativePath]])</f>
        <v>3 Въезд на базу\E33149364_8_20251127T113135Z.jpg</v>
      </c>
    </row>
    <row r="58" spans="1:13" x14ac:dyDescent="0.25">
      <c r="A58" s="2" t="s">
        <v>16</v>
      </c>
      <c r="B58" s="4">
        <v>45988</v>
      </c>
      <c r="C58" s="5">
        <v>0.69488425925925923</v>
      </c>
      <c r="D58" t="s">
        <v>2004</v>
      </c>
      <c r="I58" t="s">
        <v>3363</v>
      </c>
      <c r="J58" t="s">
        <v>2990</v>
      </c>
      <c r="K58" t="s">
        <v>3364</v>
      </c>
      <c r="L58" t="s">
        <v>3365</v>
      </c>
      <c r="M58" s="3" t="str">
        <f>HYPERLINK(склад2въезд18[[#This Row],[RelativePath]])</f>
        <v>3 Въезд на базу\E33149364_8_20251127T164038Z.jpg</v>
      </c>
    </row>
    <row r="59" spans="1:13" x14ac:dyDescent="0.25">
      <c r="A59" s="2" t="s">
        <v>17</v>
      </c>
      <c r="B59" s="4">
        <v>45989</v>
      </c>
      <c r="C59" s="5">
        <v>0.46827546296296296</v>
      </c>
      <c r="D59" t="s">
        <v>4</v>
      </c>
      <c r="E59" t="s">
        <v>8</v>
      </c>
      <c r="I59" t="s">
        <v>3366</v>
      </c>
      <c r="J59" t="s">
        <v>2990</v>
      </c>
      <c r="K59" t="s">
        <v>3367</v>
      </c>
      <c r="L59" t="s">
        <v>3368</v>
      </c>
      <c r="M59" s="3" t="str">
        <f>HYPERLINK(склад2въезд18[[#This Row],[RelativePath]])</f>
        <v>3 Въезд на базу\E33149364_8_20251128T111419Z.jpg</v>
      </c>
    </row>
    <row r="60" spans="1:13" x14ac:dyDescent="0.25">
      <c r="A60" s="2" t="s">
        <v>17</v>
      </c>
      <c r="B60" s="4">
        <v>45989</v>
      </c>
      <c r="C60" s="5">
        <v>0.70848379629629632</v>
      </c>
      <c r="D60" t="s">
        <v>2004</v>
      </c>
      <c r="I60" t="s">
        <v>3369</v>
      </c>
      <c r="J60" t="s">
        <v>2990</v>
      </c>
      <c r="K60" t="s">
        <v>3370</v>
      </c>
      <c r="L60" t="s">
        <v>3371</v>
      </c>
      <c r="M60" s="3" t="str">
        <f>HYPERLINK(склад2въезд18[[#This Row],[RelativePath]])</f>
        <v>3 Въезд на базу\E33149364_8_20251128T170013Z.jpg</v>
      </c>
    </row>
    <row r="61" spans="1:13" x14ac:dyDescent="0.25">
      <c r="A61" s="2" t="s">
        <v>18</v>
      </c>
      <c r="B61" s="4">
        <v>45990</v>
      </c>
      <c r="C61" s="5">
        <v>0.52615740740740746</v>
      </c>
      <c r="D61" t="s">
        <v>4</v>
      </c>
      <c r="E61" t="s">
        <v>8</v>
      </c>
      <c r="I61" t="s">
        <v>3372</v>
      </c>
      <c r="J61" t="s">
        <v>2990</v>
      </c>
      <c r="K61" t="s">
        <v>3373</v>
      </c>
      <c r="L61" t="s">
        <v>3374</v>
      </c>
      <c r="M61" s="3" t="str">
        <f>HYPERLINK(склад2въезд18[[#This Row],[RelativePath]])</f>
        <v>3 Въезд на базу\E33149364_8_20251129T123740Z.jpg</v>
      </c>
    </row>
    <row r="62" spans="1:13" x14ac:dyDescent="0.25">
      <c r="A62" s="2" t="s">
        <v>18</v>
      </c>
      <c r="B62" s="4">
        <v>45990</v>
      </c>
      <c r="C62" s="5">
        <v>0.64961805555555552</v>
      </c>
      <c r="D62" t="s">
        <v>289</v>
      </c>
      <c r="E62" t="s">
        <v>2927</v>
      </c>
      <c r="F62" t="s">
        <v>53</v>
      </c>
      <c r="G62">
        <v>4</v>
      </c>
      <c r="I62" t="s">
        <v>3375</v>
      </c>
      <c r="J62" t="s">
        <v>2990</v>
      </c>
      <c r="K62" t="s">
        <v>3376</v>
      </c>
      <c r="L62" t="s">
        <v>3377</v>
      </c>
      <c r="M62" s="3" t="str">
        <f>HYPERLINK(склад2въезд18[[#This Row],[RelativePath]])</f>
        <v>3 Въезд на базу\E33149364_8_20251129T153527Z.jpg</v>
      </c>
    </row>
    <row r="63" spans="1:13" x14ac:dyDescent="0.25">
      <c r="A63" s="2" t="s">
        <v>18</v>
      </c>
      <c r="B63" s="4">
        <v>45990</v>
      </c>
      <c r="C63" s="5">
        <v>0.71567129629629633</v>
      </c>
      <c r="D63" t="s">
        <v>4</v>
      </c>
      <c r="E63" t="s">
        <v>4194</v>
      </c>
      <c r="F63" t="s">
        <v>4196</v>
      </c>
      <c r="I63" t="s">
        <v>3378</v>
      </c>
      <c r="J63" t="s">
        <v>2990</v>
      </c>
      <c r="K63" t="s">
        <v>3379</v>
      </c>
      <c r="L63" t="s">
        <v>3380</v>
      </c>
      <c r="M63" s="3" t="str">
        <f>HYPERLINK(склад2въезд18[[#This Row],[RelativePath]])</f>
        <v>3 Въезд на базу\E33149364_8_20251129T171034Z.jpg</v>
      </c>
    </row>
    <row r="64" spans="1:13" x14ac:dyDescent="0.25">
      <c r="A64" s="2" t="s">
        <v>22</v>
      </c>
      <c r="B64" s="4">
        <v>45991</v>
      </c>
      <c r="C64" s="5">
        <v>0.69825231481481487</v>
      </c>
      <c r="D64" t="s">
        <v>2004</v>
      </c>
      <c r="I64" t="s">
        <v>4261</v>
      </c>
      <c r="J64" t="s">
        <v>2990</v>
      </c>
      <c r="K64" t="s">
        <v>4262</v>
      </c>
      <c r="L64" t="s">
        <v>4263</v>
      </c>
      <c r="M64" s="3" t="str">
        <f>HYPERLINK(склад2въезд18[[#This Row],[RelativePath]])</f>
        <v>3 Въезд на базу\E33149364_8_20251130T164529Z.jpg</v>
      </c>
    </row>
    <row r="65" spans="1:13" x14ac:dyDescent="0.25">
      <c r="A65" s="2" t="s">
        <v>13</v>
      </c>
      <c r="B65" s="4">
        <v>45992</v>
      </c>
      <c r="C65" s="5">
        <v>0.44055555555555553</v>
      </c>
      <c r="D65" t="s">
        <v>4</v>
      </c>
      <c r="E65" t="s">
        <v>8</v>
      </c>
      <c r="I65" t="s">
        <v>4558</v>
      </c>
      <c r="J65" t="s">
        <v>2990</v>
      </c>
      <c r="K65" t="s">
        <v>4559</v>
      </c>
      <c r="L65" t="s">
        <v>4560</v>
      </c>
      <c r="M65" s="3" t="str">
        <f>HYPERLINK(склад2въезд18[[#This Row],[RelativePath]])</f>
        <v>3 Въезд на базу\E33149364_8_20251201T103424Z.jpg</v>
      </c>
    </row>
    <row r="66" spans="1:13" x14ac:dyDescent="0.25">
      <c r="A66" s="2" t="s">
        <v>13</v>
      </c>
      <c r="B66" s="4">
        <v>45992</v>
      </c>
      <c r="C66" s="5">
        <v>0.86937500000000001</v>
      </c>
      <c r="D66" t="s">
        <v>4</v>
      </c>
      <c r="E66" t="s">
        <v>4194</v>
      </c>
      <c r="H66" t="s">
        <v>5089</v>
      </c>
      <c r="I66" t="s">
        <v>4561</v>
      </c>
      <c r="J66" t="s">
        <v>2990</v>
      </c>
      <c r="K66" t="s">
        <v>4562</v>
      </c>
      <c r="L66" t="s">
        <v>4563</v>
      </c>
      <c r="M66" s="3" t="str">
        <f>HYPERLINK(склад2въезд18[[#This Row],[RelativePath]])</f>
        <v>3 Въезд на базу\E33149364_8_20251201T205154Z.jpg</v>
      </c>
    </row>
    <row r="67" spans="1:13" x14ac:dyDescent="0.25">
      <c r="A67" s="2" t="s">
        <v>14</v>
      </c>
      <c r="B67" s="4">
        <v>45993</v>
      </c>
      <c r="C67" s="5">
        <v>0.59391203703703699</v>
      </c>
      <c r="D67" t="s">
        <v>4</v>
      </c>
      <c r="E67" t="s">
        <v>8</v>
      </c>
      <c r="I67" t="s">
        <v>4564</v>
      </c>
      <c r="J67" t="s">
        <v>2990</v>
      </c>
      <c r="K67" t="s">
        <v>4565</v>
      </c>
      <c r="L67" t="s">
        <v>4566</v>
      </c>
      <c r="M67" s="3" t="str">
        <f>HYPERLINK(склад2въезд18[[#This Row],[RelativePath]])</f>
        <v>3 Въезд на базу\E33149364_8_20251202T141514Z.jpg</v>
      </c>
    </row>
    <row r="68" spans="1:13" x14ac:dyDescent="0.25">
      <c r="A68" s="2" t="s">
        <v>15</v>
      </c>
      <c r="B68" s="4">
        <v>45994</v>
      </c>
      <c r="C68" s="5">
        <v>0.63190972222222219</v>
      </c>
      <c r="D68" t="s">
        <v>4</v>
      </c>
      <c r="E68" t="s">
        <v>8</v>
      </c>
      <c r="I68" t="s">
        <v>4567</v>
      </c>
      <c r="J68" t="s">
        <v>2990</v>
      </c>
      <c r="K68" t="s">
        <v>4568</v>
      </c>
      <c r="L68" t="s">
        <v>4569</v>
      </c>
      <c r="M68" s="3" t="str">
        <f>HYPERLINK(склад2въезд18[[#This Row],[RelativePath]])</f>
        <v>3 Въезд на базу\E33149364_8_20251203T150957Z.jpg</v>
      </c>
    </row>
    <row r="69" spans="1:13" x14ac:dyDescent="0.25">
      <c r="A69" s="2" t="s">
        <v>16</v>
      </c>
      <c r="B69" s="4">
        <v>45995</v>
      </c>
      <c r="C69" s="5">
        <v>0.5186574074074074</v>
      </c>
      <c r="D69" t="s">
        <v>289</v>
      </c>
      <c r="E69" t="s">
        <v>2927</v>
      </c>
      <c r="F69" t="s">
        <v>53</v>
      </c>
      <c r="G69">
        <v>3</v>
      </c>
      <c r="I69" t="s">
        <v>5086</v>
      </c>
      <c r="J69" t="s">
        <v>2990</v>
      </c>
      <c r="K69" t="s">
        <v>5087</v>
      </c>
      <c r="L69" t="s">
        <v>5088</v>
      </c>
      <c r="M69" s="3" t="str">
        <f>HYPERLINK(склад2въезд18[[#This Row],[RelativePath]])</f>
        <v>3 Въезд на базу\E33149364_8_20251204T122652Z.jpg</v>
      </c>
    </row>
    <row r="70" spans="1:13" x14ac:dyDescent="0.25">
      <c r="A70" s="2" t="s">
        <v>17</v>
      </c>
      <c r="B70" s="4">
        <v>45996</v>
      </c>
      <c r="C70" s="5">
        <v>0.5995138888888889</v>
      </c>
      <c r="D70" t="s">
        <v>4</v>
      </c>
      <c r="E70" t="s">
        <v>8</v>
      </c>
      <c r="I70" t="s">
        <v>4570</v>
      </c>
      <c r="J70" t="s">
        <v>2990</v>
      </c>
      <c r="K70" t="s">
        <v>4571</v>
      </c>
      <c r="L70" t="s">
        <v>4572</v>
      </c>
      <c r="M70" s="3" t="str">
        <f>HYPERLINK(склад2въезд18[[#This Row],[RelativePath]])</f>
        <v>3 Въезд на базу\E33149364_8_20251205T142318Z.jpg</v>
      </c>
    </row>
    <row r="71" spans="1:13" x14ac:dyDescent="0.25">
      <c r="A71" s="2" t="s">
        <v>18</v>
      </c>
      <c r="B71" s="4">
        <v>45997</v>
      </c>
      <c r="C71" s="5">
        <v>0.65668981481481481</v>
      </c>
      <c r="D71" t="s">
        <v>2004</v>
      </c>
      <c r="I71" t="s">
        <v>4573</v>
      </c>
      <c r="J71" t="s">
        <v>2990</v>
      </c>
      <c r="K71" t="s">
        <v>4574</v>
      </c>
      <c r="L71" t="s">
        <v>4575</v>
      </c>
      <c r="M71" s="3" t="str">
        <f>HYPERLINK(склад2въезд18[[#This Row],[RelativePath]])</f>
        <v>3 Въезд на базу\E33149364_8_20251206T154538Z.jpg</v>
      </c>
    </row>
    <row r="72" spans="1:13" x14ac:dyDescent="0.25">
      <c r="A72" s="2" t="s">
        <v>22</v>
      </c>
      <c r="B72" s="4">
        <v>45998</v>
      </c>
      <c r="C72" s="5">
        <v>0.6731597222222222</v>
      </c>
      <c r="D72" t="s">
        <v>4</v>
      </c>
      <c r="E72" t="s">
        <v>5262</v>
      </c>
      <c r="F72" t="s">
        <v>1609</v>
      </c>
      <c r="I72" t="s">
        <v>5141</v>
      </c>
      <c r="J72" t="s">
        <v>2990</v>
      </c>
      <c r="K72" t="s">
        <v>5142</v>
      </c>
      <c r="L72" t="s">
        <v>5143</v>
      </c>
      <c r="M72" s="3" t="str">
        <f>HYPERLINK(склад2въезд18[[#This Row],[RelativePath]])</f>
        <v>3 Въезд на базу\E33149364_8_20251207T160921Z.jpg</v>
      </c>
    </row>
    <row r="73" spans="1:13" x14ac:dyDescent="0.25">
      <c r="A73" s="2" t="s">
        <v>13</v>
      </c>
      <c r="B73" s="4">
        <v>45999</v>
      </c>
      <c r="C73" s="5">
        <v>0.49609953703703702</v>
      </c>
      <c r="D73" t="s">
        <v>4</v>
      </c>
      <c r="E73" t="s">
        <v>8</v>
      </c>
      <c r="I73" t="s">
        <v>5276</v>
      </c>
      <c r="J73" t="s">
        <v>2990</v>
      </c>
      <c r="K73" t="s">
        <v>5277</v>
      </c>
      <c r="L73" t="s">
        <v>5278</v>
      </c>
      <c r="M73" s="3" t="str">
        <f>HYPERLINK(склад2въезд18[[#This Row],[RelativePath]])</f>
        <v>3 Въезд на базу\E33149364_8_20251208T115423Z.jpg</v>
      </c>
    </row>
    <row r="74" spans="1:13" x14ac:dyDescent="0.25">
      <c r="A74" s="2" t="s">
        <v>13</v>
      </c>
      <c r="B74" s="4">
        <v>45999</v>
      </c>
      <c r="C74" s="5">
        <v>0.69165509259259261</v>
      </c>
      <c r="D74" t="s">
        <v>2004</v>
      </c>
      <c r="I74" t="s">
        <v>5279</v>
      </c>
      <c r="J74" t="s">
        <v>2990</v>
      </c>
      <c r="K74" t="s">
        <v>5280</v>
      </c>
      <c r="L74" t="s">
        <v>5281</v>
      </c>
      <c r="M74" s="3" t="str">
        <f>HYPERLINK(склад2въезд18[[#This Row],[RelativePath]])</f>
        <v>3 Въезд на базу\E33149364_8_20251208T163559Z.jpg</v>
      </c>
    </row>
    <row r="75" spans="1:13" x14ac:dyDescent="0.25">
      <c r="A75" s="2" t="s">
        <v>14</v>
      </c>
      <c r="B75" s="4">
        <v>46000</v>
      </c>
      <c r="C75" s="5">
        <v>0.51105324074074077</v>
      </c>
      <c r="D75" t="s">
        <v>4</v>
      </c>
      <c r="E75" t="s">
        <v>8</v>
      </c>
      <c r="I75" t="s">
        <v>5685</v>
      </c>
      <c r="J75" t="s">
        <v>2990</v>
      </c>
      <c r="K75" t="s">
        <v>5686</v>
      </c>
      <c r="L75" t="s">
        <v>5687</v>
      </c>
      <c r="M75" s="3" t="str">
        <f>HYPERLINK(склад2въезд18[[#This Row],[RelativePath]])</f>
        <v>3 Въезд на базу\E33149364_8_20251209T121555Z.jpg</v>
      </c>
    </row>
    <row r="76" spans="1:13" x14ac:dyDescent="0.25">
      <c r="A76" s="2" t="s">
        <v>14</v>
      </c>
      <c r="B76" s="4">
        <v>46000</v>
      </c>
      <c r="C76" s="5">
        <v>0.54031249999999997</v>
      </c>
      <c r="D76" t="s">
        <v>4</v>
      </c>
      <c r="E76" t="s">
        <v>8</v>
      </c>
      <c r="I76" t="s">
        <v>5688</v>
      </c>
      <c r="J76" t="s">
        <v>2990</v>
      </c>
      <c r="K76" t="s">
        <v>5689</v>
      </c>
      <c r="L76" t="s">
        <v>5690</v>
      </c>
      <c r="M76" s="3" t="str">
        <f>HYPERLINK(склад2въезд18[[#This Row],[RelativePath]])</f>
        <v>3 Въезд на базу\E33149364_8_20251209T125803Z.jpg</v>
      </c>
    </row>
    <row r="77" spans="1:13" x14ac:dyDescent="0.25">
      <c r="A77" s="2" t="s">
        <v>14</v>
      </c>
      <c r="B77" s="4">
        <v>46000</v>
      </c>
      <c r="C77" s="5">
        <v>0.71246527777777779</v>
      </c>
      <c r="D77" t="s">
        <v>4</v>
      </c>
      <c r="E77" t="s">
        <v>8</v>
      </c>
      <c r="I77" t="s">
        <v>5691</v>
      </c>
      <c r="J77" t="s">
        <v>2990</v>
      </c>
      <c r="K77" t="s">
        <v>5692</v>
      </c>
      <c r="L77" t="s">
        <v>5693</v>
      </c>
      <c r="M77" s="3" t="str">
        <f>HYPERLINK(склад2въезд18[[#This Row],[RelativePath]])</f>
        <v>3 Въезд на базу\E33149364_8_20251209T170557Z.jpg</v>
      </c>
    </row>
    <row r="78" spans="1:13" x14ac:dyDescent="0.25">
      <c r="A78" s="2" t="s">
        <v>15</v>
      </c>
      <c r="B78" s="4">
        <v>46001</v>
      </c>
      <c r="C78" s="5">
        <v>0.63738425925925923</v>
      </c>
      <c r="D78" t="s">
        <v>2004</v>
      </c>
      <c r="E78" t="s">
        <v>8</v>
      </c>
      <c r="I78" t="s">
        <v>5694</v>
      </c>
      <c r="J78" t="s">
        <v>2990</v>
      </c>
      <c r="K78" t="s">
        <v>5695</v>
      </c>
      <c r="L78" t="s">
        <v>5696</v>
      </c>
      <c r="M78" s="3" t="str">
        <f>HYPERLINK(склад2въезд18[[#This Row],[RelativePath]])</f>
        <v>3 Въезд на базу\E33149364_8_20251210T151750Z.jpg</v>
      </c>
    </row>
    <row r="79" spans="1:13" x14ac:dyDescent="0.25">
      <c r="A79" s="2" t="s">
        <v>16</v>
      </c>
      <c r="B79" s="4">
        <v>46002</v>
      </c>
      <c r="C79" s="5">
        <v>0.56204861111111115</v>
      </c>
      <c r="D79" t="s">
        <v>4</v>
      </c>
      <c r="E79" t="s">
        <v>8</v>
      </c>
      <c r="I79" t="s">
        <v>5848</v>
      </c>
      <c r="J79" t="s">
        <v>2990</v>
      </c>
      <c r="K79" t="s">
        <v>5849</v>
      </c>
      <c r="L79" t="s">
        <v>5850</v>
      </c>
      <c r="M79" s="3" t="str">
        <f>HYPERLINK(склад2въезд18[[#This Row],[RelativePath]])</f>
        <v>3 Въезд на базу\E33149364_8_20251211T132921Z.jpg</v>
      </c>
    </row>
    <row r="80" spans="1:13" x14ac:dyDescent="0.25">
      <c r="A80" s="2" t="s">
        <v>16</v>
      </c>
      <c r="B80" s="4">
        <v>46002</v>
      </c>
      <c r="C80" s="5">
        <v>0.67108796296296291</v>
      </c>
      <c r="D80" t="s">
        <v>2004</v>
      </c>
      <c r="E80" t="s">
        <v>8</v>
      </c>
      <c r="I80" t="s">
        <v>5851</v>
      </c>
      <c r="J80" t="s">
        <v>2990</v>
      </c>
      <c r="K80" t="s">
        <v>5852</v>
      </c>
      <c r="L80" t="s">
        <v>5853</v>
      </c>
      <c r="M80" s="3" t="str">
        <f>HYPERLINK(склад2въезд18[[#This Row],[RelativePath]])</f>
        <v>3 Въезд на базу\E33149364_8_20251211T160622Z.jpg</v>
      </c>
    </row>
    <row r="81" spans="1:13" x14ac:dyDescent="0.25">
      <c r="A81" s="2" t="s">
        <v>17</v>
      </c>
      <c r="B81" s="4">
        <v>46003</v>
      </c>
      <c r="C81" s="5">
        <v>0.48292824074074076</v>
      </c>
      <c r="D81" t="s">
        <v>2004</v>
      </c>
      <c r="E81" t="s">
        <v>8</v>
      </c>
      <c r="I81" t="s">
        <v>5854</v>
      </c>
      <c r="J81" t="s">
        <v>2990</v>
      </c>
      <c r="K81" t="s">
        <v>5855</v>
      </c>
      <c r="L81" t="s">
        <v>5856</v>
      </c>
      <c r="M81" s="3" t="str">
        <f>HYPERLINK(склад2въезд18[[#This Row],[RelativePath]])</f>
        <v>3 Въезд на базу\E33149364_8_20251212T113525Z.jpg</v>
      </c>
    </row>
    <row r="82" spans="1:13" x14ac:dyDescent="0.25">
      <c r="A82" s="2" t="s">
        <v>18</v>
      </c>
      <c r="B82" s="4">
        <v>46004</v>
      </c>
      <c r="C82" s="5">
        <v>0.40824074074074074</v>
      </c>
      <c r="D82" t="s">
        <v>4</v>
      </c>
      <c r="E82" t="s">
        <v>8</v>
      </c>
      <c r="I82" t="s">
        <v>6067</v>
      </c>
      <c r="J82" t="s">
        <v>2990</v>
      </c>
      <c r="K82" t="s">
        <v>6068</v>
      </c>
      <c r="L82" t="s">
        <v>6069</v>
      </c>
      <c r="M82" s="3" t="str">
        <f>HYPERLINK(склад2въезд18[[#This Row],[RelativePath]])</f>
        <v>3 Въезд на базу\E33149364_8_20251213T094752Z.jpg</v>
      </c>
    </row>
    <row r="83" spans="1:13" x14ac:dyDescent="0.25">
      <c r="A83" s="2" t="s">
        <v>18</v>
      </c>
      <c r="B83" s="4">
        <v>46004</v>
      </c>
      <c r="C83" s="5">
        <v>0.53307870370370369</v>
      </c>
      <c r="D83" t="s">
        <v>4</v>
      </c>
      <c r="E83" t="s">
        <v>8</v>
      </c>
      <c r="I83" t="s">
        <v>6070</v>
      </c>
      <c r="J83" t="s">
        <v>2990</v>
      </c>
      <c r="K83" t="s">
        <v>6071</v>
      </c>
      <c r="L83" t="s">
        <v>6072</v>
      </c>
      <c r="M83" s="3" t="str">
        <f>HYPERLINK(склад2въезд18[[#This Row],[RelativePath]])</f>
        <v>3 Въезд на базу\E33149364_8_20251213T124738Z.jpg</v>
      </c>
    </row>
    <row r="84" spans="1:13" x14ac:dyDescent="0.25">
      <c r="A84" s="2" t="s">
        <v>18</v>
      </c>
      <c r="B84" s="4">
        <v>46004</v>
      </c>
      <c r="C84" s="5">
        <v>0.71127314814814813</v>
      </c>
      <c r="D84" t="s">
        <v>4</v>
      </c>
      <c r="E84" t="s">
        <v>8</v>
      </c>
      <c r="I84" t="s">
        <v>6073</v>
      </c>
      <c r="J84" t="s">
        <v>2990</v>
      </c>
      <c r="K84" t="s">
        <v>6074</v>
      </c>
      <c r="L84" t="s">
        <v>6075</v>
      </c>
      <c r="M84" s="3" t="str">
        <f>HYPERLINK(склад2въезд18[[#This Row],[RelativePath]])</f>
        <v>3 Въезд на базу\E33149364_8_20251213T170414Z.jpg</v>
      </c>
    </row>
  </sheetData>
  <conditionalFormatting sqref="D85:D95 E85:E98 G2:H84 D2:E84">
    <cfRule type="containsText" dxfId="538" priority="14" operator="containsText" text="Выезд с территории">
      <formula>NOT(ISERROR(SEARCH("Выезд с территории",D2)))</formula>
    </cfRule>
  </conditionalFormatting>
  <conditionalFormatting sqref="F2:F84">
    <cfRule type="notContainsText" dxfId="537" priority="13" operator="notContains" text="порожний">
      <formula>ISERROR(SEARCH("порожний",F2))</formula>
    </cfRule>
  </conditionalFormatting>
  <conditionalFormatting sqref="E2:E98">
    <cfRule type="containsText" dxfId="536" priority="11" operator="containsText" text="Газель базы">
      <formula>NOT(ISERROR(SEARCH("Газель базы",E2)))</formula>
    </cfRule>
    <cfRule type="containsText" dxfId="535" priority="12" operator="containsText" text="Погрузчик базы">
      <formula>NOT(ISERROR(SEARCH("Погрузчик базы",E2)))</formula>
    </cfRule>
  </conditionalFormatting>
  <conditionalFormatting sqref="E2:E98">
    <cfRule type="containsText" dxfId="534" priority="10" operator="containsText" text="Трактор базы">
      <formula>NOT(ISERROR(SEARCH("Трактор базы",E2)))</formula>
    </cfRule>
  </conditionalFormatting>
  <conditionalFormatting sqref="A2:C84">
    <cfRule type="expression" dxfId="533" priority="9">
      <formula>$A2="пн"</formula>
    </cfRule>
  </conditionalFormatting>
  <conditionalFormatting sqref="A2:C86">
    <cfRule type="expression" dxfId="532" priority="3">
      <formula>$A2="вс"</formula>
    </cfRule>
    <cfRule type="expression" dxfId="531" priority="4">
      <formula>$A2="сб"</formula>
    </cfRule>
    <cfRule type="expression" dxfId="530" priority="5">
      <formula>$A2="пт"</formula>
    </cfRule>
    <cfRule type="expression" dxfId="529" priority="6">
      <formula>$A2="чт"</formula>
    </cfRule>
    <cfRule type="expression" dxfId="528" priority="7">
      <formula>$A2="ср"</formula>
    </cfRule>
    <cfRule type="expression" dxfId="527" priority="8">
      <formula>$A2="вт"</formula>
    </cfRule>
  </conditionalFormatting>
  <conditionalFormatting sqref="D2:D95">
    <cfRule type="containsText" dxfId="526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95">
    <cfRule type="containsText" dxfId="525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8EFF-7993-480A-9A19-8EB3BA04FBF6}">
  <sheetPr>
    <tabColor theme="5" tint="0.59999389629810485"/>
  </sheetPr>
  <dimension ref="A1:M98"/>
  <sheetViews>
    <sheetView zoomScale="90" zoomScaleNormal="90" workbookViewId="0">
      <pane ySplit="1" topLeftCell="A59" activePane="bottomLeft" state="frozen"/>
      <selection pane="bottomLeft" activeCell="N77" sqref="N77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21.42578125" bestFit="1" customWidth="1"/>
    <col min="5" max="5" width="35.85546875" bestFit="1" customWidth="1"/>
    <col min="6" max="6" width="20.140625" bestFit="1" customWidth="1"/>
    <col min="7" max="7" width="7.28515625" bestFit="1" customWidth="1"/>
    <col min="8" max="8" width="26.140625" bestFit="1" customWidth="1"/>
    <col min="9" max="9" width="36.7109375" hidden="1" customWidth="1"/>
    <col min="10" max="10" width="49" hidden="1" customWidth="1"/>
    <col min="11" max="11" width="53.5703125" hidden="1" customWidth="1"/>
    <col min="12" max="12" width="24.5703125" hidden="1" customWidth="1"/>
    <col min="13" max="13" width="53.5703125" bestFit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0.34798611111111111</v>
      </c>
      <c r="D2" t="s">
        <v>4</v>
      </c>
      <c r="E2" t="s">
        <v>8</v>
      </c>
      <c r="H2" t="s">
        <v>5</v>
      </c>
      <c r="I2" t="s">
        <v>291</v>
      </c>
      <c r="J2" t="s">
        <v>2991</v>
      </c>
      <c r="K2" t="s">
        <v>293</v>
      </c>
      <c r="L2" t="s">
        <v>294</v>
      </c>
      <c r="M2" s="3" t="str">
        <f>HYPERLINK(склад2въезд13[[#This Row],[RelativePath]])</f>
        <v>4 Крыльцо офиса\K07156189_21_20251110T082106Z.jpg</v>
      </c>
    </row>
    <row r="3" spans="1:13" x14ac:dyDescent="0.25">
      <c r="A3" s="2" t="s">
        <v>13</v>
      </c>
      <c r="B3" s="4">
        <v>45971</v>
      </c>
      <c r="C3" s="5">
        <v>0.74396990740740743</v>
      </c>
      <c r="D3" t="s">
        <v>4</v>
      </c>
      <c r="E3" t="s">
        <v>8</v>
      </c>
      <c r="H3" t="s">
        <v>6</v>
      </c>
      <c r="I3" t="s">
        <v>295</v>
      </c>
      <c r="J3" t="s">
        <v>2991</v>
      </c>
      <c r="K3" t="s">
        <v>296</v>
      </c>
      <c r="L3" t="s">
        <v>297</v>
      </c>
      <c r="M3" s="3" t="str">
        <f>HYPERLINK(склад2въезд13[[#This Row],[RelativePath]])</f>
        <v>4 Крыльцо офиса\K07156189_21_20251110T175119Z.jpg</v>
      </c>
    </row>
    <row r="4" spans="1:13" x14ac:dyDescent="0.25">
      <c r="A4" s="2" t="s">
        <v>14</v>
      </c>
      <c r="B4" s="4">
        <v>45972</v>
      </c>
      <c r="C4" s="5">
        <v>0.34685185185185186</v>
      </c>
      <c r="D4" t="s">
        <v>4</v>
      </c>
      <c r="E4" t="s">
        <v>8</v>
      </c>
      <c r="H4" t="s">
        <v>5</v>
      </c>
      <c r="I4" t="s">
        <v>298</v>
      </c>
      <c r="J4" t="s">
        <v>2991</v>
      </c>
      <c r="K4" t="s">
        <v>299</v>
      </c>
      <c r="L4" t="s">
        <v>300</v>
      </c>
      <c r="M4" s="3" t="str">
        <f>HYPERLINK(склад2въезд13[[#This Row],[RelativePath]])</f>
        <v>4 Крыльцо офиса\K07156189_21_20251111T081928Z.jpg</v>
      </c>
    </row>
    <row r="5" spans="1:13" x14ac:dyDescent="0.25">
      <c r="A5" s="2" t="s">
        <v>14</v>
      </c>
      <c r="B5" s="4">
        <v>45972</v>
      </c>
      <c r="C5" s="5">
        <v>0.69240740740740736</v>
      </c>
      <c r="D5" t="s">
        <v>4</v>
      </c>
      <c r="E5" t="s">
        <v>8</v>
      </c>
      <c r="H5" t="s">
        <v>6</v>
      </c>
      <c r="I5" t="s">
        <v>301</v>
      </c>
      <c r="J5" t="s">
        <v>2991</v>
      </c>
      <c r="K5" t="s">
        <v>302</v>
      </c>
      <c r="L5" t="s">
        <v>303</v>
      </c>
      <c r="M5" s="3" t="str">
        <f>HYPERLINK(склад2въезд13[[#This Row],[RelativePath]])</f>
        <v>4 Крыльцо офиса\K07156189_21_20251111T163704Z.jpg</v>
      </c>
    </row>
    <row r="6" spans="1:13" x14ac:dyDescent="0.25">
      <c r="A6" s="2" t="s">
        <v>15</v>
      </c>
      <c r="B6" s="4">
        <v>45973</v>
      </c>
      <c r="C6" s="5">
        <v>0.51393518518518522</v>
      </c>
      <c r="D6" t="s">
        <v>4</v>
      </c>
      <c r="E6" t="s">
        <v>8</v>
      </c>
      <c r="H6" t="s">
        <v>331</v>
      </c>
      <c r="I6" t="s">
        <v>304</v>
      </c>
      <c r="J6" t="s">
        <v>2991</v>
      </c>
      <c r="K6" t="s">
        <v>305</v>
      </c>
      <c r="L6" t="s">
        <v>306</v>
      </c>
      <c r="M6" s="3" t="str">
        <f>HYPERLINK(склад2въезд13[[#This Row],[RelativePath]])</f>
        <v>4 Крыльцо офиса\K07156189_21_20251112T122004Z.jpg</v>
      </c>
    </row>
    <row r="7" spans="1:13" x14ac:dyDescent="0.25">
      <c r="A7" s="2" t="s">
        <v>15</v>
      </c>
      <c r="B7" s="4">
        <v>45973</v>
      </c>
      <c r="C7" s="5">
        <v>0.55550925925925931</v>
      </c>
      <c r="D7" t="s">
        <v>4</v>
      </c>
      <c r="E7" t="s">
        <v>8</v>
      </c>
      <c r="H7" t="s">
        <v>331</v>
      </c>
      <c r="I7" t="s">
        <v>307</v>
      </c>
      <c r="J7" t="s">
        <v>2991</v>
      </c>
      <c r="K7" t="s">
        <v>308</v>
      </c>
      <c r="L7" t="s">
        <v>309</v>
      </c>
      <c r="M7" s="3" t="str">
        <f>HYPERLINK(склад2въезд13[[#This Row],[RelativePath]])</f>
        <v>4 Крыльцо офиса\K07156189_21_20251112T131956Z.jpg</v>
      </c>
    </row>
    <row r="8" spans="1:13" x14ac:dyDescent="0.25">
      <c r="A8" s="2" t="s">
        <v>15</v>
      </c>
      <c r="B8" s="4">
        <v>45973</v>
      </c>
      <c r="C8" s="5">
        <v>0.69413194444444448</v>
      </c>
      <c r="D8" t="s">
        <v>4</v>
      </c>
      <c r="E8" t="s">
        <v>8</v>
      </c>
      <c r="H8" t="s">
        <v>332</v>
      </c>
      <c r="I8" t="s">
        <v>310</v>
      </c>
      <c r="J8" t="s">
        <v>2991</v>
      </c>
      <c r="K8" t="s">
        <v>311</v>
      </c>
      <c r="L8" t="s">
        <v>312</v>
      </c>
      <c r="M8" s="3" t="str">
        <f>HYPERLINK(склад2въезд13[[#This Row],[RelativePath]])</f>
        <v>4 Крыльцо офиса\K07156189_21_20251112T163933Z.jpg</v>
      </c>
    </row>
    <row r="9" spans="1:13" x14ac:dyDescent="0.25">
      <c r="A9" s="2" t="s">
        <v>15</v>
      </c>
      <c r="B9" s="4">
        <v>45973</v>
      </c>
      <c r="C9" s="5">
        <v>0.73761574074074077</v>
      </c>
      <c r="D9" t="s">
        <v>4</v>
      </c>
      <c r="E9" t="s">
        <v>8</v>
      </c>
      <c r="H9" t="s">
        <v>6</v>
      </c>
      <c r="I9" t="s">
        <v>313</v>
      </c>
      <c r="J9" t="s">
        <v>2991</v>
      </c>
      <c r="K9" t="s">
        <v>314</v>
      </c>
      <c r="L9" t="s">
        <v>315</v>
      </c>
      <c r="M9" s="3" t="str">
        <f>HYPERLINK(склад2въезд13[[#This Row],[RelativePath]])</f>
        <v>4 Крыльцо офиса\K07156189_21_20251112T174210Z.jpg</v>
      </c>
    </row>
    <row r="10" spans="1:13" x14ac:dyDescent="0.25">
      <c r="A10" s="2" t="s">
        <v>16</v>
      </c>
      <c r="B10" s="4">
        <v>45974</v>
      </c>
      <c r="C10" s="5">
        <v>0.34179398148148149</v>
      </c>
      <c r="D10" t="s">
        <v>4</v>
      </c>
      <c r="E10" t="s">
        <v>8</v>
      </c>
      <c r="H10" t="s">
        <v>5</v>
      </c>
      <c r="I10" t="s">
        <v>316</v>
      </c>
      <c r="J10" t="s">
        <v>2991</v>
      </c>
      <c r="K10" t="s">
        <v>317</v>
      </c>
      <c r="L10" t="s">
        <v>318</v>
      </c>
      <c r="M10" s="3" t="str">
        <f>HYPERLINK(склад2въезд13[[#This Row],[RelativePath]])</f>
        <v>4 Крыльцо офиса\K07156189_21_20251113T081211Z.jpg</v>
      </c>
    </row>
    <row r="11" spans="1:13" x14ac:dyDescent="0.25">
      <c r="A11" s="2" t="s">
        <v>16</v>
      </c>
      <c r="B11" s="4">
        <v>45974</v>
      </c>
      <c r="C11" s="5">
        <v>0.40744212962962961</v>
      </c>
      <c r="D11" t="s">
        <v>4</v>
      </c>
      <c r="E11" t="s">
        <v>8</v>
      </c>
      <c r="H11" t="s">
        <v>331</v>
      </c>
      <c r="I11" t="s">
        <v>319</v>
      </c>
      <c r="J11" t="s">
        <v>2991</v>
      </c>
      <c r="K11" t="s">
        <v>320</v>
      </c>
      <c r="L11" t="s">
        <v>321</v>
      </c>
      <c r="M11" s="3" t="str">
        <f>HYPERLINK(склад2въезд13[[#This Row],[RelativePath]])</f>
        <v>4 Крыльцо офиса\K07156189_21_20251113T094643Z.jpg</v>
      </c>
    </row>
    <row r="12" spans="1:13" x14ac:dyDescent="0.25">
      <c r="A12" s="2" t="s">
        <v>16</v>
      </c>
      <c r="B12" s="4">
        <v>45974</v>
      </c>
      <c r="C12" s="5">
        <v>0.74187499999999995</v>
      </c>
      <c r="D12" t="s">
        <v>4</v>
      </c>
      <c r="E12" t="s">
        <v>8</v>
      </c>
      <c r="H12" t="s">
        <v>6</v>
      </c>
      <c r="I12" t="s">
        <v>322</v>
      </c>
      <c r="J12" t="s">
        <v>2991</v>
      </c>
      <c r="K12" t="s">
        <v>323</v>
      </c>
      <c r="L12" t="s">
        <v>324</v>
      </c>
      <c r="M12" s="3" t="str">
        <f>HYPERLINK(склад2въезд13[[#This Row],[RelativePath]])</f>
        <v>4 Крыльцо офиса\K07156189_21_20251113T174818Z.jpg</v>
      </c>
    </row>
    <row r="13" spans="1:13" x14ac:dyDescent="0.25">
      <c r="A13" s="2" t="s">
        <v>17</v>
      </c>
      <c r="B13" s="4">
        <v>45975</v>
      </c>
      <c r="C13" s="5">
        <v>0.3981365740740741</v>
      </c>
      <c r="D13" t="s">
        <v>4</v>
      </c>
      <c r="E13" t="s">
        <v>8</v>
      </c>
      <c r="H13" t="s">
        <v>5</v>
      </c>
      <c r="I13" t="s">
        <v>325</v>
      </c>
      <c r="J13" t="s">
        <v>2991</v>
      </c>
      <c r="K13" t="s">
        <v>326</v>
      </c>
      <c r="L13" t="s">
        <v>327</v>
      </c>
      <c r="M13" s="3" t="str">
        <f>HYPERLINK(склад2въезд13[[#This Row],[RelativePath]])</f>
        <v>4 Крыльцо офиса\K07156189_21_20251114T093319Z.jpg</v>
      </c>
    </row>
    <row r="14" spans="1:13" x14ac:dyDescent="0.25">
      <c r="A14" s="2" t="s">
        <v>17</v>
      </c>
      <c r="B14" s="4">
        <v>45975</v>
      </c>
      <c r="C14" s="5">
        <v>0.74071759259259262</v>
      </c>
      <c r="D14" t="s">
        <v>4</v>
      </c>
      <c r="E14" t="s">
        <v>8</v>
      </c>
      <c r="H14" t="s">
        <v>6</v>
      </c>
      <c r="I14" t="s">
        <v>328</v>
      </c>
      <c r="J14" t="s">
        <v>2991</v>
      </c>
      <c r="K14" t="s">
        <v>329</v>
      </c>
      <c r="L14" t="s">
        <v>330</v>
      </c>
      <c r="M14" s="3" t="str">
        <f>HYPERLINK(склад2въезд13[[#This Row],[RelativePath]])</f>
        <v>4 Крыльцо офиса\K07156189_21_20251114T174638Z.jpg</v>
      </c>
    </row>
    <row r="15" spans="1:13" x14ac:dyDescent="0.25">
      <c r="A15" s="2" t="s">
        <v>18</v>
      </c>
      <c r="B15" s="4">
        <v>45976</v>
      </c>
      <c r="C15" s="5">
        <v>0.35554398148148147</v>
      </c>
      <c r="D15" t="s">
        <v>4</v>
      </c>
      <c r="E15" t="s">
        <v>8</v>
      </c>
      <c r="H15" t="s">
        <v>2009</v>
      </c>
      <c r="I15" t="s">
        <v>1238</v>
      </c>
      <c r="J15" t="s">
        <v>2991</v>
      </c>
      <c r="K15" t="s">
        <v>1239</v>
      </c>
      <c r="L15" t="s">
        <v>1240</v>
      </c>
      <c r="M15" s="3" t="str">
        <f>HYPERLINK(склад2въезд13[[#This Row],[RelativePath]])</f>
        <v>4 Крыльцо офиса\K07156189_21_20251115T083159Z.jpg</v>
      </c>
    </row>
    <row r="16" spans="1:13" x14ac:dyDescent="0.25">
      <c r="A16" s="2" t="s">
        <v>18</v>
      </c>
      <c r="B16" s="4">
        <v>45976</v>
      </c>
      <c r="C16" s="5">
        <v>0.43645833333333334</v>
      </c>
      <c r="D16" t="s">
        <v>1606</v>
      </c>
      <c r="E16" t="s">
        <v>56</v>
      </c>
      <c r="F16" t="s">
        <v>2010</v>
      </c>
      <c r="G16">
        <v>1</v>
      </c>
      <c r="I16" t="s">
        <v>1241</v>
      </c>
      <c r="J16" t="s">
        <v>2991</v>
      </c>
      <c r="K16" t="s">
        <v>1242</v>
      </c>
      <c r="L16" t="s">
        <v>1243</v>
      </c>
      <c r="M16" s="3" t="str">
        <f>HYPERLINK(склад2въезд13[[#This Row],[RelativePath]])</f>
        <v>4 Крыльцо офиса\K07156189_21_20251115T102830Z.jpg</v>
      </c>
    </row>
    <row r="17" spans="1:13" x14ac:dyDescent="0.25">
      <c r="A17" s="2" t="s">
        <v>18</v>
      </c>
      <c r="B17" s="4">
        <v>45976</v>
      </c>
      <c r="C17" s="5">
        <v>0.43902777777777779</v>
      </c>
      <c r="D17" t="s">
        <v>1094</v>
      </c>
      <c r="E17" t="s">
        <v>70</v>
      </c>
      <c r="F17" t="s">
        <v>2010</v>
      </c>
      <c r="H17" t="s">
        <v>2011</v>
      </c>
      <c r="I17" t="s">
        <v>1244</v>
      </c>
      <c r="J17" t="s">
        <v>2991</v>
      </c>
      <c r="K17" t="s">
        <v>1245</v>
      </c>
      <c r="L17" t="s">
        <v>1246</v>
      </c>
      <c r="M17" s="3" t="str">
        <f>HYPERLINK(склад2въезд13[[#This Row],[RelativePath]])</f>
        <v>4 Крыльцо офиса\K07156189_21_20251115T103212Z.jpg</v>
      </c>
    </row>
    <row r="18" spans="1:13" x14ac:dyDescent="0.25">
      <c r="A18" s="2" t="s">
        <v>18</v>
      </c>
      <c r="B18" s="4">
        <v>45976</v>
      </c>
      <c r="C18" s="5">
        <v>0.4392361111111111</v>
      </c>
      <c r="D18" t="s">
        <v>2012</v>
      </c>
      <c r="E18" t="s">
        <v>70</v>
      </c>
      <c r="F18" t="s">
        <v>2010</v>
      </c>
      <c r="H18" t="s">
        <v>2011</v>
      </c>
      <c r="I18" t="s">
        <v>1247</v>
      </c>
      <c r="J18" t="s">
        <v>2991</v>
      </c>
      <c r="K18" t="s">
        <v>1248</v>
      </c>
      <c r="L18" t="s">
        <v>1249</v>
      </c>
      <c r="M18" s="3" t="str">
        <f>HYPERLINK(склад2въезд13[[#This Row],[RelativePath]])</f>
        <v>4 Крыльцо офиса\K07156189_21_20251115T103230Z.jpg</v>
      </c>
    </row>
    <row r="19" spans="1:13" x14ac:dyDescent="0.25">
      <c r="A19" s="2" t="s">
        <v>18</v>
      </c>
      <c r="B19" s="4">
        <v>45976</v>
      </c>
      <c r="C19" s="5">
        <v>0.44337962962962962</v>
      </c>
      <c r="D19" t="s">
        <v>650</v>
      </c>
      <c r="E19" t="s">
        <v>70</v>
      </c>
      <c r="F19" t="s">
        <v>2010</v>
      </c>
      <c r="I19" t="s">
        <v>1250</v>
      </c>
      <c r="J19" t="s">
        <v>2991</v>
      </c>
      <c r="K19" t="s">
        <v>1251</v>
      </c>
      <c r="L19" t="s">
        <v>1252</v>
      </c>
      <c r="M19" s="3" t="str">
        <f>HYPERLINK(склад2въезд13[[#This Row],[RelativePath]])</f>
        <v>4 Крыльцо офиса\K07156189_21_20251115T103828Z.jpg</v>
      </c>
    </row>
    <row r="20" spans="1:13" x14ac:dyDescent="0.25">
      <c r="A20" s="2" t="s">
        <v>18</v>
      </c>
      <c r="B20" s="4">
        <v>45976</v>
      </c>
      <c r="C20" s="5">
        <v>0.46825231481481483</v>
      </c>
      <c r="D20" t="s">
        <v>1606</v>
      </c>
      <c r="E20" t="s">
        <v>2001</v>
      </c>
      <c r="I20" t="s">
        <v>1253</v>
      </c>
      <c r="J20" t="s">
        <v>2991</v>
      </c>
      <c r="K20" t="s">
        <v>1254</v>
      </c>
      <c r="L20" t="s">
        <v>1255</v>
      </c>
      <c r="M20" s="3" t="str">
        <f>HYPERLINK(склад2въезд13[[#This Row],[RelativePath]])</f>
        <v>4 Крыльцо офиса\K07156189_21_20251115T111417Z.jpg</v>
      </c>
    </row>
    <row r="21" spans="1:13" x14ac:dyDescent="0.25">
      <c r="A21" s="2" t="s">
        <v>18</v>
      </c>
      <c r="B21" s="4">
        <v>45976</v>
      </c>
      <c r="C21" s="5">
        <v>0.49733796296296295</v>
      </c>
      <c r="D21" t="s">
        <v>650</v>
      </c>
      <c r="E21" t="s">
        <v>2001</v>
      </c>
      <c r="I21" t="s">
        <v>1256</v>
      </c>
      <c r="J21" t="s">
        <v>2991</v>
      </c>
      <c r="K21" t="s">
        <v>1257</v>
      </c>
      <c r="L21" t="s">
        <v>1258</v>
      </c>
      <c r="M21" s="3" t="str">
        <f>HYPERLINK(склад2въезд13[[#This Row],[RelativePath]])</f>
        <v>4 Крыльцо офиса\K07156189_21_20251115T115610Z.jpg</v>
      </c>
    </row>
    <row r="22" spans="1:13" x14ac:dyDescent="0.25">
      <c r="A22" s="2" t="s">
        <v>18</v>
      </c>
      <c r="B22" s="4">
        <v>45976</v>
      </c>
      <c r="C22" s="5">
        <v>0.62310185185185185</v>
      </c>
      <c r="D22" t="s">
        <v>1606</v>
      </c>
      <c r="E22" t="s">
        <v>2002</v>
      </c>
      <c r="I22" t="s">
        <v>1259</v>
      </c>
      <c r="J22" t="s">
        <v>2991</v>
      </c>
      <c r="K22" t="s">
        <v>1260</v>
      </c>
      <c r="L22" t="s">
        <v>1261</v>
      </c>
      <c r="M22" s="3" t="str">
        <f>HYPERLINK(склад2въезд13[[#This Row],[RelativePath]])</f>
        <v>4 Крыльцо офиса\K07156189_21_20251115T145716Z.jpg</v>
      </c>
    </row>
    <row r="23" spans="1:13" x14ac:dyDescent="0.25">
      <c r="A23" s="2" t="s">
        <v>18</v>
      </c>
      <c r="B23" s="4">
        <v>45976</v>
      </c>
      <c r="C23" s="5">
        <v>0.63068287037037041</v>
      </c>
      <c r="D23" t="s">
        <v>1606</v>
      </c>
      <c r="E23" t="s">
        <v>70</v>
      </c>
      <c r="F23" t="s">
        <v>2010</v>
      </c>
      <c r="I23" t="s">
        <v>1262</v>
      </c>
      <c r="J23" t="s">
        <v>2991</v>
      </c>
      <c r="K23" t="s">
        <v>1263</v>
      </c>
      <c r="L23" t="s">
        <v>1264</v>
      </c>
      <c r="M23" s="3" t="str">
        <f>HYPERLINK(склад2въезд13[[#This Row],[RelativePath]])</f>
        <v>4 Крыльцо офиса\K07156189_21_20251115T150811Z.jpg</v>
      </c>
    </row>
    <row r="24" spans="1:13" x14ac:dyDescent="0.25">
      <c r="A24" s="2" t="s">
        <v>18</v>
      </c>
      <c r="B24" s="4">
        <v>45976</v>
      </c>
      <c r="C24" s="5">
        <v>0.63290509259259264</v>
      </c>
      <c r="D24" t="s">
        <v>4</v>
      </c>
      <c r="E24" t="s">
        <v>8</v>
      </c>
      <c r="I24" t="s">
        <v>1265</v>
      </c>
      <c r="J24" t="s">
        <v>2991</v>
      </c>
      <c r="K24" t="s">
        <v>1266</v>
      </c>
      <c r="L24" t="s">
        <v>1267</v>
      </c>
      <c r="M24" s="3" t="str">
        <f>HYPERLINK(склад2въезд13[[#This Row],[RelativePath]])</f>
        <v>4 Крыльцо офиса\K07156189_21_20251115T151123Z.jpg</v>
      </c>
    </row>
    <row r="25" spans="1:13" x14ac:dyDescent="0.25">
      <c r="A25" s="2" t="s">
        <v>18</v>
      </c>
      <c r="B25" s="4">
        <v>45976</v>
      </c>
      <c r="C25" s="5">
        <v>0.63534722222222217</v>
      </c>
      <c r="D25" t="s">
        <v>2013</v>
      </c>
      <c r="E25" t="s">
        <v>56</v>
      </c>
      <c r="I25" t="s">
        <v>1268</v>
      </c>
      <c r="J25" t="s">
        <v>2991</v>
      </c>
      <c r="K25" t="s">
        <v>1269</v>
      </c>
      <c r="L25" t="s">
        <v>1270</v>
      </c>
      <c r="M25" s="3" t="str">
        <f>HYPERLINK(склад2въезд13[[#This Row],[RelativePath]])</f>
        <v>4 Крыльцо офиса\K07156189_21_20251115T151454Z.jpg</v>
      </c>
    </row>
    <row r="26" spans="1:13" x14ac:dyDescent="0.25">
      <c r="A26" s="2" t="s">
        <v>18</v>
      </c>
      <c r="B26" s="4">
        <v>45976</v>
      </c>
      <c r="C26" s="5">
        <v>0.63587962962962963</v>
      </c>
      <c r="D26" t="s">
        <v>289</v>
      </c>
      <c r="E26" t="s">
        <v>56</v>
      </c>
      <c r="F26" t="s">
        <v>200</v>
      </c>
      <c r="I26" t="s">
        <v>1271</v>
      </c>
      <c r="J26" t="s">
        <v>2991</v>
      </c>
      <c r="K26" t="s">
        <v>1272</v>
      </c>
      <c r="L26" t="s">
        <v>1273</v>
      </c>
      <c r="M26" s="3" t="str">
        <f>HYPERLINK(склад2въезд13[[#This Row],[RelativePath]])</f>
        <v>4 Крыльцо офиса\K07156189_21_20251115T151540Z.jpg</v>
      </c>
    </row>
    <row r="27" spans="1:13" x14ac:dyDescent="0.25">
      <c r="A27" s="2" t="s">
        <v>18</v>
      </c>
      <c r="B27" s="4">
        <v>45976</v>
      </c>
      <c r="C27" s="5">
        <v>0.63725694444444447</v>
      </c>
      <c r="D27" t="s">
        <v>650</v>
      </c>
      <c r="E27" t="s">
        <v>2002</v>
      </c>
      <c r="I27" t="s">
        <v>1274</v>
      </c>
      <c r="J27" t="s">
        <v>2991</v>
      </c>
      <c r="K27" t="s">
        <v>1275</v>
      </c>
      <c r="L27" t="s">
        <v>1276</v>
      </c>
      <c r="M27" s="3" t="str">
        <f>HYPERLINK(склад2въезд13[[#This Row],[RelativePath]])</f>
        <v>4 Крыльцо офиса\K07156189_21_20251115T151739Z.jpg</v>
      </c>
    </row>
    <row r="28" spans="1:13" x14ac:dyDescent="0.25">
      <c r="A28" s="2" t="s">
        <v>18</v>
      </c>
      <c r="B28" s="4">
        <v>45976</v>
      </c>
      <c r="C28" s="5">
        <v>0.64355324074074072</v>
      </c>
      <c r="D28" t="s">
        <v>650</v>
      </c>
      <c r="E28" t="s">
        <v>56</v>
      </c>
      <c r="F28" t="s">
        <v>200</v>
      </c>
      <c r="I28" t="s">
        <v>1277</v>
      </c>
      <c r="J28" t="s">
        <v>2991</v>
      </c>
      <c r="K28" t="s">
        <v>1278</v>
      </c>
      <c r="L28" t="s">
        <v>1279</v>
      </c>
      <c r="M28" s="3" t="str">
        <f>HYPERLINK(склад2въезд13[[#This Row],[RelativePath]])</f>
        <v>4 Крыльцо офиса\K07156189_21_20251115T152643Z.jpg</v>
      </c>
    </row>
    <row r="29" spans="1:13" x14ac:dyDescent="0.25">
      <c r="A29" s="2" t="s">
        <v>18</v>
      </c>
      <c r="B29" s="4">
        <v>45976</v>
      </c>
      <c r="C29" s="5">
        <v>0.70332175925925922</v>
      </c>
      <c r="D29" t="s">
        <v>4</v>
      </c>
      <c r="E29" t="s">
        <v>8</v>
      </c>
      <c r="I29" t="s">
        <v>1280</v>
      </c>
      <c r="J29" t="s">
        <v>2991</v>
      </c>
      <c r="K29" t="s">
        <v>1281</v>
      </c>
      <c r="L29" t="s">
        <v>1282</v>
      </c>
      <c r="M29" s="3" t="str">
        <f>HYPERLINK(склад2въезд13[[#This Row],[RelativePath]])</f>
        <v>4 Крыльцо офиса\K07156189_21_20251115T165247Z.jpg</v>
      </c>
    </row>
    <row r="30" spans="1:13" x14ac:dyDescent="0.25">
      <c r="A30" s="2" t="s">
        <v>18</v>
      </c>
      <c r="B30" s="4">
        <v>45976</v>
      </c>
      <c r="C30" s="5">
        <v>0.7377083333333333</v>
      </c>
      <c r="D30" t="s">
        <v>4</v>
      </c>
      <c r="E30" t="s">
        <v>8</v>
      </c>
      <c r="H30" t="s">
        <v>1625</v>
      </c>
      <c r="I30" t="s">
        <v>1283</v>
      </c>
      <c r="J30" t="s">
        <v>2991</v>
      </c>
      <c r="K30" t="s">
        <v>1284</v>
      </c>
      <c r="L30" t="s">
        <v>1285</v>
      </c>
      <c r="M30" s="3" t="str">
        <f>HYPERLINK(склад2въезд13[[#This Row],[RelativePath]])</f>
        <v>4 Крыльцо офиса\K07156189_21_20251115T174218Z.jpg</v>
      </c>
    </row>
    <row r="31" spans="1:13" x14ac:dyDescent="0.25">
      <c r="A31" s="2" t="s">
        <v>22</v>
      </c>
      <c r="B31" s="4">
        <v>45977</v>
      </c>
      <c r="C31" s="5">
        <v>0.37039351851851854</v>
      </c>
      <c r="D31" t="s">
        <v>4</v>
      </c>
      <c r="E31" t="s">
        <v>8</v>
      </c>
      <c r="H31" t="s">
        <v>2009</v>
      </c>
      <c r="I31" t="s">
        <v>1286</v>
      </c>
      <c r="J31" t="s">
        <v>2991</v>
      </c>
      <c r="K31" t="s">
        <v>1287</v>
      </c>
      <c r="L31" t="s">
        <v>1288</v>
      </c>
      <c r="M31" s="3" t="str">
        <f>HYPERLINK(склад2въезд13[[#This Row],[RelativePath]])</f>
        <v>4 Крыльцо офиса\K07156189_21_20251116T085322Z.jpg</v>
      </c>
    </row>
    <row r="32" spans="1:13" x14ac:dyDescent="0.25">
      <c r="A32" s="2" t="s">
        <v>22</v>
      </c>
      <c r="B32" s="4">
        <v>45977</v>
      </c>
      <c r="C32" s="5">
        <v>0.58667824074074071</v>
      </c>
      <c r="D32" t="s">
        <v>4</v>
      </c>
      <c r="E32" t="s">
        <v>8</v>
      </c>
      <c r="H32" t="s">
        <v>2004</v>
      </c>
      <c r="I32" t="s">
        <v>1289</v>
      </c>
      <c r="J32" t="s">
        <v>2991</v>
      </c>
      <c r="K32" t="s">
        <v>1290</v>
      </c>
      <c r="L32" t="s">
        <v>1291</v>
      </c>
      <c r="M32" s="3" t="str">
        <f>HYPERLINK(склад2въезд13[[#This Row],[RelativePath]])</f>
        <v>4 Крыльцо офиса\K07156189_21_20251116T140449Z.jpg</v>
      </c>
    </row>
    <row r="33" spans="1:13" x14ac:dyDescent="0.25">
      <c r="A33" s="2" t="s">
        <v>22</v>
      </c>
      <c r="B33" s="4">
        <v>45977</v>
      </c>
      <c r="C33" s="5">
        <v>0.7207175925925926</v>
      </c>
      <c r="D33" t="s">
        <v>4</v>
      </c>
      <c r="E33" t="s">
        <v>8</v>
      </c>
      <c r="H33" t="s">
        <v>1625</v>
      </c>
      <c r="I33" t="s">
        <v>1292</v>
      </c>
      <c r="J33" t="s">
        <v>2991</v>
      </c>
      <c r="K33" t="s">
        <v>1293</v>
      </c>
      <c r="L33" t="s">
        <v>1294</v>
      </c>
      <c r="M33" s="3" t="str">
        <f>HYPERLINK(склад2въезд13[[#This Row],[RelativePath]])</f>
        <v>4 Крыльцо офиса\K07156189_21_20251116T171750Z.jpg</v>
      </c>
    </row>
    <row r="34" spans="1:13" x14ac:dyDescent="0.25">
      <c r="A34" s="2" t="s">
        <v>13</v>
      </c>
      <c r="B34" s="4">
        <v>45978</v>
      </c>
      <c r="C34" s="5">
        <v>0.73387731481481477</v>
      </c>
      <c r="D34" t="s">
        <v>2004</v>
      </c>
      <c r="I34" t="s">
        <v>2133</v>
      </c>
      <c r="J34" t="s">
        <v>2991</v>
      </c>
      <c r="K34" t="s">
        <v>2134</v>
      </c>
      <c r="L34" t="s">
        <v>2135</v>
      </c>
      <c r="M34" s="3" t="str">
        <f>HYPERLINK(склад2въезд13[[#This Row],[RelativePath]])</f>
        <v>4 Крыльцо офиса\K07156189_21_20251117T173647Z.jpg</v>
      </c>
    </row>
    <row r="35" spans="1:13" x14ac:dyDescent="0.25">
      <c r="A35" s="2" t="s">
        <v>14</v>
      </c>
      <c r="B35" s="4">
        <v>45979</v>
      </c>
      <c r="C35" s="5">
        <v>0.59271990740740743</v>
      </c>
      <c r="D35" t="s">
        <v>4</v>
      </c>
      <c r="E35" t="s">
        <v>2927</v>
      </c>
      <c r="F35" t="s">
        <v>58</v>
      </c>
      <c r="I35" t="s">
        <v>2136</v>
      </c>
      <c r="J35" t="s">
        <v>2991</v>
      </c>
      <c r="K35" t="s">
        <v>2137</v>
      </c>
      <c r="L35" t="s">
        <v>2138</v>
      </c>
      <c r="M35" s="3" t="str">
        <f>HYPERLINK(склад2въезд13[[#This Row],[RelativePath]])</f>
        <v>4 Крыльцо офиса\K07156189_21_20251118T141331Z.jpg</v>
      </c>
    </row>
    <row r="36" spans="1:13" x14ac:dyDescent="0.25">
      <c r="A36" s="2" t="s">
        <v>16</v>
      </c>
      <c r="B36" s="4">
        <v>45981</v>
      </c>
      <c r="C36" s="5">
        <v>0.41954861111111114</v>
      </c>
      <c r="D36" t="s">
        <v>4</v>
      </c>
      <c r="E36" t="s">
        <v>8</v>
      </c>
      <c r="H36" t="s">
        <v>2931</v>
      </c>
      <c r="I36" t="s">
        <v>2139</v>
      </c>
      <c r="J36" t="s">
        <v>2991</v>
      </c>
      <c r="K36" t="s">
        <v>2140</v>
      </c>
      <c r="L36" t="s">
        <v>2141</v>
      </c>
      <c r="M36" s="3" t="str">
        <f>HYPERLINK(склад2въезд13[[#This Row],[RelativePath]])</f>
        <v>4 Крыльцо офиса\K07156189_21_20251120T100409Z.jpg</v>
      </c>
    </row>
    <row r="37" spans="1:13" x14ac:dyDescent="0.25">
      <c r="A37" s="2" t="s">
        <v>16</v>
      </c>
      <c r="B37" s="4">
        <v>45981</v>
      </c>
      <c r="C37" s="5">
        <v>0.72770833333333329</v>
      </c>
      <c r="D37" t="s">
        <v>2004</v>
      </c>
      <c r="I37" t="s">
        <v>2142</v>
      </c>
      <c r="J37" t="s">
        <v>2991</v>
      </c>
      <c r="K37" t="s">
        <v>2143</v>
      </c>
      <c r="L37" t="s">
        <v>2144</v>
      </c>
      <c r="M37" s="3" t="str">
        <f>HYPERLINK(склад2въезд13[[#This Row],[RelativePath]])</f>
        <v>4 Крыльцо офиса\K07156189_21_20251120T172754Z.jpg</v>
      </c>
    </row>
    <row r="38" spans="1:13" x14ac:dyDescent="0.25">
      <c r="A38" s="2" t="s">
        <v>17</v>
      </c>
      <c r="B38" s="4">
        <v>45982</v>
      </c>
      <c r="C38" s="5">
        <v>0.72608796296296296</v>
      </c>
      <c r="D38" t="s">
        <v>2004</v>
      </c>
      <c r="I38" t="s">
        <v>2145</v>
      </c>
      <c r="J38" t="s">
        <v>2991</v>
      </c>
      <c r="K38" t="s">
        <v>2146</v>
      </c>
      <c r="L38" t="s">
        <v>2147</v>
      </c>
      <c r="M38" s="3" t="str">
        <f>HYPERLINK(склад2въезд13[[#This Row],[RelativePath]])</f>
        <v>4 Крыльцо офиса\K07156189_21_20251121T172534Z.jpg</v>
      </c>
    </row>
    <row r="39" spans="1:13" x14ac:dyDescent="0.25">
      <c r="A39" s="2" t="s">
        <v>18</v>
      </c>
      <c r="B39" s="4">
        <v>45983</v>
      </c>
      <c r="C39" s="5">
        <v>0.73127314814814814</v>
      </c>
      <c r="D39" t="s">
        <v>2004</v>
      </c>
      <c r="I39" t="s">
        <v>2148</v>
      </c>
      <c r="J39" t="s">
        <v>2991</v>
      </c>
      <c r="K39" t="s">
        <v>2149</v>
      </c>
      <c r="L39" t="s">
        <v>2150</v>
      </c>
      <c r="M39" s="3" t="str">
        <f>HYPERLINK(склад2въезд13[[#This Row],[RelativePath]])</f>
        <v>4 Крыльцо офиса\K07156189_21_20251122T173302Z.jpg</v>
      </c>
    </row>
    <row r="40" spans="1:13" x14ac:dyDescent="0.25">
      <c r="A40" s="2" t="s">
        <v>22</v>
      </c>
      <c r="B40" s="4">
        <v>45984</v>
      </c>
      <c r="C40" s="5">
        <v>0.71489583333333329</v>
      </c>
      <c r="D40" t="s">
        <v>2004</v>
      </c>
      <c r="I40" t="s">
        <v>2151</v>
      </c>
      <c r="J40" t="s">
        <v>2991</v>
      </c>
      <c r="K40" t="s">
        <v>2152</v>
      </c>
      <c r="L40" t="s">
        <v>2153</v>
      </c>
      <c r="M40" s="3" t="str">
        <f>HYPERLINK(склад2въезд13[[#This Row],[RelativePath]])</f>
        <v>4 Крыльцо офиса\K07156189_21_20251123T170927Z.jpg</v>
      </c>
    </row>
    <row r="41" spans="1:13" x14ac:dyDescent="0.25">
      <c r="A41" s="2" t="s">
        <v>13</v>
      </c>
      <c r="B41" s="4">
        <v>45985</v>
      </c>
      <c r="C41" s="5">
        <v>0.70180555555555557</v>
      </c>
      <c r="D41" t="s">
        <v>4</v>
      </c>
      <c r="E41" t="s">
        <v>8</v>
      </c>
      <c r="I41" t="s">
        <v>3381</v>
      </c>
      <c r="J41" t="s">
        <v>2991</v>
      </c>
      <c r="K41" t="s">
        <v>3382</v>
      </c>
      <c r="L41" t="s">
        <v>3383</v>
      </c>
      <c r="M41" s="3" t="str">
        <f>HYPERLINK(склад2въезд13[[#This Row],[RelativePath]])</f>
        <v>4 Крыльцо офиса\K07156189_21_20251124T165036Z.jpg</v>
      </c>
    </row>
    <row r="42" spans="1:13" x14ac:dyDescent="0.25">
      <c r="A42" s="2" t="s">
        <v>13</v>
      </c>
      <c r="B42" s="4">
        <v>45985</v>
      </c>
      <c r="C42" s="5">
        <v>0.73797453703703708</v>
      </c>
      <c r="D42" t="s">
        <v>4</v>
      </c>
      <c r="E42" t="s">
        <v>70</v>
      </c>
      <c r="F42" t="s">
        <v>58</v>
      </c>
      <c r="I42" t="s">
        <v>3384</v>
      </c>
      <c r="J42" t="s">
        <v>2991</v>
      </c>
      <c r="K42" t="s">
        <v>3385</v>
      </c>
      <c r="L42" t="s">
        <v>3386</v>
      </c>
      <c r="M42" s="3" t="str">
        <f>HYPERLINK(склад2въезд13[[#This Row],[RelativePath]])</f>
        <v>4 Крыльцо офиса\K07156189_21_20251124T174241Z.jpg</v>
      </c>
    </row>
    <row r="43" spans="1:13" x14ac:dyDescent="0.25">
      <c r="A43" s="2" t="s">
        <v>13</v>
      </c>
      <c r="B43" s="4">
        <v>45985</v>
      </c>
      <c r="C43" s="5">
        <v>0.75680555555555551</v>
      </c>
      <c r="D43" t="s">
        <v>4</v>
      </c>
      <c r="E43" t="s">
        <v>70</v>
      </c>
      <c r="F43" t="s">
        <v>51</v>
      </c>
      <c r="I43" t="s">
        <v>3387</v>
      </c>
      <c r="J43" t="s">
        <v>2991</v>
      </c>
      <c r="K43" t="s">
        <v>3388</v>
      </c>
      <c r="L43" t="s">
        <v>3389</v>
      </c>
      <c r="M43" s="3" t="str">
        <f>HYPERLINK(склад2въезд13[[#This Row],[RelativePath]])</f>
        <v>4 Крыльцо офиса\K07156189_21_20251124T180948Z.jpg</v>
      </c>
    </row>
    <row r="44" spans="1:13" x14ac:dyDescent="0.25">
      <c r="A44" s="2" t="s">
        <v>14</v>
      </c>
      <c r="B44" s="4">
        <v>45986</v>
      </c>
      <c r="C44" s="5">
        <v>0.7160185185185185</v>
      </c>
      <c r="D44" t="s">
        <v>4</v>
      </c>
      <c r="E44" t="s">
        <v>8</v>
      </c>
      <c r="I44" t="s">
        <v>3390</v>
      </c>
      <c r="J44" t="s">
        <v>2991</v>
      </c>
      <c r="K44" t="s">
        <v>3391</v>
      </c>
      <c r="L44" t="s">
        <v>3392</v>
      </c>
      <c r="M44" s="3" t="str">
        <f>HYPERLINK(склад2въезд13[[#This Row],[RelativePath]])</f>
        <v>4 Крыльцо офиса\K07156189_21_20251125T171104Z.jpg</v>
      </c>
    </row>
    <row r="45" spans="1:13" x14ac:dyDescent="0.25">
      <c r="A45" s="2" t="s">
        <v>15</v>
      </c>
      <c r="B45" s="4">
        <v>45987</v>
      </c>
      <c r="C45" s="5">
        <v>0.66975694444444445</v>
      </c>
      <c r="D45" t="s">
        <v>4</v>
      </c>
      <c r="E45" t="s">
        <v>8</v>
      </c>
      <c r="I45" t="s">
        <v>3393</v>
      </c>
      <c r="J45" t="s">
        <v>2991</v>
      </c>
      <c r="K45" t="s">
        <v>3394</v>
      </c>
      <c r="L45" t="s">
        <v>3395</v>
      </c>
      <c r="M45" s="3" t="str">
        <f>HYPERLINK(склад2въезд13[[#This Row],[RelativePath]])</f>
        <v>4 Крыльцо офиса\K07156189_21_20251126T160427Z.jpg</v>
      </c>
    </row>
    <row r="46" spans="1:13" x14ac:dyDescent="0.25">
      <c r="A46" s="2" t="s">
        <v>16</v>
      </c>
      <c r="B46" s="4">
        <v>45988</v>
      </c>
      <c r="C46" s="5">
        <v>0.56732638888888887</v>
      </c>
      <c r="D46" t="s">
        <v>4</v>
      </c>
      <c r="E46" t="s">
        <v>8</v>
      </c>
      <c r="I46" t="s">
        <v>3396</v>
      </c>
      <c r="J46" t="s">
        <v>2991</v>
      </c>
      <c r="K46" t="s">
        <v>3397</v>
      </c>
      <c r="L46" t="s">
        <v>3398</v>
      </c>
      <c r="M46" s="3" t="str">
        <f>HYPERLINK(склад2въезд13[[#This Row],[RelativePath]])</f>
        <v>4 Крыльцо офиса\K07156189_21_20251127T133657Z.jpg</v>
      </c>
    </row>
    <row r="47" spans="1:13" x14ac:dyDescent="0.25">
      <c r="A47" s="2" t="s">
        <v>17</v>
      </c>
      <c r="B47" s="4">
        <v>45989</v>
      </c>
      <c r="C47" s="5">
        <v>0.7127430555555555</v>
      </c>
      <c r="D47" t="s">
        <v>4</v>
      </c>
      <c r="E47" t="s">
        <v>8</v>
      </c>
      <c r="I47" t="s">
        <v>3399</v>
      </c>
      <c r="J47" t="s">
        <v>2991</v>
      </c>
      <c r="K47" t="s">
        <v>3400</v>
      </c>
      <c r="L47" t="s">
        <v>3401</v>
      </c>
      <c r="M47" s="3" t="str">
        <f>HYPERLINK(склад2въезд13[[#This Row],[RelativePath]])</f>
        <v>4 Крыльцо офиса\K07156189_21_20251128T170621Z.jpg</v>
      </c>
    </row>
    <row r="48" spans="1:13" x14ac:dyDescent="0.25">
      <c r="A48" s="2" t="s">
        <v>18</v>
      </c>
      <c r="B48" s="4">
        <v>45990</v>
      </c>
      <c r="C48" s="5">
        <v>0.71454861111111112</v>
      </c>
      <c r="D48" t="s">
        <v>4</v>
      </c>
      <c r="E48" t="s">
        <v>4194</v>
      </c>
      <c r="F48" t="s">
        <v>4196</v>
      </c>
      <c r="H48" t="s">
        <v>4205</v>
      </c>
      <c r="I48" t="s">
        <v>3402</v>
      </c>
      <c r="J48" t="s">
        <v>2991</v>
      </c>
      <c r="K48" t="s">
        <v>3403</v>
      </c>
      <c r="L48" t="s">
        <v>3404</v>
      </c>
      <c r="M48" s="3" t="str">
        <f>HYPERLINK(склад2въезд13[[#This Row],[RelativePath]])</f>
        <v>4 Крыльцо офиса\K07156189_21_20251129T170857Z.jpg</v>
      </c>
    </row>
    <row r="49" spans="1:13" x14ac:dyDescent="0.25">
      <c r="A49" s="2" t="s">
        <v>22</v>
      </c>
      <c r="B49" s="4">
        <v>45991</v>
      </c>
      <c r="C49" s="5">
        <v>0.71070601851851856</v>
      </c>
      <c r="D49" t="s">
        <v>650</v>
      </c>
      <c r="E49" t="s">
        <v>55</v>
      </c>
      <c r="F49" t="s">
        <v>51</v>
      </c>
      <c r="I49" t="s">
        <v>4264</v>
      </c>
      <c r="J49" t="s">
        <v>2991</v>
      </c>
      <c r="K49" t="s">
        <v>4265</v>
      </c>
      <c r="L49" t="s">
        <v>4266</v>
      </c>
      <c r="M49" s="3" t="str">
        <f>HYPERLINK(склад2въезд13[[#This Row],[RelativePath]])</f>
        <v>4 Крыльцо офиса\K07156189_21_20251130T170325Z.jpg</v>
      </c>
    </row>
    <row r="50" spans="1:13" x14ac:dyDescent="0.25">
      <c r="A50" s="2" t="s">
        <v>22</v>
      </c>
      <c r="B50" s="4">
        <v>45991</v>
      </c>
      <c r="C50" s="5">
        <v>0.75665509259259256</v>
      </c>
      <c r="D50" t="s">
        <v>1606</v>
      </c>
      <c r="E50" t="s">
        <v>55</v>
      </c>
      <c r="F50" t="s">
        <v>51</v>
      </c>
      <c r="I50" t="s">
        <v>4267</v>
      </c>
      <c r="J50" t="s">
        <v>2991</v>
      </c>
      <c r="K50" t="s">
        <v>4268</v>
      </c>
      <c r="L50" t="s">
        <v>4269</v>
      </c>
      <c r="M50" s="3" t="str">
        <f>HYPERLINK(склад2въезд13[[#This Row],[RelativePath]])</f>
        <v>4 Крыльцо офиса\K07156189_21_20251130T180935Z.jpg</v>
      </c>
    </row>
    <row r="51" spans="1:13" x14ac:dyDescent="0.25">
      <c r="A51" s="2" t="s">
        <v>13</v>
      </c>
      <c r="B51" s="4">
        <v>45992</v>
      </c>
      <c r="C51" s="5">
        <v>0.86984953703703705</v>
      </c>
      <c r="D51" t="s">
        <v>290</v>
      </c>
      <c r="E51" t="s">
        <v>4194</v>
      </c>
      <c r="F51" t="s">
        <v>5093</v>
      </c>
      <c r="I51" t="s">
        <v>4450</v>
      </c>
      <c r="J51" t="s">
        <v>2991</v>
      </c>
      <c r="K51" t="s">
        <v>4451</v>
      </c>
      <c r="L51" t="s">
        <v>4452</v>
      </c>
      <c r="M51" s="3" t="str">
        <f>HYPERLINK(склад2въезд13[[#This Row],[RelativePath]])</f>
        <v>4 Крыльцо офиса\K07156189_21_20251201T205235Z.jpg</v>
      </c>
    </row>
    <row r="52" spans="1:13" x14ac:dyDescent="0.25">
      <c r="A52" s="2" t="s">
        <v>13</v>
      </c>
      <c r="B52" s="4">
        <v>45992</v>
      </c>
      <c r="C52" s="5">
        <v>0.87006944444444445</v>
      </c>
      <c r="D52" t="s">
        <v>290</v>
      </c>
      <c r="E52" t="s">
        <v>4194</v>
      </c>
      <c r="F52" t="s">
        <v>5093</v>
      </c>
      <c r="I52" t="s">
        <v>4453</v>
      </c>
      <c r="J52" t="s">
        <v>2991</v>
      </c>
      <c r="K52" t="s">
        <v>4454</v>
      </c>
      <c r="L52" t="s">
        <v>4455</v>
      </c>
      <c r="M52" s="3" t="str">
        <f>HYPERLINK(склад2въезд13[[#This Row],[RelativePath]])</f>
        <v>4 Крыльцо офиса\K07156189_21_20251201T205254Z.jpg</v>
      </c>
    </row>
    <row r="53" spans="1:13" x14ac:dyDescent="0.25">
      <c r="A53" s="2" t="s">
        <v>13</v>
      </c>
      <c r="B53" s="4">
        <v>45992</v>
      </c>
      <c r="C53" s="5">
        <v>0.87283564814814818</v>
      </c>
      <c r="D53" t="s">
        <v>650</v>
      </c>
      <c r="E53" t="s">
        <v>4194</v>
      </c>
      <c r="I53" t="s">
        <v>4456</v>
      </c>
      <c r="J53" t="s">
        <v>2991</v>
      </c>
      <c r="K53" t="s">
        <v>4457</v>
      </c>
      <c r="L53" t="s">
        <v>4458</v>
      </c>
      <c r="M53" s="3" t="str">
        <f>HYPERLINK(склад2въезд13[[#This Row],[RelativePath]])</f>
        <v>4 Крыльцо офиса\K07156189_21_20251201T205653Z.jpg</v>
      </c>
    </row>
    <row r="54" spans="1:13" x14ac:dyDescent="0.25">
      <c r="A54" s="2" t="s">
        <v>14</v>
      </c>
      <c r="B54" s="4">
        <v>45993</v>
      </c>
      <c r="C54" s="5">
        <v>0.35887731481481483</v>
      </c>
      <c r="D54" t="s">
        <v>289</v>
      </c>
      <c r="E54" t="s">
        <v>70</v>
      </c>
      <c r="F54" t="s">
        <v>5093</v>
      </c>
      <c r="H54" t="s">
        <v>5094</v>
      </c>
      <c r="I54" t="s">
        <v>4459</v>
      </c>
      <c r="J54" t="s">
        <v>2991</v>
      </c>
      <c r="K54" t="s">
        <v>4460</v>
      </c>
      <c r="L54" t="s">
        <v>4461</v>
      </c>
      <c r="M54" s="3" t="str">
        <f>HYPERLINK(склад2въезд13[[#This Row],[RelativePath]])</f>
        <v>4 Крыльцо офиса\K07156189_21_20251202T083647Z.jpg</v>
      </c>
    </row>
    <row r="55" spans="1:13" x14ac:dyDescent="0.25">
      <c r="A55" s="2" t="s">
        <v>14</v>
      </c>
      <c r="B55" s="4">
        <v>45993</v>
      </c>
      <c r="C55" s="5">
        <v>0.39114583333333336</v>
      </c>
      <c r="D55" t="s">
        <v>290</v>
      </c>
      <c r="E55" t="s">
        <v>70</v>
      </c>
      <c r="F55" t="s">
        <v>5093</v>
      </c>
      <c r="H55" t="s">
        <v>5094</v>
      </c>
      <c r="I55" t="s">
        <v>5090</v>
      </c>
      <c r="J55" t="s">
        <v>2991</v>
      </c>
      <c r="K55" t="s">
        <v>5091</v>
      </c>
      <c r="L55" t="s">
        <v>5092</v>
      </c>
      <c r="M55" s="3" t="str">
        <f>HYPERLINK(склад2въезд13[[#This Row],[RelativePath]])</f>
        <v>4 Крыльцо офиса\K07156189_21_20251202T092315Z.jpg</v>
      </c>
    </row>
    <row r="56" spans="1:13" x14ac:dyDescent="0.25">
      <c r="A56" s="2" t="s">
        <v>14</v>
      </c>
      <c r="B56" s="4">
        <v>45993</v>
      </c>
      <c r="C56" s="5">
        <v>0.39131944444444444</v>
      </c>
      <c r="D56" t="s">
        <v>650</v>
      </c>
      <c r="E56" t="s">
        <v>70</v>
      </c>
      <c r="I56" t="s">
        <v>4462</v>
      </c>
      <c r="J56" t="s">
        <v>2991</v>
      </c>
      <c r="K56" t="s">
        <v>4463</v>
      </c>
      <c r="L56" t="s">
        <v>4464</v>
      </c>
      <c r="M56" s="3" t="str">
        <f>HYPERLINK(склад2въезд13[[#This Row],[RelativePath]])</f>
        <v>4 Крыльцо офиса\K07156189_21_20251202T092330Z.jpg</v>
      </c>
    </row>
    <row r="57" spans="1:13" x14ac:dyDescent="0.25">
      <c r="A57" s="2" t="s">
        <v>15</v>
      </c>
      <c r="B57" s="4">
        <v>45994</v>
      </c>
      <c r="C57" s="5">
        <v>0.7201967592592593</v>
      </c>
      <c r="D57" t="s">
        <v>2004</v>
      </c>
      <c r="E57" t="s">
        <v>8</v>
      </c>
      <c r="I57" t="s">
        <v>4465</v>
      </c>
      <c r="J57" t="s">
        <v>2991</v>
      </c>
      <c r="K57" t="s">
        <v>4466</v>
      </c>
      <c r="L57" t="s">
        <v>4467</v>
      </c>
      <c r="M57" s="3" t="str">
        <f>HYPERLINK(склад2въезд13[[#This Row],[RelativePath]])</f>
        <v>4 Крыльцо офиса\K07156189_21_20251203T171705Z.jpg</v>
      </c>
    </row>
    <row r="58" spans="1:13" x14ac:dyDescent="0.25">
      <c r="A58" s="2" t="s">
        <v>16</v>
      </c>
      <c r="B58" s="4">
        <v>45995</v>
      </c>
      <c r="C58" s="5">
        <v>0.38034722222222223</v>
      </c>
      <c r="D58" t="s">
        <v>289</v>
      </c>
      <c r="E58" t="s">
        <v>70</v>
      </c>
      <c r="F58" t="s">
        <v>5093</v>
      </c>
      <c r="H58" t="s">
        <v>5095</v>
      </c>
      <c r="I58" t="s">
        <v>4468</v>
      </c>
      <c r="J58" t="s">
        <v>2991</v>
      </c>
      <c r="K58" t="s">
        <v>4469</v>
      </c>
      <c r="L58" t="s">
        <v>4470</v>
      </c>
      <c r="M58" s="3" t="str">
        <f>HYPERLINK(склад2въезд13[[#This Row],[RelativePath]])</f>
        <v>4 Крыльцо офиса\K07156189_21_20251204T090742Z.jpg</v>
      </c>
    </row>
    <row r="59" spans="1:13" x14ac:dyDescent="0.25">
      <c r="A59" s="2" t="s">
        <v>16</v>
      </c>
      <c r="B59" s="4">
        <v>45995</v>
      </c>
      <c r="C59" s="5">
        <v>0.38046296296296295</v>
      </c>
      <c r="D59" t="s">
        <v>289</v>
      </c>
      <c r="E59" t="s">
        <v>70</v>
      </c>
      <c r="F59" t="s">
        <v>5093</v>
      </c>
      <c r="H59" t="s">
        <v>2936</v>
      </c>
      <c r="I59" t="s">
        <v>4471</v>
      </c>
      <c r="J59" t="s">
        <v>2991</v>
      </c>
      <c r="K59" t="s">
        <v>4472</v>
      </c>
      <c r="L59" t="s">
        <v>4473</v>
      </c>
      <c r="M59" s="3" t="str">
        <f>HYPERLINK(склад2въезд13[[#This Row],[RelativePath]])</f>
        <v>4 Крыльцо офиса\K07156189_21_20251204T090752Z.jpg</v>
      </c>
    </row>
    <row r="60" spans="1:13" x14ac:dyDescent="0.25">
      <c r="A60" s="2" t="s">
        <v>16</v>
      </c>
      <c r="B60" s="4">
        <v>45995</v>
      </c>
      <c r="C60" s="5">
        <v>0.38062499999999999</v>
      </c>
      <c r="D60" t="s">
        <v>289</v>
      </c>
      <c r="E60" t="s">
        <v>70</v>
      </c>
      <c r="F60" t="s">
        <v>5093</v>
      </c>
      <c r="H60" t="s">
        <v>2936</v>
      </c>
      <c r="I60" t="s">
        <v>4474</v>
      </c>
      <c r="J60" t="s">
        <v>2991</v>
      </c>
      <c r="K60" t="s">
        <v>4475</v>
      </c>
      <c r="L60" t="s">
        <v>4476</v>
      </c>
      <c r="M60" s="3" t="str">
        <f>HYPERLINK(склад2въезд13[[#This Row],[RelativePath]])</f>
        <v>4 Крыльцо офиса\K07156189_21_20251204T090806Z.jpg</v>
      </c>
    </row>
    <row r="61" spans="1:13" x14ac:dyDescent="0.25">
      <c r="A61" s="2" t="s">
        <v>16</v>
      </c>
      <c r="B61" s="4">
        <v>45995</v>
      </c>
      <c r="C61" s="5">
        <v>0.38299768518518518</v>
      </c>
      <c r="D61" t="s">
        <v>289</v>
      </c>
      <c r="E61" t="s">
        <v>70</v>
      </c>
      <c r="F61" t="s">
        <v>5093</v>
      </c>
      <c r="H61" t="s">
        <v>5096</v>
      </c>
      <c r="I61" t="s">
        <v>4477</v>
      </c>
      <c r="J61" t="s">
        <v>2991</v>
      </c>
      <c r="K61" t="s">
        <v>4478</v>
      </c>
      <c r="L61" t="s">
        <v>4479</v>
      </c>
      <c r="M61" s="3" t="str">
        <f>HYPERLINK(склад2въезд13[[#This Row],[RelativePath]])</f>
        <v>4 Крыльцо офиса\K07156189_21_20251204T091131Z.jpg</v>
      </c>
    </row>
    <row r="62" spans="1:13" x14ac:dyDescent="0.25">
      <c r="A62" s="2" t="s">
        <v>16</v>
      </c>
      <c r="B62" s="4">
        <v>45995</v>
      </c>
      <c r="C62" s="5">
        <v>0.38307870370370373</v>
      </c>
      <c r="D62" t="s">
        <v>650</v>
      </c>
      <c r="E62" t="s">
        <v>70</v>
      </c>
      <c r="I62" t="s">
        <v>4480</v>
      </c>
      <c r="J62" t="s">
        <v>2991</v>
      </c>
      <c r="K62" t="s">
        <v>4481</v>
      </c>
      <c r="L62" t="s">
        <v>4482</v>
      </c>
      <c r="M62" s="3" t="str">
        <f>HYPERLINK(склад2въезд13[[#This Row],[RelativePath]])</f>
        <v>4 Крыльцо офиса\K07156189_21_20251204T091138Z.jpg</v>
      </c>
    </row>
    <row r="63" spans="1:13" x14ac:dyDescent="0.25">
      <c r="A63" s="2" t="s">
        <v>17</v>
      </c>
      <c r="B63" s="4">
        <v>45996</v>
      </c>
      <c r="C63" s="5">
        <v>0.71984953703703702</v>
      </c>
      <c r="D63" t="s">
        <v>4</v>
      </c>
      <c r="E63" t="s">
        <v>8</v>
      </c>
      <c r="I63" t="s">
        <v>4483</v>
      </c>
      <c r="J63" t="s">
        <v>2991</v>
      </c>
      <c r="K63" t="s">
        <v>4484</v>
      </c>
      <c r="L63" t="s">
        <v>4485</v>
      </c>
      <c r="M63" s="3" t="str">
        <f>HYPERLINK(склад2въезд13[[#This Row],[RelativePath]])</f>
        <v>4 Крыльцо офиса\K07156189_21_20251205T171635Z.jpg</v>
      </c>
    </row>
    <row r="64" spans="1:13" x14ac:dyDescent="0.25">
      <c r="A64" s="2" t="s">
        <v>18</v>
      </c>
      <c r="B64" s="4">
        <v>45997</v>
      </c>
      <c r="C64" s="5">
        <v>0.66415509259259264</v>
      </c>
      <c r="D64" t="s">
        <v>2004</v>
      </c>
      <c r="E64" t="s">
        <v>8</v>
      </c>
      <c r="I64" t="s">
        <v>4486</v>
      </c>
      <c r="J64" t="s">
        <v>2991</v>
      </c>
      <c r="K64" t="s">
        <v>4487</v>
      </c>
      <c r="L64" t="s">
        <v>4488</v>
      </c>
      <c r="M64" s="3" t="str">
        <f>HYPERLINK(склад2въезд13[[#This Row],[RelativePath]])</f>
        <v>4 Крыльцо офиса\K07156189_21_20251206T155623Z.jpg</v>
      </c>
    </row>
    <row r="65" spans="1:13" x14ac:dyDescent="0.25">
      <c r="A65" s="2" t="s">
        <v>22</v>
      </c>
      <c r="B65" s="4">
        <v>45998</v>
      </c>
      <c r="C65" s="5">
        <v>0.63519675925925922</v>
      </c>
      <c r="D65" t="s">
        <v>4</v>
      </c>
      <c r="E65" t="s">
        <v>8</v>
      </c>
      <c r="I65" t="s">
        <v>5226</v>
      </c>
      <c r="J65" t="s">
        <v>2991</v>
      </c>
      <c r="K65" t="s">
        <v>5227</v>
      </c>
      <c r="L65" t="s">
        <v>5228</v>
      </c>
      <c r="M65" s="3" t="str">
        <f>HYPERLINK(склад2въезд13[[#This Row],[RelativePath]])</f>
        <v>4 Крыльцо офиса\K07156189_21_20251207T151441Z.jpg</v>
      </c>
    </row>
    <row r="66" spans="1:13" x14ac:dyDescent="0.25">
      <c r="A66" s="2" t="s">
        <v>13</v>
      </c>
      <c r="B66" s="4">
        <v>45999</v>
      </c>
      <c r="C66" s="5">
        <v>0.70417824074074076</v>
      </c>
      <c r="D66" t="s">
        <v>2004</v>
      </c>
      <c r="E66" t="s">
        <v>8</v>
      </c>
      <c r="I66" t="s">
        <v>5297</v>
      </c>
      <c r="J66" t="s">
        <v>2991</v>
      </c>
      <c r="K66" t="s">
        <v>5298</v>
      </c>
      <c r="L66" t="s">
        <v>5299</v>
      </c>
      <c r="M66" s="3" t="str">
        <f>HYPERLINK(склад2въезд13[[#This Row],[RelativePath]])</f>
        <v>4 Крыльцо офиса\K07156189_21_20251208T165401Z.jpg</v>
      </c>
    </row>
    <row r="67" spans="1:13" x14ac:dyDescent="0.25">
      <c r="A67" s="2" t="s">
        <v>14</v>
      </c>
      <c r="B67" s="4">
        <v>46000</v>
      </c>
      <c r="C67" s="5">
        <v>0.51223379629629628</v>
      </c>
      <c r="D67" t="s">
        <v>290</v>
      </c>
      <c r="E67" t="s">
        <v>5505</v>
      </c>
      <c r="F67" t="s">
        <v>6175</v>
      </c>
      <c r="I67" t="s">
        <v>5697</v>
      </c>
      <c r="J67" t="s">
        <v>2991</v>
      </c>
      <c r="K67" t="s">
        <v>5699</v>
      </c>
      <c r="L67" t="s">
        <v>5700</v>
      </c>
      <c r="M67" s="3" t="str">
        <f>HYPERLINK(склад2въезд13[[#This Row],[RelativePath]])</f>
        <v>4 Крыльцо офиса\K07156189_21_20251209T121737Z.jpg</v>
      </c>
    </row>
    <row r="68" spans="1:13" x14ac:dyDescent="0.25">
      <c r="A68" s="2" t="s">
        <v>14</v>
      </c>
      <c r="B68" s="4">
        <v>46000</v>
      </c>
      <c r="C68" s="5">
        <v>0.51223379629629628</v>
      </c>
      <c r="D68" t="s">
        <v>290</v>
      </c>
      <c r="E68" t="s">
        <v>5505</v>
      </c>
      <c r="F68" t="s">
        <v>6175</v>
      </c>
      <c r="I68" t="s">
        <v>5697</v>
      </c>
      <c r="J68" t="s">
        <v>5698</v>
      </c>
      <c r="K68" t="s">
        <v>5699</v>
      </c>
      <c r="L68" t="s">
        <v>5700</v>
      </c>
      <c r="M68" s="3" t="str">
        <f>HYPERLINK(склад2въезд13[[#This Row],[RelativePath]])</f>
        <v>4 Крыльцо офиса\K07156189_21_20251209T121737Z.jpg</v>
      </c>
    </row>
    <row r="69" spans="1:13" x14ac:dyDescent="0.25">
      <c r="A69" s="2" t="s">
        <v>14</v>
      </c>
      <c r="B69" s="4">
        <v>46000</v>
      </c>
      <c r="C69" s="5">
        <v>0.51232638888888893</v>
      </c>
      <c r="D69" t="s">
        <v>290</v>
      </c>
      <c r="E69" t="s">
        <v>5505</v>
      </c>
      <c r="F69" t="s">
        <v>6175</v>
      </c>
      <c r="H69" t="s">
        <v>2936</v>
      </c>
      <c r="I69" t="s">
        <v>5701</v>
      </c>
      <c r="J69" t="s">
        <v>2991</v>
      </c>
      <c r="K69" t="s">
        <v>5702</v>
      </c>
      <c r="L69" t="s">
        <v>5703</v>
      </c>
      <c r="M69" s="3" t="str">
        <f>HYPERLINK(склад2въезд13[[#This Row],[RelativePath]])</f>
        <v>4 Крыльцо офиса\K07156189_21_20251209T121745Z.jpg</v>
      </c>
    </row>
    <row r="70" spans="1:13" x14ac:dyDescent="0.25">
      <c r="A70" s="2" t="s">
        <v>14</v>
      </c>
      <c r="B70" s="4">
        <v>46000</v>
      </c>
      <c r="C70" s="5">
        <v>0.51232638888888893</v>
      </c>
      <c r="D70" t="s">
        <v>290</v>
      </c>
      <c r="E70" t="s">
        <v>5505</v>
      </c>
      <c r="F70" t="s">
        <v>6175</v>
      </c>
      <c r="H70" t="s">
        <v>2936</v>
      </c>
      <c r="I70" t="s">
        <v>5701</v>
      </c>
      <c r="J70" t="s">
        <v>5698</v>
      </c>
      <c r="K70" t="s">
        <v>5702</v>
      </c>
      <c r="L70" t="s">
        <v>5703</v>
      </c>
      <c r="M70" s="3" t="str">
        <f>HYPERLINK(склад2въезд13[[#This Row],[RelativePath]])</f>
        <v>4 Крыльцо офиса\K07156189_21_20251209T121745Z.jpg</v>
      </c>
    </row>
    <row r="71" spans="1:13" x14ac:dyDescent="0.25">
      <c r="A71" s="2" t="s">
        <v>14</v>
      </c>
      <c r="B71" s="4">
        <v>46000</v>
      </c>
      <c r="C71" s="5">
        <v>0.51336805555555554</v>
      </c>
      <c r="D71" t="s">
        <v>290</v>
      </c>
      <c r="E71" t="s">
        <v>5505</v>
      </c>
      <c r="F71" t="s">
        <v>6175</v>
      </c>
      <c r="H71" t="s">
        <v>2936</v>
      </c>
      <c r="I71" t="s">
        <v>5704</v>
      </c>
      <c r="J71" t="s">
        <v>2991</v>
      </c>
      <c r="K71" t="s">
        <v>5705</v>
      </c>
      <c r="L71" t="s">
        <v>5706</v>
      </c>
      <c r="M71" s="3" t="str">
        <f>HYPERLINK(склад2въезд13[[#This Row],[RelativePath]])</f>
        <v>4 Крыльцо офиса\K07156189_21_20251209T121915Z.jpg</v>
      </c>
    </row>
    <row r="72" spans="1:13" x14ac:dyDescent="0.25">
      <c r="A72" s="2" t="s">
        <v>14</v>
      </c>
      <c r="B72" s="4">
        <v>46000</v>
      </c>
      <c r="C72" s="5">
        <v>0.51336805555555554</v>
      </c>
      <c r="D72" t="s">
        <v>290</v>
      </c>
      <c r="E72" t="s">
        <v>5505</v>
      </c>
      <c r="F72" t="s">
        <v>6175</v>
      </c>
      <c r="H72" t="s">
        <v>2936</v>
      </c>
      <c r="I72" t="s">
        <v>5704</v>
      </c>
      <c r="J72" t="s">
        <v>5698</v>
      </c>
      <c r="K72" t="s">
        <v>5705</v>
      </c>
      <c r="L72" t="s">
        <v>5706</v>
      </c>
      <c r="M72" s="3" t="str">
        <f>HYPERLINK(склад2въезд13[[#This Row],[RelativePath]])</f>
        <v>4 Крыльцо офиса\K07156189_21_20251209T121915Z.jpg</v>
      </c>
    </row>
    <row r="73" spans="1:13" x14ac:dyDescent="0.25">
      <c r="A73" s="2" t="s">
        <v>15</v>
      </c>
      <c r="B73" s="4">
        <v>46001</v>
      </c>
      <c r="C73" s="5">
        <v>0.63115740740740744</v>
      </c>
      <c r="D73" t="s">
        <v>2004</v>
      </c>
      <c r="E73" t="s">
        <v>8</v>
      </c>
      <c r="I73" t="s">
        <v>5707</v>
      </c>
      <c r="J73" t="s">
        <v>2991</v>
      </c>
      <c r="K73" t="s">
        <v>5708</v>
      </c>
      <c r="L73" t="s">
        <v>5709</v>
      </c>
      <c r="M73" s="3" t="str">
        <f>HYPERLINK(склад2въезд13[[#This Row],[RelativePath]])</f>
        <v>4 Крыльцо офиса\K07156189_21_20251210T150852Z.jpg</v>
      </c>
    </row>
    <row r="74" spans="1:13" x14ac:dyDescent="0.25">
      <c r="A74" s="2" t="s">
        <v>15</v>
      </c>
      <c r="B74" s="4">
        <v>46001</v>
      </c>
      <c r="C74" s="5">
        <v>0.63115740740740744</v>
      </c>
      <c r="D74" t="s">
        <v>2004</v>
      </c>
      <c r="E74" t="s">
        <v>8</v>
      </c>
      <c r="I74" t="s">
        <v>5707</v>
      </c>
      <c r="J74" t="s">
        <v>5698</v>
      </c>
      <c r="K74" t="s">
        <v>5708</v>
      </c>
      <c r="L74" t="s">
        <v>5709</v>
      </c>
      <c r="M74" s="3" t="str">
        <f>HYPERLINK(склад2въезд13[[#This Row],[RelativePath]])</f>
        <v>4 Крыльцо офиса\K07156189_21_20251210T150852Z.jpg</v>
      </c>
    </row>
    <row r="75" spans="1:13" x14ac:dyDescent="0.25">
      <c r="A75" s="2" t="s">
        <v>16</v>
      </c>
      <c r="B75" s="4">
        <v>46002</v>
      </c>
      <c r="C75" s="5">
        <v>0.48119212962962965</v>
      </c>
      <c r="D75" t="s">
        <v>4</v>
      </c>
      <c r="E75" t="s">
        <v>8</v>
      </c>
      <c r="I75" t="s">
        <v>5830</v>
      </c>
      <c r="J75" t="s">
        <v>2991</v>
      </c>
      <c r="K75" t="s">
        <v>5831</v>
      </c>
      <c r="L75" t="s">
        <v>5832</v>
      </c>
      <c r="M75" s="3" t="str">
        <f>HYPERLINK(склад2въезд13[[#This Row],[RelativePath]])</f>
        <v>4 Крыльцо офиса\K07156189_21_20251211T113255Z.jpg</v>
      </c>
    </row>
    <row r="76" spans="1:13" x14ac:dyDescent="0.25">
      <c r="A76" s="2" t="s">
        <v>16</v>
      </c>
      <c r="B76" s="4">
        <v>46002</v>
      </c>
      <c r="C76" s="5">
        <v>0.48119212962962965</v>
      </c>
      <c r="D76" t="s">
        <v>4</v>
      </c>
      <c r="E76" t="s">
        <v>8</v>
      </c>
      <c r="I76" t="s">
        <v>5830</v>
      </c>
      <c r="J76" t="s">
        <v>5698</v>
      </c>
      <c r="K76" t="s">
        <v>5831</v>
      </c>
      <c r="L76" t="s">
        <v>5832</v>
      </c>
      <c r="M76" s="3" t="str">
        <f>HYPERLINK(склад2въезд13[[#This Row],[RelativePath]])</f>
        <v>4 Крыльцо офиса\K07156189_21_20251211T113255Z.jpg</v>
      </c>
    </row>
    <row r="77" spans="1:13" x14ac:dyDescent="0.25">
      <c r="A77" s="2" t="s">
        <v>16</v>
      </c>
      <c r="B77" s="4">
        <v>46002</v>
      </c>
      <c r="C77" s="5">
        <v>0.67466435185185181</v>
      </c>
      <c r="D77" t="s">
        <v>4</v>
      </c>
      <c r="E77" t="s">
        <v>8</v>
      </c>
      <c r="I77" t="s">
        <v>5833</v>
      </c>
      <c r="J77" t="s">
        <v>2991</v>
      </c>
      <c r="K77" t="s">
        <v>5834</v>
      </c>
      <c r="L77" t="s">
        <v>5835</v>
      </c>
      <c r="M77" s="3" t="str">
        <f>HYPERLINK(склад2въезд13[[#This Row],[RelativePath]])</f>
        <v>4 Крыльцо офиса\K07156189_21_20251211T161131Z.jpg</v>
      </c>
    </row>
    <row r="78" spans="1:13" x14ac:dyDescent="0.25">
      <c r="A78" s="2" t="s">
        <v>16</v>
      </c>
      <c r="B78" s="4">
        <v>46002</v>
      </c>
      <c r="C78" s="5">
        <v>0.67466435185185181</v>
      </c>
      <c r="D78" t="s">
        <v>4</v>
      </c>
      <c r="E78" t="s">
        <v>8</v>
      </c>
      <c r="I78" t="s">
        <v>5833</v>
      </c>
      <c r="J78" t="s">
        <v>5698</v>
      </c>
      <c r="K78" t="s">
        <v>5834</v>
      </c>
      <c r="L78" t="s">
        <v>5835</v>
      </c>
      <c r="M78" s="3" t="str">
        <f>HYPERLINK(склад2въезд13[[#This Row],[RelativePath]])</f>
        <v>4 Крыльцо офиса\K07156189_21_20251211T161131Z.jpg</v>
      </c>
    </row>
    <row r="79" spans="1:13" x14ac:dyDescent="0.25">
      <c r="A79" s="2" t="s">
        <v>17</v>
      </c>
      <c r="B79" s="4">
        <v>46003</v>
      </c>
      <c r="C79" s="5">
        <v>0.63393518518518521</v>
      </c>
      <c r="D79" t="s">
        <v>4</v>
      </c>
      <c r="E79" t="s">
        <v>8</v>
      </c>
      <c r="I79" t="s">
        <v>5836</v>
      </c>
      <c r="J79" t="s">
        <v>2991</v>
      </c>
      <c r="K79" t="s">
        <v>5837</v>
      </c>
      <c r="L79" t="s">
        <v>5838</v>
      </c>
      <c r="M79" s="3" t="str">
        <f>HYPERLINK(склад2въезд13[[#This Row],[RelativePath]])</f>
        <v>4 Крыльцо офиса\K07156189_21_20251212T151252Z.jpg</v>
      </c>
    </row>
    <row r="80" spans="1:13" x14ac:dyDescent="0.25">
      <c r="A80" s="2" t="s">
        <v>17</v>
      </c>
      <c r="B80" s="4">
        <v>46003</v>
      </c>
      <c r="C80" s="5">
        <v>0.63393518518518521</v>
      </c>
      <c r="D80" t="s">
        <v>4</v>
      </c>
      <c r="E80" t="s">
        <v>8</v>
      </c>
      <c r="I80" t="s">
        <v>5836</v>
      </c>
      <c r="J80" t="s">
        <v>5698</v>
      </c>
      <c r="K80" t="s">
        <v>5837</v>
      </c>
      <c r="L80" t="s">
        <v>5838</v>
      </c>
      <c r="M80" s="3" t="str">
        <f>HYPERLINK(склад2въезд13[[#This Row],[RelativePath]])</f>
        <v>4 Крыльцо офиса\K07156189_21_20251212T151252Z.jpg</v>
      </c>
    </row>
    <row r="81" spans="1:13" x14ac:dyDescent="0.25">
      <c r="A81" s="2" t="s">
        <v>17</v>
      </c>
      <c r="B81" s="4">
        <v>46003</v>
      </c>
      <c r="C81" s="5">
        <v>0.73780092592592594</v>
      </c>
      <c r="D81" t="s">
        <v>1606</v>
      </c>
      <c r="E81" t="s">
        <v>55</v>
      </c>
      <c r="F81" t="s">
        <v>51</v>
      </c>
      <c r="I81" t="s">
        <v>5839</v>
      </c>
      <c r="J81" t="s">
        <v>2991</v>
      </c>
      <c r="K81" t="s">
        <v>5840</v>
      </c>
      <c r="L81" t="s">
        <v>5841</v>
      </c>
      <c r="M81" s="3" t="str">
        <f>HYPERLINK(склад2въезд13[[#This Row],[RelativePath]])</f>
        <v>4 Крыльцо офиса\K07156189_21_20251212T174226Z.jpg</v>
      </c>
    </row>
    <row r="82" spans="1:13" x14ac:dyDescent="0.25">
      <c r="A82" s="2" t="s">
        <v>17</v>
      </c>
      <c r="B82" s="4">
        <v>46003</v>
      </c>
      <c r="C82" s="5">
        <v>0.73780092592592594</v>
      </c>
      <c r="D82" t="s">
        <v>1606</v>
      </c>
      <c r="E82" t="s">
        <v>55</v>
      </c>
      <c r="F82" t="s">
        <v>51</v>
      </c>
      <c r="I82" t="s">
        <v>5839</v>
      </c>
      <c r="J82" t="s">
        <v>5698</v>
      </c>
      <c r="K82" t="s">
        <v>5840</v>
      </c>
      <c r="L82" t="s">
        <v>5841</v>
      </c>
      <c r="M82" s="3" t="str">
        <f>HYPERLINK(склад2въезд13[[#This Row],[RelativePath]])</f>
        <v>4 Крыльцо офиса\K07156189_21_20251212T174226Z.jpg</v>
      </c>
    </row>
    <row r="83" spans="1:13" x14ac:dyDescent="0.25">
      <c r="A83" s="2" t="s">
        <v>18</v>
      </c>
      <c r="B83" s="4">
        <v>46004</v>
      </c>
      <c r="C83" s="5">
        <v>0.40708333333333335</v>
      </c>
      <c r="D83" t="s">
        <v>4</v>
      </c>
      <c r="E83" t="s">
        <v>6169</v>
      </c>
      <c r="F83" t="s">
        <v>58</v>
      </c>
      <c r="I83" t="s">
        <v>6046</v>
      </c>
      <c r="J83" t="s">
        <v>2991</v>
      </c>
      <c r="K83" t="s">
        <v>6047</v>
      </c>
      <c r="L83" t="s">
        <v>6048</v>
      </c>
      <c r="M83" s="3" t="str">
        <f>HYPERLINK(склад2въезд13[[#This Row],[RelativePath]])</f>
        <v>4 Крыльцо офиса\K07156189_21_20251213T094612Z.jpg</v>
      </c>
    </row>
    <row r="84" spans="1:13" x14ac:dyDescent="0.25">
      <c r="A84" s="2" t="s">
        <v>18</v>
      </c>
      <c r="B84" s="4">
        <v>46004</v>
      </c>
      <c r="C84" s="5">
        <v>0.40708333333333335</v>
      </c>
      <c r="D84" t="s">
        <v>4</v>
      </c>
      <c r="E84" t="s">
        <v>6169</v>
      </c>
      <c r="F84" t="s">
        <v>58</v>
      </c>
      <c r="I84" t="s">
        <v>6046</v>
      </c>
      <c r="J84" t="s">
        <v>5698</v>
      </c>
      <c r="K84" t="s">
        <v>6047</v>
      </c>
      <c r="L84" t="s">
        <v>6048</v>
      </c>
      <c r="M84" s="3" t="str">
        <f>HYPERLINK(склад2въезд13[[#This Row],[RelativePath]])</f>
        <v>4 Крыльцо офиса\K07156189_21_20251213T094612Z.jpg</v>
      </c>
    </row>
    <row r="85" spans="1:13" x14ac:dyDescent="0.25">
      <c r="A85" s="2" t="s">
        <v>18</v>
      </c>
      <c r="B85" s="4">
        <v>46004</v>
      </c>
      <c r="C85" s="5">
        <v>0.40886574074074072</v>
      </c>
      <c r="D85" t="s">
        <v>4</v>
      </c>
      <c r="E85" t="s">
        <v>6169</v>
      </c>
      <c r="F85" t="s">
        <v>58</v>
      </c>
      <c r="H85" t="s">
        <v>4205</v>
      </c>
      <c r="I85" t="s">
        <v>6049</v>
      </c>
      <c r="J85" t="s">
        <v>2991</v>
      </c>
      <c r="K85" t="s">
        <v>6050</v>
      </c>
      <c r="L85" t="s">
        <v>6051</v>
      </c>
      <c r="M85" s="3" t="str">
        <f>HYPERLINK(склад2въезд13[[#This Row],[RelativePath]])</f>
        <v>4 Крыльцо офиса\K07156189_21_20251213T094846Z.jpg</v>
      </c>
    </row>
    <row r="86" spans="1:13" x14ac:dyDescent="0.25">
      <c r="A86" s="2" t="s">
        <v>18</v>
      </c>
      <c r="B86" s="4">
        <v>46004</v>
      </c>
      <c r="C86" s="5">
        <v>0.40886574074074072</v>
      </c>
      <c r="D86" t="s">
        <v>4</v>
      </c>
      <c r="E86" t="s">
        <v>6169</v>
      </c>
      <c r="F86" t="s">
        <v>58</v>
      </c>
      <c r="H86" t="s">
        <v>4205</v>
      </c>
      <c r="I86" t="s">
        <v>6049</v>
      </c>
      <c r="J86" t="s">
        <v>5698</v>
      </c>
      <c r="K86" t="s">
        <v>6050</v>
      </c>
      <c r="L86" t="s">
        <v>6051</v>
      </c>
      <c r="M86" s="3" t="str">
        <f>HYPERLINK(склад2въезд13[[#This Row],[RelativePath]])</f>
        <v>4 Крыльцо офиса\K07156189_21_20251213T094846Z.jpg</v>
      </c>
    </row>
    <row r="87" spans="1:13" x14ac:dyDescent="0.25">
      <c r="A87" s="2" t="s">
        <v>18</v>
      </c>
      <c r="B87" s="4">
        <v>46004</v>
      </c>
      <c r="C87" s="5">
        <v>0.52965277777777775</v>
      </c>
      <c r="D87" t="s">
        <v>1606</v>
      </c>
      <c r="E87" t="s">
        <v>6168</v>
      </c>
      <c r="F87" t="s">
        <v>51</v>
      </c>
      <c r="I87" t="s">
        <v>6052</v>
      </c>
      <c r="J87" t="s">
        <v>2991</v>
      </c>
      <c r="K87" t="s">
        <v>6053</v>
      </c>
      <c r="L87" t="s">
        <v>6054</v>
      </c>
      <c r="M87" s="3" t="str">
        <f>HYPERLINK(склад2въезд13[[#This Row],[RelativePath]])</f>
        <v>4 Крыльцо офиса\K07156189_21_20251213T124242Z.jpg</v>
      </c>
    </row>
    <row r="88" spans="1:13" x14ac:dyDescent="0.25">
      <c r="A88" s="2" t="s">
        <v>18</v>
      </c>
      <c r="B88" s="4">
        <v>46004</v>
      </c>
      <c r="C88" s="5">
        <v>0.52965277777777775</v>
      </c>
      <c r="D88" t="s">
        <v>1606</v>
      </c>
      <c r="E88" t="s">
        <v>6168</v>
      </c>
      <c r="F88" t="s">
        <v>51</v>
      </c>
      <c r="I88" t="s">
        <v>6052</v>
      </c>
      <c r="J88" t="s">
        <v>5698</v>
      </c>
      <c r="K88" t="s">
        <v>6053</v>
      </c>
      <c r="L88" t="s">
        <v>6054</v>
      </c>
      <c r="M88" s="3" t="str">
        <f>HYPERLINK(склад2въезд13[[#This Row],[RelativePath]])</f>
        <v>4 Крыльцо офиса\K07156189_21_20251213T124242Z.jpg</v>
      </c>
    </row>
    <row r="89" spans="1:13" x14ac:dyDescent="0.25">
      <c r="A89" s="2" t="s">
        <v>18</v>
      </c>
      <c r="B89" s="4">
        <v>46004</v>
      </c>
      <c r="C89" s="5">
        <v>0.52991898148148153</v>
      </c>
      <c r="D89" t="s">
        <v>1606</v>
      </c>
      <c r="E89" t="s">
        <v>6167</v>
      </c>
      <c r="F89" t="s">
        <v>51</v>
      </c>
      <c r="I89" t="s">
        <v>6055</v>
      </c>
      <c r="J89" t="s">
        <v>2991</v>
      </c>
      <c r="K89" t="s">
        <v>6056</v>
      </c>
      <c r="L89" t="s">
        <v>6057</v>
      </c>
      <c r="M89" s="3" t="str">
        <f>HYPERLINK(склад2въезд13[[#This Row],[RelativePath]])</f>
        <v>4 Крыльцо офиса\K07156189_21_20251213T124305Z.jpg</v>
      </c>
    </row>
    <row r="90" spans="1:13" x14ac:dyDescent="0.25">
      <c r="A90" s="2" t="s">
        <v>18</v>
      </c>
      <c r="B90" s="4">
        <v>46004</v>
      </c>
      <c r="C90" s="5">
        <v>0.52991898148148153</v>
      </c>
      <c r="D90" t="s">
        <v>1606</v>
      </c>
      <c r="E90" t="s">
        <v>6167</v>
      </c>
      <c r="F90" t="s">
        <v>51</v>
      </c>
      <c r="I90" t="s">
        <v>6055</v>
      </c>
      <c r="J90" t="s">
        <v>5698</v>
      </c>
      <c r="K90" t="s">
        <v>6056</v>
      </c>
      <c r="L90" t="s">
        <v>6057</v>
      </c>
      <c r="M90" s="3" t="str">
        <f>HYPERLINK(склад2въезд13[[#This Row],[RelativePath]])</f>
        <v>4 Крыльцо офиса\K07156189_21_20251213T124305Z.jpg</v>
      </c>
    </row>
    <row r="91" spans="1:13" x14ac:dyDescent="0.25">
      <c r="A91" s="2" t="s">
        <v>18</v>
      </c>
      <c r="B91" s="4">
        <v>46004</v>
      </c>
      <c r="C91" s="5">
        <v>0.53687499999999999</v>
      </c>
      <c r="D91" t="s">
        <v>650</v>
      </c>
      <c r="E91" t="s">
        <v>6168</v>
      </c>
      <c r="F91" t="s">
        <v>51</v>
      </c>
      <c r="I91" t="s">
        <v>6058</v>
      </c>
      <c r="J91" t="s">
        <v>2991</v>
      </c>
      <c r="K91" t="s">
        <v>6059</v>
      </c>
      <c r="L91" t="s">
        <v>6060</v>
      </c>
      <c r="M91" s="3" t="str">
        <f>HYPERLINK(склад2въезд13[[#This Row],[RelativePath]])</f>
        <v>4 Крыльцо офиса\K07156189_21_20251213T125306Z.jpg</v>
      </c>
    </row>
    <row r="92" spans="1:13" x14ac:dyDescent="0.25">
      <c r="A92" s="2" t="s">
        <v>18</v>
      </c>
      <c r="B92" s="4">
        <v>46004</v>
      </c>
      <c r="C92" s="5">
        <v>0.53687499999999999</v>
      </c>
      <c r="D92" t="s">
        <v>650</v>
      </c>
      <c r="E92" t="s">
        <v>6168</v>
      </c>
      <c r="F92" t="s">
        <v>51</v>
      </c>
      <c r="I92" t="s">
        <v>6058</v>
      </c>
      <c r="J92" t="s">
        <v>5698</v>
      </c>
      <c r="K92" t="s">
        <v>6059</v>
      </c>
      <c r="L92" t="s">
        <v>6060</v>
      </c>
      <c r="M92" s="3" t="str">
        <f>HYPERLINK(склад2въезд13[[#This Row],[RelativePath]])</f>
        <v>4 Крыльцо офиса\K07156189_21_20251213T125306Z.jpg</v>
      </c>
    </row>
    <row r="93" spans="1:13" x14ac:dyDescent="0.25">
      <c r="A93" s="2" t="s">
        <v>18</v>
      </c>
      <c r="B93" s="4">
        <v>46004</v>
      </c>
      <c r="C93" s="5">
        <v>0.5370949074074074</v>
      </c>
      <c r="D93" t="s">
        <v>650</v>
      </c>
      <c r="E93" t="s">
        <v>6167</v>
      </c>
      <c r="F93" t="s">
        <v>51</v>
      </c>
      <c r="I93" t="s">
        <v>6061</v>
      </c>
      <c r="J93" t="s">
        <v>2991</v>
      </c>
      <c r="K93" t="s">
        <v>6062</v>
      </c>
      <c r="L93" t="s">
        <v>6063</v>
      </c>
      <c r="M93" s="3" t="str">
        <f>HYPERLINK(склад2въезд13[[#This Row],[RelativePath]])</f>
        <v>4 Крыльцо офиса\K07156189_21_20251213T125325Z.jpg</v>
      </c>
    </row>
    <row r="94" spans="1:13" x14ac:dyDescent="0.25">
      <c r="A94" s="2" t="s">
        <v>18</v>
      </c>
      <c r="B94" s="4">
        <v>46004</v>
      </c>
      <c r="C94" s="5">
        <v>0.5370949074074074</v>
      </c>
      <c r="D94" t="s">
        <v>650</v>
      </c>
      <c r="E94" t="s">
        <v>6167</v>
      </c>
      <c r="F94" t="s">
        <v>51</v>
      </c>
      <c r="I94" t="s">
        <v>6061</v>
      </c>
      <c r="J94" t="s">
        <v>5698</v>
      </c>
      <c r="K94" t="s">
        <v>6062</v>
      </c>
      <c r="L94" t="s">
        <v>6063</v>
      </c>
      <c r="M94" s="3" t="str">
        <f>HYPERLINK(склад2въезд13[[#This Row],[RelativePath]])</f>
        <v>4 Крыльцо офиса\K07156189_21_20251213T125325Z.jpg</v>
      </c>
    </row>
    <row r="95" spans="1:13" x14ac:dyDescent="0.25">
      <c r="A95" s="2" t="s">
        <v>18</v>
      </c>
      <c r="B95" s="4">
        <v>46004</v>
      </c>
      <c r="C95" s="5">
        <v>0.5397453703703704</v>
      </c>
      <c r="D95" t="s">
        <v>1606</v>
      </c>
      <c r="E95" t="s">
        <v>6169</v>
      </c>
      <c r="F95" t="s">
        <v>58</v>
      </c>
      <c r="I95" t="s">
        <v>6064</v>
      </c>
      <c r="J95" t="s">
        <v>2991</v>
      </c>
      <c r="K95" t="s">
        <v>6065</v>
      </c>
      <c r="L95" t="s">
        <v>6066</v>
      </c>
      <c r="M95" s="3" t="str">
        <f>HYPERLINK(склад2въезд13[[#This Row],[RelativePath]])</f>
        <v>4 Крыльцо офиса\K07156189_21_20251213T125714Z.jpg</v>
      </c>
    </row>
    <row r="96" spans="1:13" x14ac:dyDescent="0.25">
      <c r="A96" s="2" t="s">
        <v>18</v>
      </c>
      <c r="B96" s="4">
        <v>46004</v>
      </c>
      <c r="C96" s="5">
        <v>0.5397453703703704</v>
      </c>
      <c r="D96" t="s">
        <v>1606</v>
      </c>
      <c r="E96" t="s">
        <v>6169</v>
      </c>
      <c r="F96" t="s">
        <v>58</v>
      </c>
      <c r="I96" t="s">
        <v>6064</v>
      </c>
      <c r="J96" t="s">
        <v>5698</v>
      </c>
      <c r="K96" t="s">
        <v>6065</v>
      </c>
      <c r="L96" t="s">
        <v>6066</v>
      </c>
      <c r="M96" s="3" t="str">
        <f>HYPERLINK(склад2въезд13[[#This Row],[RelativePath]])</f>
        <v>4 Крыльцо офиса\K07156189_21_20251213T125714Z.jpg</v>
      </c>
    </row>
    <row r="97" spans="1:13" x14ac:dyDescent="0.25">
      <c r="A97" s="2" t="s">
        <v>18</v>
      </c>
      <c r="B97" s="4">
        <v>46004</v>
      </c>
      <c r="C97" s="5">
        <v>0.54593749999999996</v>
      </c>
      <c r="D97" t="s">
        <v>6176</v>
      </c>
      <c r="E97" t="s">
        <v>6169</v>
      </c>
      <c r="F97" t="s">
        <v>58</v>
      </c>
      <c r="I97" t="s">
        <v>6163</v>
      </c>
      <c r="J97" t="s">
        <v>2991</v>
      </c>
      <c r="K97" t="s">
        <v>6164</v>
      </c>
      <c r="L97" t="s">
        <v>6165</v>
      </c>
      <c r="M97" s="3" t="str">
        <f>HYPERLINK(склад2въезд13[[#This Row],[RelativePath]])</f>
        <v>4 Крыльцо офиса\K07156189_21_20251213T130609Z.jpg</v>
      </c>
    </row>
    <row r="98" spans="1:13" x14ac:dyDescent="0.25">
      <c r="A98" s="2" t="s">
        <v>18</v>
      </c>
      <c r="B98" s="4">
        <v>46004</v>
      </c>
      <c r="C98" s="5">
        <v>0.54593749999999996</v>
      </c>
      <c r="D98" t="s">
        <v>6176</v>
      </c>
      <c r="E98" t="s">
        <v>6169</v>
      </c>
      <c r="F98" t="s">
        <v>58</v>
      </c>
      <c r="I98" t="s">
        <v>6163</v>
      </c>
      <c r="J98" t="s">
        <v>5698</v>
      </c>
      <c r="K98" t="s">
        <v>6164</v>
      </c>
      <c r="L98" t="s">
        <v>6165</v>
      </c>
      <c r="M98" s="3" t="str">
        <f>HYPERLINK(склад2въезд13[[#This Row],[RelativePath]])</f>
        <v>4 Крыльцо офиса\K07156189_21_20251213T130609Z.jpg</v>
      </c>
    </row>
  </sheetData>
  <conditionalFormatting sqref="D99:D109 E99:E112 G2:H98 D2:E98">
    <cfRule type="containsText" dxfId="514" priority="14" operator="containsText" text="Выезд с территории">
      <formula>NOT(ISERROR(SEARCH("Выезд с территории",D2)))</formula>
    </cfRule>
  </conditionalFormatting>
  <conditionalFormatting sqref="F2:F98">
    <cfRule type="notContainsText" dxfId="513" priority="13" operator="notContains" text="порожний">
      <formula>ISERROR(SEARCH("порожний",F2))</formula>
    </cfRule>
  </conditionalFormatting>
  <conditionalFormatting sqref="E2:E112">
    <cfRule type="containsText" dxfId="512" priority="11" operator="containsText" text="Газель базы">
      <formula>NOT(ISERROR(SEARCH("Газель базы",E2)))</formula>
    </cfRule>
    <cfRule type="containsText" dxfId="511" priority="12" operator="containsText" text="Погрузчик базы">
      <formula>NOT(ISERROR(SEARCH("Погрузчик базы",E2)))</formula>
    </cfRule>
  </conditionalFormatting>
  <conditionalFormatting sqref="E2:E112">
    <cfRule type="containsText" dxfId="510" priority="10" operator="containsText" text="Трактор базы">
      <formula>NOT(ISERROR(SEARCH("Трактор базы",E2)))</formula>
    </cfRule>
  </conditionalFormatting>
  <conditionalFormatting sqref="A2:C98">
    <cfRule type="expression" dxfId="509" priority="9">
      <formula>$A2="пн"</formula>
    </cfRule>
  </conditionalFormatting>
  <conditionalFormatting sqref="A2:C100">
    <cfRule type="expression" dxfId="508" priority="3">
      <formula>$A2="вс"</formula>
    </cfRule>
    <cfRule type="expression" dxfId="507" priority="4">
      <formula>$A2="сб"</formula>
    </cfRule>
    <cfRule type="expression" dxfId="506" priority="5">
      <formula>$A2="пт"</formula>
    </cfRule>
    <cfRule type="expression" dxfId="505" priority="6">
      <formula>$A2="чт"</formula>
    </cfRule>
    <cfRule type="expression" dxfId="504" priority="7">
      <formula>$A2="ср"</formula>
    </cfRule>
    <cfRule type="expression" dxfId="503" priority="8">
      <formula>$A2="вт"</formula>
    </cfRule>
  </conditionalFormatting>
  <conditionalFormatting sqref="D2:D109">
    <cfRule type="containsText" dxfId="502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109">
    <cfRule type="containsText" dxfId="501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F3DA-EBB0-4A14-838E-62012ADEA242}">
  <sheetPr>
    <tabColor theme="7" tint="0.39997558519241921"/>
  </sheetPr>
  <dimension ref="A1:M106"/>
  <sheetViews>
    <sheetView zoomScale="90" zoomScaleNormal="90" workbookViewId="0">
      <pane ySplit="1" topLeftCell="A88" activePane="bottomLeft" state="frozen"/>
      <selection pane="bottomLeft" activeCell="E110" sqref="E110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20.7109375" bestFit="1" customWidth="1"/>
    <col min="5" max="5" width="51.5703125" bestFit="1" customWidth="1"/>
    <col min="6" max="6" width="20.42578125" bestFit="1" customWidth="1"/>
    <col min="7" max="7" width="7.28515625" bestFit="1" customWidth="1"/>
    <col min="8" max="8" width="39.7109375" bestFit="1" customWidth="1"/>
    <col min="9" max="9" width="36.7109375" hidden="1" customWidth="1"/>
    <col min="10" max="10" width="42.42578125" hidden="1" customWidth="1"/>
    <col min="11" max="11" width="54.85546875" hidden="1" customWidth="1"/>
    <col min="12" max="12" width="24.5703125" hidden="1" customWidth="1"/>
    <col min="13" max="13" width="54.85546875" bestFit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0.34177083333333336</v>
      </c>
      <c r="D2" t="s">
        <v>4</v>
      </c>
      <c r="E2" t="s">
        <v>8</v>
      </c>
      <c r="H2" t="s">
        <v>5</v>
      </c>
      <c r="I2" t="s">
        <v>333</v>
      </c>
      <c r="J2" t="s">
        <v>2982</v>
      </c>
      <c r="K2" t="s">
        <v>335</v>
      </c>
      <c r="L2" t="s">
        <v>336</v>
      </c>
      <c r="M2" s="3" t="str">
        <f>HYPERLINK(склад2въезд1319[[#This Row],[RelativePath]])</f>
        <v>5 Крыльцо общага\K07156189_22_20251110T081209Z.jpg</v>
      </c>
    </row>
    <row r="3" spans="1:13" x14ac:dyDescent="0.25">
      <c r="A3" s="2" t="s">
        <v>13</v>
      </c>
      <c r="B3" s="4">
        <v>45971</v>
      </c>
      <c r="C3" s="5">
        <v>0.45474537037037038</v>
      </c>
      <c r="D3" t="s">
        <v>460</v>
      </c>
      <c r="E3" t="s">
        <v>461</v>
      </c>
      <c r="I3" t="s">
        <v>337</v>
      </c>
      <c r="J3" t="s">
        <v>2982</v>
      </c>
      <c r="K3" t="s">
        <v>338</v>
      </c>
      <c r="L3" t="s">
        <v>339</v>
      </c>
      <c r="M3" s="3" t="str">
        <f>HYPERLINK(склад2въезд1319[[#This Row],[RelativePath]])</f>
        <v>5 Крыльцо общага\K07156189_22_20251110T105450Z.jpg</v>
      </c>
    </row>
    <row r="4" spans="1:13" x14ac:dyDescent="0.25">
      <c r="A4" s="2" t="s">
        <v>13</v>
      </c>
      <c r="B4" s="4">
        <v>45971</v>
      </c>
      <c r="C4" s="5">
        <v>0.52840277777777778</v>
      </c>
      <c r="D4" t="s">
        <v>7</v>
      </c>
      <c r="E4" t="s">
        <v>461</v>
      </c>
      <c r="I4" t="s">
        <v>340</v>
      </c>
      <c r="J4" t="s">
        <v>2982</v>
      </c>
      <c r="K4" t="s">
        <v>341</v>
      </c>
      <c r="L4" t="s">
        <v>342</v>
      </c>
      <c r="M4" s="3" t="str">
        <f>HYPERLINK(склад2въезд1319[[#This Row],[RelativePath]])</f>
        <v>5 Крыльцо общага\K07156189_22_20251110T124054Z.jpg</v>
      </c>
    </row>
    <row r="5" spans="1:13" x14ac:dyDescent="0.25">
      <c r="A5" s="2" t="s">
        <v>13</v>
      </c>
      <c r="B5" s="4">
        <v>45971</v>
      </c>
      <c r="C5" s="5">
        <v>0.6010416666666667</v>
      </c>
      <c r="D5" t="s">
        <v>4</v>
      </c>
      <c r="E5" t="s">
        <v>463</v>
      </c>
      <c r="I5" t="s">
        <v>343</v>
      </c>
      <c r="J5" t="s">
        <v>2982</v>
      </c>
      <c r="K5" t="s">
        <v>344</v>
      </c>
      <c r="L5" t="s">
        <v>345</v>
      </c>
      <c r="M5" s="3" t="str">
        <f>HYPERLINK(склад2въезд1319[[#This Row],[RelativePath]])</f>
        <v>5 Крыльцо общага\K07156189_22_20251110T142530Z.jpg</v>
      </c>
    </row>
    <row r="6" spans="1:13" x14ac:dyDescent="0.25">
      <c r="A6" s="2" t="s">
        <v>13</v>
      </c>
      <c r="B6" s="4">
        <v>45971</v>
      </c>
      <c r="C6" s="5">
        <v>0.61381944444444447</v>
      </c>
      <c r="D6" t="s">
        <v>4</v>
      </c>
      <c r="E6" t="s">
        <v>462</v>
      </c>
      <c r="I6" t="s">
        <v>346</v>
      </c>
      <c r="J6" t="s">
        <v>2982</v>
      </c>
      <c r="K6" t="s">
        <v>347</v>
      </c>
      <c r="L6" t="s">
        <v>348</v>
      </c>
      <c r="M6" s="3" t="str">
        <f>HYPERLINK(склад2въезд1319[[#This Row],[RelativePath]])</f>
        <v>5 Крыльцо общага\K07156189_22_20251110T144354Z.jpg</v>
      </c>
    </row>
    <row r="7" spans="1:13" x14ac:dyDescent="0.25">
      <c r="A7" s="2" t="s">
        <v>13</v>
      </c>
      <c r="B7" s="4">
        <v>45971</v>
      </c>
      <c r="C7" s="5">
        <v>0.61496527777777776</v>
      </c>
      <c r="D7" t="s">
        <v>4</v>
      </c>
      <c r="E7" t="s">
        <v>462</v>
      </c>
      <c r="I7" t="s">
        <v>349</v>
      </c>
      <c r="J7" t="s">
        <v>2982</v>
      </c>
      <c r="K7" t="s">
        <v>350</v>
      </c>
      <c r="L7" t="s">
        <v>351</v>
      </c>
      <c r="M7" s="3" t="str">
        <f>HYPERLINK(склад2въезд1319[[#This Row],[RelativePath]])</f>
        <v>5 Крыльцо общага\K07156189_22_20251110T144533Z.jpg</v>
      </c>
    </row>
    <row r="8" spans="1:13" x14ac:dyDescent="0.25">
      <c r="A8" s="2" t="s">
        <v>13</v>
      </c>
      <c r="B8" s="4">
        <v>45971</v>
      </c>
      <c r="C8" s="5">
        <v>0.62350694444444443</v>
      </c>
      <c r="D8" t="s">
        <v>4</v>
      </c>
      <c r="E8" t="s">
        <v>463</v>
      </c>
      <c r="I8" t="s">
        <v>352</v>
      </c>
      <c r="J8" t="s">
        <v>2982</v>
      </c>
      <c r="K8" t="s">
        <v>353</v>
      </c>
      <c r="L8" t="s">
        <v>354</v>
      </c>
      <c r="M8" s="3" t="str">
        <f>HYPERLINK(склад2въезд1319[[#This Row],[RelativePath]])</f>
        <v>5 Крыльцо общага\K07156189_22_20251110T145751Z.jpg</v>
      </c>
    </row>
    <row r="9" spans="1:13" x14ac:dyDescent="0.25">
      <c r="A9" s="2" t="s">
        <v>13</v>
      </c>
      <c r="B9" s="4">
        <v>45971</v>
      </c>
      <c r="C9" s="5">
        <v>0.73828703703703702</v>
      </c>
      <c r="D9" t="s">
        <v>4</v>
      </c>
      <c r="E9" t="s">
        <v>464</v>
      </c>
      <c r="I9" t="s">
        <v>355</v>
      </c>
      <c r="J9" t="s">
        <v>2982</v>
      </c>
      <c r="K9" t="s">
        <v>356</v>
      </c>
      <c r="L9" t="s">
        <v>357</v>
      </c>
      <c r="M9" s="3" t="str">
        <f>HYPERLINK(склад2въезд1319[[#This Row],[RelativePath]])</f>
        <v>5 Крыльцо общага\K07156189_22_20251110T174308Z.jpg</v>
      </c>
    </row>
    <row r="10" spans="1:13" x14ac:dyDescent="0.25">
      <c r="A10" s="2" t="s">
        <v>14</v>
      </c>
      <c r="B10" s="4">
        <v>45972</v>
      </c>
      <c r="C10" s="5">
        <v>0.34718749999999998</v>
      </c>
      <c r="D10" t="s">
        <v>4</v>
      </c>
      <c r="E10" t="s">
        <v>8</v>
      </c>
      <c r="H10" t="s">
        <v>5</v>
      </c>
      <c r="I10" t="s">
        <v>358</v>
      </c>
      <c r="J10" t="s">
        <v>2982</v>
      </c>
      <c r="K10" t="s">
        <v>359</v>
      </c>
      <c r="L10" t="s">
        <v>360</v>
      </c>
      <c r="M10" s="3" t="str">
        <f>HYPERLINK(склад2въезд1319[[#This Row],[RelativePath]])</f>
        <v>5 Крыльцо общага\K07156189_22_20251111T081957Z.jpg</v>
      </c>
    </row>
    <row r="11" spans="1:13" x14ac:dyDescent="0.25">
      <c r="A11" s="2" t="s">
        <v>14</v>
      </c>
      <c r="B11" s="4">
        <v>45972</v>
      </c>
      <c r="C11" s="5">
        <v>0.39120370370370372</v>
      </c>
      <c r="D11" t="s">
        <v>4</v>
      </c>
      <c r="E11" t="s">
        <v>465</v>
      </c>
      <c r="I11" t="s">
        <v>361</v>
      </c>
      <c r="J11" t="s">
        <v>2982</v>
      </c>
      <c r="K11" t="s">
        <v>362</v>
      </c>
      <c r="L11" t="s">
        <v>363</v>
      </c>
      <c r="M11" s="3" t="str">
        <f>HYPERLINK(склад2въезд1319[[#This Row],[RelativePath]])</f>
        <v>5 Крыльцо общага\K07156189_22_20251111T092320Z.jpg</v>
      </c>
    </row>
    <row r="12" spans="1:13" x14ac:dyDescent="0.25">
      <c r="A12" s="2" t="s">
        <v>14</v>
      </c>
      <c r="B12" s="4">
        <v>45972</v>
      </c>
      <c r="C12" s="5">
        <v>0.39533564814814814</v>
      </c>
      <c r="D12" t="s">
        <v>467</v>
      </c>
      <c r="E12" t="s">
        <v>67</v>
      </c>
      <c r="I12" t="s">
        <v>364</v>
      </c>
      <c r="J12" t="s">
        <v>2982</v>
      </c>
      <c r="K12" t="s">
        <v>365</v>
      </c>
      <c r="L12" t="s">
        <v>366</v>
      </c>
      <c r="M12" s="3" t="str">
        <f>HYPERLINK(склад2въезд1319[[#This Row],[RelativePath]])</f>
        <v>5 Крыльцо общага\K07156189_22_20251111T092917Z.jpg</v>
      </c>
    </row>
    <row r="13" spans="1:13" x14ac:dyDescent="0.25">
      <c r="A13" s="2" t="s">
        <v>14</v>
      </c>
      <c r="B13" s="4">
        <v>45972</v>
      </c>
      <c r="C13" s="5">
        <v>0.39787037037037037</v>
      </c>
      <c r="D13" t="s">
        <v>289</v>
      </c>
      <c r="E13" t="s">
        <v>67</v>
      </c>
      <c r="F13" t="s">
        <v>468</v>
      </c>
      <c r="I13" t="s">
        <v>367</v>
      </c>
      <c r="J13" t="s">
        <v>2982</v>
      </c>
      <c r="K13" t="s">
        <v>368</v>
      </c>
      <c r="L13" t="s">
        <v>369</v>
      </c>
      <c r="M13" s="3" t="str">
        <f>HYPERLINK(склад2въезд1319[[#This Row],[RelativePath]])</f>
        <v>5 Крыльцо общага\K07156189_22_20251111T093256Z.jpg</v>
      </c>
    </row>
    <row r="14" spans="1:13" x14ac:dyDescent="0.25">
      <c r="A14" s="2" t="s">
        <v>14</v>
      </c>
      <c r="B14" s="4">
        <v>45972</v>
      </c>
      <c r="C14" s="5">
        <v>0.40370370370370373</v>
      </c>
      <c r="D14" t="s">
        <v>289</v>
      </c>
      <c r="E14" t="s">
        <v>67</v>
      </c>
      <c r="F14" t="s">
        <v>468</v>
      </c>
      <c r="I14" t="s">
        <v>370</v>
      </c>
      <c r="J14" t="s">
        <v>2982</v>
      </c>
      <c r="K14" t="s">
        <v>371</v>
      </c>
      <c r="L14" t="s">
        <v>372</v>
      </c>
      <c r="M14" s="3" t="str">
        <f>HYPERLINK(склад2въезд1319[[#This Row],[RelativePath]])</f>
        <v>5 Крыльцо общага\K07156189_22_20251111T094120Z.jpg</v>
      </c>
    </row>
    <row r="15" spans="1:13" x14ac:dyDescent="0.25">
      <c r="A15" s="2" t="s">
        <v>14</v>
      </c>
      <c r="B15" s="4">
        <v>45972</v>
      </c>
      <c r="C15" s="5">
        <v>0.40377314814814813</v>
      </c>
      <c r="D15" t="s">
        <v>289</v>
      </c>
      <c r="E15" t="s">
        <v>67</v>
      </c>
      <c r="F15" t="s">
        <v>468</v>
      </c>
      <c r="I15" t="s">
        <v>373</v>
      </c>
      <c r="J15" t="s">
        <v>2982</v>
      </c>
      <c r="K15" t="s">
        <v>374</v>
      </c>
      <c r="L15" t="s">
        <v>375</v>
      </c>
      <c r="M15" s="3" t="str">
        <f>HYPERLINK(склад2въезд1319[[#This Row],[RelativePath]])</f>
        <v>5 Крыльцо общага\K07156189_22_20251111T094126Z.jpg</v>
      </c>
    </row>
    <row r="16" spans="1:13" x14ac:dyDescent="0.25">
      <c r="A16" s="2" t="s">
        <v>14</v>
      </c>
      <c r="B16" s="4">
        <v>45972</v>
      </c>
      <c r="C16" s="5">
        <v>0.40597222222222223</v>
      </c>
      <c r="D16" t="s">
        <v>289</v>
      </c>
      <c r="E16" t="s">
        <v>67</v>
      </c>
      <c r="F16" t="s">
        <v>468</v>
      </c>
      <c r="I16" t="s">
        <v>376</v>
      </c>
      <c r="J16" t="s">
        <v>2982</v>
      </c>
      <c r="K16" t="s">
        <v>377</v>
      </c>
      <c r="L16" t="s">
        <v>378</v>
      </c>
      <c r="M16" s="3" t="str">
        <f>HYPERLINK(склад2въезд1319[[#This Row],[RelativePath]])</f>
        <v>5 Крыльцо общага\K07156189_22_20251111T094436Z.jpg</v>
      </c>
    </row>
    <row r="17" spans="1:13" x14ac:dyDescent="0.25">
      <c r="A17" s="2" t="s">
        <v>14</v>
      </c>
      <c r="B17" s="4">
        <v>45972</v>
      </c>
      <c r="C17" s="5">
        <v>0.40881944444444446</v>
      </c>
      <c r="D17" t="s">
        <v>289</v>
      </c>
      <c r="E17" t="s">
        <v>67</v>
      </c>
      <c r="F17" t="s">
        <v>468</v>
      </c>
      <c r="I17" t="s">
        <v>379</v>
      </c>
      <c r="J17" t="s">
        <v>2982</v>
      </c>
      <c r="K17" t="s">
        <v>380</v>
      </c>
      <c r="L17" t="s">
        <v>381</v>
      </c>
      <c r="M17" s="3" t="str">
        <f>HYPERLINK(склад2въезд1319[[#This Row],[RelativePath]])</f>
        <v>5 Крыльцо общага\K07156189_22_20251111T094842Z.jpg</v>
      </c>
    </row>
    <row r="18" spans="1:13" x14ac:dyDescent="0.25">
      <c r="A18" s="2" t="s">
        <v>14</v>
      </c>
      <c r="B18" s="4">
        <v>45972</v>
      </c>
      <c r="C18" s="5">
        <v>0.4105787037037037</v>
      </c>
      <c r="D18" t="s">
        <v>289</v>
      </c>
      <c r="E18" t="s">
        <v>67</v>
      </c>
      <c r="F18" t="s">
        <v>468</v>
      </c>
      <c r="I18" t="s">
        <v>382</v>
      </c>
      <c r="J18" t="s">
        <v>2982</v>
      </c>
      <c r="K18" t="s">
        <v>383</v>
      </c>
      <c r="L18" t="s">
        <v>384</v>
      </c>
      <c r="M18" s="3" t="str">
        <f>HYPERLINK(склад2въезд1319[[#This Row],[RelativePath]])</f>
        <v>5 Крыльцо общага\K07156189_22_20251111T095114Z.jpg</v>
      </c>
    </row>
    <row r="19" spans="1:13" x14ac:dyDescent="0.25">
      <c r="A19" s="2" t="s">
        <v>14</v>
      </c>
      <c r="B19" s="4">
        <v>45972</v>
      </c>
      <c r="C19" s="5">
        <v>0.41136574074074073</v>
      </c>
      <c r="D19" t="s">
        <v>289</v>
      </c>
      <c r="E19" t="s">
        <v>67</v>
      </c>
      <c r="F19" t="s">
        <v>468</v>
      </c>
      <c r="I19" t="s">
        <v>385</v>
      </c>
      <c r="J19" t="s">
        <v>2982</v>
      </c>
      <c r="K19" t="s">
        <v>386</v>
      </c>
      <c r="L19" t="s">
        <v>387</v>
      </c>
      <c r="M19" s="3" t="str">
        <f>HYPERLINK(склад2въезд1319[[#This Row],[RelativePath]])</f>
        <v>5 Крыльцо общага\K07156189_22_20251111T095222Z.jpg</v>
      </c>
    </row>
    <row r="20" spans="1:13" x14ac:dyDescent="0.25">
      <c r="A20" s="2" t="s">
        <v>14</v>
      </c>
      <c r="B20" s="4">
        <v>45972</v>
      </c>
      <c r="C20" s="5">
        <v>0.41312500000000002</v>
      </c>
      <c r="D20" t="s">
        <v>289</v>
      </c>
      <c r="E20" t="s">
        <v>67</v>
      </c>
      <c r="F20" t="s">
        <v>468</v>
      </c>
      <c r="I20" t="s">
        <v>388</v>
      </c>
      <c r="J20" t="s">
        <v>2982</v>
      </c>
      <c r="K20" t="s">
        <v>389</v>
      </c>
      <c r="L20" t="s">
        <v>390</v>
      </c>
      <c r="M20" s="3" t="str">
        <f>HYPERLINK(склад2въезд1319[[#This Row],[RelativePath]])</f>
        <v>5 Крыльцо общага\K07156189_22_20251111T095454Z.jpg</v>
      </c>
    </row>
    <row r="21" spans="1:13" x14ac:dyDescent="0.25">
      <c r="A21" s="2" t="s">
        <v>14</v>
      </c>
      <c r="B21" s="4">
        <v>45972</v>
      </c>
      <c r="C21" s="5">
        <v>0.41627314814814814</v>
      </c>
      <c r="D21" t="s">
        <v>289</v>
      </c>
      <c r="E21" t="s">
        <v>67</v>
      </c>
      <c r="F21" t="s">
        <v>468</v>
      </c>
      <c r="I21" t="s">
        <v>391</v>
      </c>
      <c r="J21" t="s">
        <v>2982</v>
      </c>
      <c r="K21" t="s">
        <v>392</v>
      </c>
      <c r="L21" t="s">
        <v>393</v>
      </c>
      <c r="M21" s="3" t="str">
        <f>HYPERLINK(склад2въезд1319[[#This Row],[RelativePath]])</f>
        <v>5 Крыльцо общага\K07156189_22_20251111T095926Z.jpg</v>
      </c>
    </row>
    <row r="22" spans="1:13" x14ac:dyDescent="0.25">
      <c r="A22" s="2" t="s">
        <v>14</v>
      </c>
      <c r="B22" s="4">
        <v>45972</v>
      </c>
      <c r="C22" s="5">
        <v>0.4226273148148148</v>
      </c>
      <c r="D22" t="s">
        <v>289</v>
      </c>
      <c r="E22" t="s">
        <v>67</v>
      </c>
      <c r="F22" t="s">
        <v>468</v>
      </c>
      <c r="I22" t="s">
        <v>394</v>
      </c>
      <c r="J22" t="s">
        <v>2982</v>
      </c>
      <c r="K22" t="s">
        <v>395</v>
      </c>
      <c r="L22" t="s">
        <v>396</v>
      </c>
      <c r="M22" s="3" t="str">
        <f>HYPERLINK(склад2въезд1319[[#This Row],[RelativePath]])</f>
        <v>5 Крыльцо общага\K07156189_22_20251111T100835Z.jpg</v>
      </c>
    </row>
    <row r="23" spans="1:13" x14ac:dyDescent="0.25">
      <c r="A23" s="2" t="s">
        <v>14</v>
      </c>
      <c r="B23" s="4">
        <v>45972</v>
      </c>
      <c r="C23" s="5">
        <v>0.42736111111111114</v>
      </c>
      <c r="D23" t="s">
        <v>289</v>
      </c>
      <c r="E23" t="s">
        <v>67</v>
      </c>
      <c r="F23" t="s">
        <v>468</v>
      </c>
      <c r="I23" t="s">
        <v>397</v>
      </c>
      <c r="J23" t="s">
        <v>2982</v>
      </c>
      <c r="K23" t="s">
        <v>398</v>
      </c>
      <c r="L23" t="s">
        <v>399</v>
      </c>
      <c r="M23" s="3" t="str">
        <f>HYPERLINK(склад2въезд1319[[#This Row],[RelativePath]])</f>
        <v>5 Крыльцо общага\K07156189_22_20251111T101524Z.jpg</v>
      </c>
    </row>
    <row r="24" spans="1:13" x14ac:dyDescent="0.25">
      <c r="A24" s="2" t="s">
        <v>14</v>
      </c>
      <c r="B24" s="4">
        <v>45972</v>
      </c>
      <c r="C24" s="5">
        <v>0.42944444444444446</v>
      </c>
      <c r="D24" t="s">
        <v>289</v>
      </c>
      <c r="E24" t="s">
        <v>67</v>
      </c>
      <c r="F24" t="s">
        <v>468</v>
      </c>
      <c r="I24" t="s">
        <v>400</v>
      </c>
      <c r="J24" t="s">
        <v>2982</v>
      </c>
      <c r="K24" t="s">
        <v>401</v>
      </c>
      <c r="L24" t="s">
        <v>402</v>
      </c>
      <c r="M24" s="3" t="str">
        <f>HYPERLINK(склад2въезд1319[[#This Row],[RelativePath]])</f>
        <v>5 Крыльцо общага\K07156189_22_20251111T101824Z.jpg</v>
      </c>
    </row>
    <row r="25" spans="1:13" x14ac:dyDescent="0.25">
      <c r="A25" s="2" t="s">
        <v>14</v>
      </c>
      <c r="B25" s="4">
        <v>45972</v>
      </c>
      <c r="C25" s="5">
        <v>0.4316550925925926</v>
      </c>
      <c r="D25" t="s">
        <v>289</v>
      </c>
      <c r="E25" t="s">
        <v>67</v>
      </c>
      <c r="F25" t="s">
        <v>468</v>
      </c>
      <c r="I25" t="s">
        <v>403</v>
      </c>
      <c r="J25" t="s">
        <v>2982</v>
      </c>
      <c r="K25" t="s">
        <v>404</v>
      </c>
      <c r="L25" t="s">
        <v>405</v>
      </c>
      <c r="M25" s="3" t="str">
        <f>HYPERLINK(склад2въезд1319[[#This Row],[RelativePath]])</f>
        <v>5 Крыльцо общага\K07156189_22_20251111T102135Z.jpg</v>
      </c>
    </row>
    <row r="26" spans="1:13" x14ac:dyDescent="0.25">
      <c r="A26" s="2" t="s">
        <v>14</v>
      </c>
      <c r="B26" s="4">
        <v>45972</v>
      </c>
      <c r="C26" s="5">
        <v>0.43408564814814815</v>
      </c>
      <c r="D26" t="s">
        <v>289</v>
      </c>
      <c r="E26" t="s">
        <v>67</v>
      </c>
      <c r="F26" t="s">
        <v>468</v>
      </c>
      <c r="I26" t="s">
        <v>406</v>
      </c>
      <c r="J26" t="s">
        <v>2982</v>
      </c>
      <c r="K26" t="s">
        <v>407</v>
      </c>
      <c r="L26" t="s">
        <v>408</v>
      </c>
      <c r="M26" s="3" t="str">
        <f>HYPERLINK(склад2въезд1319[[#This Row],[RelativePath]])</f>
        <v>5 Крыльцо общага\K07156189_22_20251111T102505Z.jpg</v>
      </c>
    </row>
    <row r="27" spans="1:13" x14ac:dyDescent="0.25">
      <c r="A27" s="2" t="s">
        <v>14</v>
      </c>
      <c r="B27" s="4">
        <v>45972</v>
      </c>
      <c r="C27" s="5">
        <v>0.43606481481481479</v>
      </c>
      <c r="D27" t="s">
        <v>289</v>
      </c>
      <c r="E27" t="s">
        <v>67</v>
      </c>
      <c r="F27" t="s">
        <v>469</v>
      </c>
      <c r="H27" t="s">
        <v>470</v>
      </c>
      <c r="I27" t="s">
        <v>409</v>
      </c>
      <c r="J27" t="s">
        <v>2982</v>
      </c>
      <c r="K27" t="s">
        <v>410</v>
      </c>
      <c r="L27" t="s">
        <v>411</v>
      </c>
      <c r="M27" s="3" t="str">
        <f>HYPERLINK(склад2въезд1319[[#This Row],[RelativePath]])</f>
        <v>5 Крыльцо общага\K07156189_22_20251111T102756Z.jpg</v>
      </c>
    </row>
    <row r="28" spans="1:13" x14ac:dyDescent="0.25">
      <c r="A28" s="2" t="s">
        <v>14</v>
      </c>
      <c r="B28" s="4">
        <v>45972</v>
      </c>
      <c r="C28" s="5">
        <v>0.4387847222222222</v>
      </c>
      <c r="D28" t="s">
        <v>471</v>
      </c>
      <c r="E28" t="s">
        <v>67</v>
      </c>
      <c r="F28" t="s">
        <v>468</v>
      </c>
      <c r="I28" t="s">
        <v>412</v>
      </c>
      <c r="J28" t="s">
        <v>2982</v>
      </c>
      <c r="K28" t="s">
        <v>413</v>
      </c>
      <c r="L28" t="s">
        <v>414</v>
      </c>
      <c r="M28" s="3" t="str">
        <f>HYPERLINK(склад2въезд1319[[#This Row],[RelativePath]])</f>
        <v>5 Крыльцо общага\K07156189_22_20251111T103151Z.jpg</v>
      </c>
    </row>
    <row r="29" spans="1:13" x14ac:dyDescent="0.25">
      <c r="A29" s="2" t="s">
        <v>14</v>
      </c>
      <c r="B29" s="4">
        <v>45972</v>
      </c>
      <c r="C29" s="5">
        <v>0.44353009259259257</v>
      </c>
      <c r="D29" t="s">
        <v>472</v>
      </c>
      <c r="E29" t="s">
        <v>67</v>
      </c>
      <c r="F29" t="s">
        <v>468</v>
      </c>
      <c r="I29" t="s">
        <v>415</v>
      </c>
      <c r="J29" t="s">
        <v>2982</v>
      </c>
      <c r="K29" t="s">
        <v>416</v>
      </c>
      <c r="L29" t="s">
        <v>417</v>
      </c>
      <c r="M29" s="3" t="str">
        <f>HYPERLINK(склад2въезд1319[[#This Row],[RelativePath]])</f>
        <v>5 Крыльцо общага\K07156189_22_20251111T103841Z.jpg</v>
      </c>
    </row>
    <row r="30" spans="1:13" x14ac:dyDescent="0.25">
      <c r="A30" s="2" t="s">
        <v>14</v>
      </c>
      <c r="B30" s="4">
        <v>45972</v>
      </c>
      <c r="C30" s="5">
        <v>0.64351851851851849</v>
      </c>
      <c r="D30" t="s">
        <v>4</v>
      </c>
      <c r="E30" t="s">
        <v>473</v>
      </c>
      <c r="I30" t="s">
        <v>418</v>
      </c>
      <c r="J30" t="s">
        <v>2982</v>
      </c>
      <c r="K30" t="s">
        <v>419</v>
      </c>
      <c r="L30" t="s">
        <v>420</v>
      </c>
      <c r="M30" s="3" t="str">
        <f>HYPERLINK(склад2въезд1319[[#This Row],[RelativePath]])</f>
        <v>5 Крыльцо общага\K07156189_22_20251111T152640Z.jpg</v>
      </c>
    </row>
    <row r="31" spans="1:13" x14ac:dyDescent="0.25">
      <c r="A31" s="2" t="s">
        <v>15</v>
      </c>
      <c r="B31" s="4">
        <v>45973</v>
      </c>
      <c r="C31" s="5">
        <v>0.36234953703703704</v>
      </c>
      <c r="D31" t="s">
        <v>4</v>
      </c>
      <c r="E31" t="s">
        <v>8</v>
      </c>
      <c r="H31" t="s">
        <v>5</v>
      </c>
      <c r="I31" t="s">
        <v>421</v>
      </c>
      <c r="J31" t="s">
        <v>2982</v>
      </c>
      <c r="K31" t="s">
        <v>422</v>
      </c>
      <c r="L31" t="s">
        <v>423</v>
      </c>
      <c r="M31" s="3" t="str">
        <f>HYPERLINK(склад2въезд1319[[#This Row],[RelativePath]])</f>
        <v>5 Крыльцо общага\K07156189_22_20251112T084147Z.jpg</v>
      </c>
    </row>
    <row r="32" spans="1:13" x14ac:dyDescent="0.25">
      <c r="A32" s="2" t="s">
        <v>15</v>
      </c>
      <c r="B32" s="4">
        <v>45973</v>
      </c>
      <c r="C32" s="5">
        <v>0.50559027777777776</v>
      </c>
      <c r="D32" t="s">
        <v>4</v>
      </c>
      <c r="E32" t="s">
        <v>8</v>
      </c>
      <c r="I32" t="s">
        <v>424</v>
      </c>
      <c r="J32" t="s">
        <v>2982</v>
      </c>
      <c r="K32" t="s">
        <v>425</v>
      </c>
      <c r="L32" t="s">
        <v>426</v>
      </c>
      <c r="M32" s="3" t="str">
        <f>HYPERLINK(склад2въезд1319[[#This Row],[RelativePath]])</f>
        <v>5 Крыльцо общага\K07156189_22_20251112T120803Z.jpg</v>
      </c>
    </row>
    <row r="33" spans="1:13" x14ac:dyDescent="0.25">
      <c r="A33" s="2" t="s">
        <v>15</v>
      </c>
      <c r="B33" s="4">
        <v>45973</v>
      </c>
      <c r="C33" s="5">
        <v>0.69714120370370369</v>
      </c>
      <c r="D33" t="s">
        <v>4</v>
      </c>
      <c r="E33" t="s">
        <v>477</v>
      </c>
      <c r="H33" t="s">
        <v>478</v>
      </c>
      <c r="I33" t="s">
        <v>427</v>
      </c>
      <c r="J33" t="s">
        <v>2982</v>
      </c>
      <c r="K33" t="s">
        <v>428</v>
      </c>
      <c r="L33" t="s">
        <v>429</v>
      </c>
      <c r="M33" s="3" t="str">
        <f>HYPERLINK(склад2въезд1319[[#This Row],[RelativePath]])</f>
        <v>5 Крыльцо общага\K07156189_22_20251112T164353Z.jpg</v>
      </c>
    </row>
    <row r="34" spans="1:13" x14ac:dyDescent="0.25">
      <c r="A34" s="2" t="s">
        <v>16</v>
      </c>
      <c r="B34" s="4">
        <v>45974</v>
      </c>
      <c r="C34" s="5">
        <v>0.36880787037037038</v>
      </c>
      <c r="D34" t="s">
        <v>4</v>
      </c>
      <c r="E34" t="s">
        <v>8</v>
      </c>
      <c r="H34" t="s">
        <v>5</v>
      </c>
      <c r="I34" t="s">
        <v>430</v>
      </c>
      <c r="J34" t="s">
        <v>2982</v>
      </c>
      <c r="K34" t="s">
        <v>431</v>
      </c>
      <c r="L34" t="s">
        <v>432</v>
      </c>
      <c r="M34" s="3" t="str">
        <f>HYPERLINK(склад2въезд1319[[#This Row],[RelativePath]])</f>
        <v>5 Крыльцо общага\K07156189_22_20251113T085105Z.jpg</v>
      </c>
    </row>
    <row r="35" spans="1:13" x14ac:dyDescent="0.25">
      <c r="A35" s="2" t="s">
        <v>16</v>
      </c>
      <c r="B35" s="4">
        <v>45974</v>
      </c>
      <c r="C35" s="5">
        <v>0.41435185185185186</v>
      </c>
      <c r="D35" t="s">
        <v>4</v>
      </c>
      <c r="E35" t="s">
        <v>8</v>
      </c>
      <c r="H35" t="s">
        <v>474</v>
      </c>
      <c r="I35" t="s">
        <v>433</v>
      </c>
      <c r="J35" t="s">
        <v>2982</v>
      </c>
      <c r="K35" t="s">
        <v>434</v>
      </c>
      <c r="L35" t="s">
        <v>435</v>
      </c>
      <c r="M35" s="3" t="str">
        <f>HYPERLINK(склад2въезд1319[[#This Row],[RelativePath]])</f>
        <v>5 Крыльцо общага\K07156189_22_20251113T095640Z.jpg</v>
      </c>
    </row>
    <row r="36" spans="1:13" x14ac:dyDescent="0.25">
      <c r="A36" s="2" t="s">
        <v>16</v>
      </c>
      <c r="B36" s="4">
        <v>45974</v>
      </c>
      <c r="C36" s="5">
        <v>0.61059027777777775</v>
      </c>
      <c r="D36" t="s">
        <v>4</v>
      </c>
      <c r="E36" t="s">
        <v>8</v>
      </c>
      <c r="I36" t="s">
        <v>436</v>
      </c>
      <c r="J36" t="s">
        <v>2982</v>
      </c>
      <c r="K36" t="s">
        <v>437</v>
      </c>
      <c r="L36" t="s">
        <v>438</v>
      </c>
      <c r="M36" s="3" t="str">
        <f>HYPERLINK(склад2въезд1319[[#This Row],[RelativePath]])</f>
        <v>5 Крыльцо общага\K07156189_22_20251113T143915Z.jpg</v>
      </c>
    </row>
    <row r="37" spans="1:13" x14ac:dyDescent="0.25">
      <c r="A37" s="2" t="s">
        <v>16</v>
      </c>
      <c r="B37" s="4">
        <v>45974</v>
      </c>
      <c r="C37" s="5">
        <v>0.71030092592592597</v>
      </c>
      <c r="D37" t="s">
        <v>4</v>
      </c>
      <c r="E37" t="s">
        <v>8</v>
      </c>
      <c r="H37" t="s">
        <v>6</v>
      </c>
      <c r="I37" t="s">
        <v>439</v>
      </c>
      <c r="J37" t="s">
        <v>2982</v>
      </c>
      <c r="K37" t="s">
        <v>440</v>
      </c>
      <c r="L37" t="s">
        <v>441</v>
      </c>
      <c r="M37" s="3" t="str">
        <f>HYPERLINK(склад2въезд1319[[#This Row],[RelativePath]])</f>
        <v>5 Крыльцо общага\K07156189_22_20251113T170250Z.jpg</v>
      </c>
    </row>
    <row r="38" spans="1:13" x14ac:dyDescent="0.25">
      <c r="A38" s="2" t="s">
        <v>17</v>
      </c>
      <c r="B38" s="4">
        <v>45975</v>
      </c>
      <c r="C38" s="5">
        <v>0.38307870370370373</v>
      </c>
      <c r="D38" t="s">
        <v>4</v>
      </c>
      <c r="E38" t="s">
        <v>8</v>
      </c>
      <c r="H38" t="s">
        <v>5</v>
      </c>
      <c r="I38" t="s">
        <v>442</v>
      </c>
      <c r="J38" t="s">
        <v>2982</v>
      </c>
      <c r="K38" t="s">
        <v>443</v>
      </c>
      <c r="L38" t="s">
        <v>444</v>
      </c>
      <c r="M38" s="3" t="str">
        <f>HYPERLINK(склад2въезд1319[[#This Row],[RelativePath]])</f>
        <v>5 Крыльцо общага\K07156189_22_20251114T091138Z.jpg</v>
      </c>
    </row>
    <row r="39" spans="1:13" x14ac:dyDescent="0.25">
      <c r="A39" s="2" t="s">
        <v>17</v>
      </c>
      <c r="B39" s="4">
        <v>45975</v>
      </c>
      <c r="C39" s="5">
        <v>0.39901620370370372</v>
      </c>
      <c r="D39" t="s">
        <v>4</v>
      </c>
      <c r="E39" t="s">
        <v>475</v>
      </c>
      <c r="I39" t="s">
        <v>445</v>
      </c>
      <c r="J39" t="s">
        <v>2982</v>
      </c>
      <c r="K39" t="s">
        <v>446</v>
      </c>
      <c r="L39" t="s">
        <v>447</v>
      </c>
      <c r="M39" s="3" t="str">
        <f>HYPERLINK(склад2въезд1319[[#This Row],[RelativePath]])</f>
        <v>5 Крыльцо общага\K07156189_22_20251114T093435Z.jpg</v>
      </c>
    </row>
    <row r="40" spans="1:13" x14ac:dyDescent="0.25">
      <c r="A40" s="2" t="s">
        <v>17</v>
      </c>
      <c r="B40" s="4">
        <v>45975</v>
      </c>
      <c r="C40" s="5">
        <v>0.42150462962962965</v>
      </c>
      <c r="D40" t="s">
        <v>4</v>
      </c>
      <c r="E40" t="s">
        <v>475</v>
      </c>
      <c r="I40" t="s">
        <v>448</v>
      </c>
      <c r="J40" t="s">
        <v>2982</v>
      </c>
      <c r="K40" t="s">
        <v>449</v>
      </c>
      <c r="L40" t="s">
        <v>450</v>
      </c>
      <c r="M40" s="3" t="str">
        <f>HYPERLINK(склад2въезд1319[[#This Row],[RelativePath]])</f>
        <v>5 Крыльцо общага\K07156189_22_20251114T100658Z.jpg</v>
      </c>
    </row>
    <row r="41" spans="1:13" x14ac:dyDescent="0.25">
      <c r="A41" s="2" t="s">
        <v>17</v>
      </c>
      <c r="B41" s="4">
        <v>45975</v>
      </c>
      <c r="C41" s="5">
        <v>0.48582175925925924</v>
      </c>
      <c r="D41" t="s">
        <v>4</v>
      </c>
      <c r="E41" t="s">
        <v>479</v>
      </c>
      <c r="H41" t="s">
        <v>476</v>
      </c>
      <c r="I41" t="s">
        <v>451</v>
      </c>
      <c r="J41" t="s">
        <v>2982</v>
      </c>
      <c r="K41" t="s">
        <v>452</v>
      </c>
      <c r="L41" t="s">
        <v>453</v>
      </c>
      <c r="M41" s="3" t="str">
        <f>HYPERLINK(склад2въезд1319[[#This Row],[RelativePath]])</f>
        <v>5 Крыльцо общага\K07156189_22_20251114T113935Z.jpg</v>
      </c>
    </row>
    <row r="42" spans="1:13" x14ac:dyDescent="0.25">
      <c r="A42" s="2" t="s">
        <v>17</v>
      </c>
      <c r="B42" s="4">
        <v>45975</v>
      </c>
      <c r="C42" s="5">
        <v>0.59027777777777779</v>
      </c>
      <c r="D42" t="s">
        <v>4</v>
      </c>
      <c r="E42" t="s">
        <v>8</v>
      </c>
      <c r="I42" t="s">
        <v>454</v>
      </c>
      <c r="J42" t="s">
        <v>2982</v>
      </c>
      <c r="K42" t="s">
        <v>455</v>
      </c>
      <c r="L42" t="s">
        <v>456</v>
      </c>
      <c r="M42" s="3" t="str">
        <f>HYPERLINK(склад2въезд1319[[#This Row],[RelativePath]])</f>
        <v>5 Крыльцо общага\K07156189_22_20251114T141000Z.jpg</v>
      </c>
    </row>
    <row r="43" spans="1:13" x14ac:dyDescent="0.25">
      <c r="A43" s="2" t="s">
        <v>17</v>
      </c>
      <c r="B43" s="4">
        <v>45975</v>
      </c>
      <c r="C43" s="5">
        <v>0.73313657407407407</v>
      </c>
      <c r="D43" t="s">
        <v>4</v>
      </c>
      <c r="E43" t="s">
        <v>8</v>
      </c>
      <c r="H43" t="s">
        <v>6</v>
      </c>
      <c r="I43" t="s">
        <v>457</v>
      </c>
      <c r="J43" t="s">
        <v>2982</v>
      </c>
      <c r="K43" t="s">
        <v>458</v>
      </c>
      <c r="L43" t="s">
        <v>459</v>
      </c>
      <c r="M43" s="3" t="str">
        <f>HYPERLINK(склад2въезд1319[[#This Row],[RelativePath]])</f>
        <v>5 Крыльцо общага\K07156189_22_20251114T173543Z.jpg</v>
      </c>
    </row>
    <row r="44" spans="1:13" x14ac:dyDescent="0.25">
      <c r="A44" s="2" t="s">
        <v>18</v>
      </c>
      <c r="B44" s="4">
        <v>45976</v>
      </c>
      <c r="C44" s="5">
        <v>0.35337962962962965</v>
      </c>
      <c r="D44" t="s">
        <v>4</v>
      </c>
      <c r="E44" t="s">
        <v>8</v>
      </c>
      <c r="H44" t="s">
        <v>1625</v>
      </c>
      <c r="I44" t="s">
        <v>1295</v>
      </c>
      <c r="J44" t="s">
        <v>2982</v>
      </c>
      <c r="K44" t="s">
        <v>1296</v>
      </c>
      <c r="L44" t="s">
        <v>1297</v>
      </c>
      <c r="M44" s="3" t="str">
        <f>HYPERLINK(склад2въезд1319[[#This Row],[RelativePath]])</f>
        <v>5 Крыльцо общага\K07156189_22_20251115T082852Z.jpg</v>
      </c>
    </row>
    <row r="45" spans="1:13" x14ac:dyDescent="0.25">
      <c r="A45" s="2" t="s">
        <v>18</v>
      </c>
      <c r="B45" s="4">
        <v>45976</v>
      </c>
      <c r="C45" s="5">
        <v>0.72494212962962967</v>
      </c>
      <c r="D45" t="s">
        <v>4</v>
      </c>
      <c r="E45" t="s">
        <v>8</v>
      </c>
      <c r="H45" t="s">
        <v>2009</v>
      </c>
      <c r="I45" t="s">
        <v>1298</v>
      </c>
      <c r="J45" t="s">
        <v>2982</v>
      </c>
      <c r="K45" t="s">
        <v>1299</v>
      </c>
      <c r="L45" t="s">
        <v>1300</v>
      </c>
      <c r="M45" s="3" t="str">
        <f>HYPERLINK(склад2въезд1319[[#This Row],[RelativePath]])</f>
        <v>5 Крыльцо общага\K07156189_22_20251115T172355Z.jpg</v>
      </c>
    </row>
    <row r="46" spans="1:13" x14ac:dyDescent="0.25">
      <c r="A46" s="2" t="s">
        <v>22</v>
      </c>
      <c r="B46" s="4">
        <v>45977</v>
      </c>
      <c r="C46" s="5">
        <v>0.7407407407407407</v>
      </c>
      <c r="D46" t="s">
        <v>4</v>
      </c>
      <c r="E46" t="s">
        <v>2014</v>
      </c>
      <c r="H46" t="s">
        <v>1625</v>
      </c>
      <c r="I46" t="s">
        <v>1301</v>
      </c>
      <c r="J46" t="s">
        <v>2982</v>
      </c>
      <c r="K46" t="s">
        <v>1302</v>
      </c>
      <c r="L46" t="s">
        <v>1303</v>
      </c>
      <c r="M46" s="3" t="str">
        <f>HYPERLINK(склад2въезд1319[[#This Row],[RelativePath]])</f>
        <v>5 Крыльцо общага\K07156189_22_20251116T174640Z.jpg</v>
      </c>
    </row>
    <row r="47" spans="1:13" x14ac:dyDescent="0.25">
      <c r="A47" s="2" t="s">
        <v>13</v>
      </c>
      <c r="B47" s="4">
        <v>45978</v>
      </c>
      <c r="C47" s="5">
        <v>0.73482638888888885</v>
      </c>
      <c r="D47" t="s">
        <v>4</v>
      </c>
      <c r="E47" t="s">
        <v>8</v>
      </c>
      <c r="I47" t="s">
        <v>2094</v>
      </c>
      <c r="J47" t="s">
        <v>2982</v>
      </c>
      <c r="K47" t="s">
        <v>2095</v>
      </c>
      <c r="L47" t="s">
        <v>2096</v>
      </c>
      <c r="M47" s="3" t="str">
        <f>HYPERLINK(склад2въезд1319[[#This Row],[RelativePath]])</f>
        <v>5 Крыльцо общага\K07156189_22_20251117T173809Z.jpg</v>
      </c>
    </row>
    <row r="48" spans="1:13" x14ac:dyDescent="0.25">
      <c r="A48" s="2" t="s">
        <v>14</v>
      </c>
      <c r="B48" s="4">
        <v>45979</v>
      </c>
      <c r="C48" s="5">
        <v>0.43456018518518519</v>
      </c>
      <c r="D48" t="s">
        <v>4</v>
      </c>
      <c r="E48" t="s">
        <v>8</v>
      </c>
      <c r="I48" t="s">
        <v>2097</v>
      </c>
      <c r="J48" t="s">
        <v>2982</v>
      </c>
      <c r="K48" t="s">
        <v>2098</v>
      </c>
      <c r="L48" t="s">
        <v>2099</v>
      </c>
      <c r="M48" s="3" t="str">
        <f>HYPERLINK(склад2въезд1319[[#This Row],[RelativePath]])</f>
        <v>5 Крыльцо общага\K07156189_22_20251118T102546Z.jpg</v>
      </c>
    </row>
    <row r="49" spans="1:13" x14ac:dyDescent="0.25">
      <c r="A49" s="2" t="s">
        <v>15</v>
      </c>
      <c r="B49" s="4">
        <v>45980</v>
      </c>
      <c r="C49" s="5">
        <v>0.47320601851851851</v>
      </c>
      <c r="D49" t="s">
        <v>4</v>
      </c>
      <c r="E49" t="s">
        <v>8</v>
      </c>
      <c r="I49" t="s">
        <v>2100</v>
      </c>
      <c r="J49" t="s">
        <v>2982</v>
      </c>
      <c r="K49" t="s">
        <v>2101</v>
      </c>
      <c r="L49" t="s">
        <v>2102</v>
      </c>
      <c r="M49" s="3" t="str">
        <f>HYPERLINK(склад2въезд1319[[#This Row],[RelativePath]])</f>
        <v>5 Крыльцо общага\K07156189_22_20251119T112125Z.jpg</v>
      </c>
    </row>
    <row r="50" spans="1:13" x14ac:dyDescent="0.25">
      <c r="A50" s="2" t="s">
        <v>16</v>
      </c>
      <c r="B50" s="4">
        <v>45981</v>
      </c>
      <c r="C50" s="5">
        <v>0.3652199074074074</v>
      </c>
      <c r="D50" t="s">
        <v>4</v>
      </c>
      <c r="E50" t="s">
        <v>8</v>
      </c>
      <c r="I50" t="s">
        <v>2103</v>
      </c>
      <c r="J50" t="s">
        <v>2982</v>
      </c>
      <c r="K50" t="s">
        <v>2104</v>
      </c>
      <c r="L50" t="s">
        <v>2105</v>
      </c>
      <c r="M50" s="3" t="str">
        <f>HYPERLINK(склад2въезд1319[[#This Row],[RelativePath]])</f>
        <v>5 Крыльцо общага\K07156189_22_20251120T084555Z.jpg</v>
      </c>
    </row>
    <row r="51" spans="1:13" x14ac:dyDescent="0.25">
      <c r="A51" s="2" t="s">
        <v>17</v>
      </c>
      <c r="B51" s="4">
        <v>45982</v>
      </c>
      <c r="C51" s="5">
        <v>0.72293981481481484</v>
      </c>
      <c r="D51" t="s">
        <v>4</v>
      </c>
      <c r="E51" t="s">
        <v>8</v>
      </c>
      <c r="I51" t="s">
        <v>2106</v>
      </c>
      <c r="J51" t="s">
        <v>2982</v>
      </c>
      <c r="K51" t="s">
        <v>2107</v>
      </c>
      <c r="L51" t="s">
        <v>2108</v>
      </c>
      <c r="M51" s="3" t="str">
        <f>HYPERLINK(склад2въезд1319[[#This Row],[RelativePath]])</f>
        <v>5 Крыльцо общага\K07156189_22_20251121T172102Z.jpg</v>
      </c>
    </row>
    <row r="52" spans="1:13" x14ac:dyDescent="0.25">
      <c r="A52" s="2" t="s">
        <v>18</v>
      </c>
      <c r="B52" s="4">
        <v>45983</v>
      </c>
      <c r="C52" s="5">
        <v>0.72091435185185182</v>
      </c>
      <c r="D52" t="s">
        <v>4</v>
      </c>
      <c r="E52" t="s">
        <v>8</v>
      </c>
      <c r="I52" t="s">
        <v>2109</v>
      </c>
      <c r="J52" t="s">
        <v>2982</v>
      </c>
      <c r="K52" t="s">
        <v>2110</v>
      </c>
      <c r="L52" t="s">
        <v>2111</v>
      </c>
      <c r="M52" s="3" t="str">
        <f>HYPERLINK(склад2въезд1319[[#This Row],[RelativePath]])</f>
        <v>5 Крыльцо общага\K07156189_22_20251122T171807Z.jpg</v>
      </c>
    </row>
    <row r="53" spans="1:13" x14ac:dyDescent="0.25">
      <c r="A53" s="2" t="s">
        <v>22</v>
      </c>
      <c r="B53" s="4">
        <v>45984</v>
      </c>
      <c r="C53" s="5">
        <v>0.42737268518518517</v>
      </c>
      <c r="D53" t="s">
        <v>4</v>
      </c>
      <c r="E53" t="s">
        <v>8</v>
      </c>
      <c r="I53" t="s">
        <v>2112</v>
      </c>
      <c r="J53" t="s">
        <v>2982</v>
      </c>
      <c r="K53" t="s">
        <v>2113</v>
      </c>
      <c r="L53" t="s">
        <v>2114</v>
      </c>
      <c r="M53" s="3" t="str">
        <f>HYPERLINK(склад2въезд1319[[#This Row],[RelativePath]])</f>
        <v>5 Крыльцо общага\K07156189_22_20251123T101525Z.jpg</v>
      </c>
    </row>
    <row r="54" spans="1:13" x14ac:dyDescent="0.25">
      <c r="A54" s="2" t="s">
        <v>13</v>
      </c>
      <c r="B54" s="4">
        <v>45985</v>
      </c>
      <c r="C54" s="5">
        <v>0.67232638888888885</v>
      </c>
      <c r="D54" t="s">
        <v>4</v>
      </c>
      <c r="E54" t="s">
        <v>8</v>
      </c>
      <c r="I54" t="s">
        <v>3079</v>
      </c>
      <c r="J54" t="s">
        <v>2982</v>
      </c>
      <c r="K54" t="s">
        <v>3080</v>
      </c>
      <c r="L54" t="s">
        <v>3081</v>
      </c>
      <c r="M54" s="3" t="str">
        <f>HYPERLINK(склад2въезд1319[[#This Row],[RelativePath]])</f>
        <v>5 Крыльцо общага\K07156189_22_20251124T160809Z.jpg</v>
      </c>
    </row>
    <row r="55" spans="1:13" x14ac:dyDescent="0.25">
      <c r="A55" s="2" t="s">
        <v>13</v>
      </c>
      <c r="B55" s="4">
        <v>45985</v>
      </c>
      <c r="C55" s="5">
        <v>0.69039351851851849</v>
      </c>
      <c r="D55" t="s">
        <v>4</v>
      </c>
      <c r="E55" t="s">
        <v>8</v>
      </c>
      <c r="I55" t="s">
        <v>3082</v>
      </c>
      <c r="J55" t="s">
        <v>2982</v>
      </c>
      <c r="K55" t="s">
        <v>3083</v>
      </c>
      <c r="L55" t="s">
        <v>3084</v>
      </c>
      <c r="M55" s="3" t="str">
        <f>HYPERLINK(склад2въезд1319[[#This Row],[RelativePath]])</f>
        <v>5 Крыльцо общага\K07156189_22_20251124T163410Z.jpg</v>
      </c>
    </row>
    <row r="56" spans="1:13" x14ac:dyDescent="0.25">
      <c r="A56" s="2" t="s">
        <v>14</v>
      </c>
      <c r="B56" s="4">
        <v>45986</v>
      </c>
      <c r="C56" s="5">
        <v>0.61163194444444446</v>
      </c>
      <c r="D56" t="s">
        <v>4</v>
      </c>
      <c r="E56" t="s">
        <v>8</v>
      </c>
      <c r="I56" t="s">
        <v>3085</v>
      </c>
      <c r="J56" t="s">
        <v>2982</v>
      </c>
      <c r="K56" t="s">
        <v>3086</v>
      </c>
      <c r="L56" t="s">
        <v>3087</v>
      </c>
      <c r="M56" s="3" t="str">
        <f>HYPERLINK(склад2въезд1319[[#This Row],[RelativePath]])</f>
        <v>5 Крыльцо общага\K07156189_22_20251125T144045Z.jpg</v>
      </c>
    </row>
    <row r="57" spans="1:13" x14ac:dyDescent="0.25">
      <c r="A57" s="2" t="s">
        <v>14</v>
      </c>
      <c r="B57" s="4">
        <v>45986</v>
      </c>
      <c r="C57" s="5">
        <v>0.71024305555555556</v>
      </c>
      <c r="D57" t="s">
        <v>4</v>
      </c>
      <c r="E57" t="s">
        <v>8</v>
      </c>
      <c r="I57" t="s">
        <v>3088</v>
      </c>
      <c r="J57" t="s">
        <v>2982</v>
      </c>
      <c r="K57" t="s">
        <v>3089</v>
      </c>
      <c r="L57" t="s">
        <v>3090</v>
      </c>
      <c r="M57" s="3" t="str">
        <f>HYPERLINK(склад2въезд1319[[#This Row],[RelativePath]])</f>
        <v>5 Крыльцо общага\K07156189_22_20251125T170245Z.jpg</v>
      </c>
    </row>
    <row r="58" spans="1:13" x14ac:dyDescent="0.25">
      <c r="A58" s="2" t="s">
        <v>15</v>
      </c>
      <c r="B58" s="4">
        <v>45987</v>
      </c>
      <c r="C58" s="5">
        <v>0.41302083333333334</v>
      </c>
      <c r="D58" t="s">
        <v>4</v>
      </c>
      <c r="E58" t="s">
        <v>8</v>
      </c>
      <c r="I58" t="s">
        <v>3091</v>
      </c>
      <c r="J58" t="s">
        <v>2982</v>
      </c>
      <c r="K58" t="s">
        <v>3092</v>
      </c>
      <c r="L58" t="s">
        <v>3093</v>
      </c>
      <c r="M58" s="3" t="str">
        <f>HYPERLINK(склад2въезд1319[[#This Row],[RelativePath]])</f>
        <v>5 Крыльцо общага\K07156189_22_20251126T095445Z.jpg</v>
      </c>
    </row>
    <row r="59" spans="1:13" x14ac:dyDescent="0.25">
      <c r="A59" s="2" t="s">
        <v>16</v>
      </c>
      <c r="B59" s="4">
        <v>45988</v>
      </c>
      <c r="C59" s="5">
        <v>0.64124999999999999</v>
      </c>
      <c r="D59" t="s">
        <v>4</v>
      </c>
      <c r="E59" t="s">
        <v>8</v>
      </c>
      <c r="I59" t="s">
        <v>3094</v>
      </c>
      <c r="J59" t="s">
        <v>2982</v>
      </c>
      <c r="K59" t="s">
        <v>3095</v>
      </c>
      <c r="L59" t="s">
        <v>3096</v>
      </c>
      <c r="M59" s="3" t="str">
        <f>HYPERLINK(склад2въезд1319[[#This Row],[RelativePath]])</f>
        <v>5 Крыльцо общага\K07156189_22_20251127T152324Z.jpg</v>
      </c>
    </row>
    <row r="60" spans="1:13" x14ac:dyDescent="0.25">
      <c r="A60" s="2" t="s">
        <v>17</v>
      </c>
      <c r="B60" s="4">
        <v>45989</v>
      </c>
      <c r="C60" s="5">
        <v>0.71096064814814819</v>
      </c>
      <c r="D60" t="s">
        <v>4</v>
      </c>
      <c r="E60" t="s">
        <v>8</v>
      </c>
      <c r="I60" t="s">
        <v>3097</v>
      </c>
      <c r="J60" t="s">
        <v>2982</v>
      </c>
      <c r="K60" t="s">
        <v>3098</v>
      </c>
      <c r="L60" t="s">
        <v>3099</v>
      </c>
      <c r="M60" s="3" t="str">
        <f>HYPERLINK(склад2въезд1319[[#This Row],[RelativePath]])</f>
        <v>5 Крыльцо общага\K07156189_22_20251128T170347Z.jpg</v>
      </c>
    </row>
    <row r="61" spans="1:13" x14ac:dyDescent="0.25">
      <c r="A61" s="2" t="s">
        <v>18</v>
      </c>
      <c r="B61" s="4">
        <v>45990</v>
      </c>
      <c r="C61" s="5">
        <v>0.48421296296296296</v>
      </c>
      <c r="D61" t="s">
        <v>4</v>
      </c>
      <c r="E61" t="s">
        <v>8</v>
      </c>
      <c r="I61" t="s">
        <v>3100</v>
      </c>
      <c r="J61" t="s">
        <v>2982</v>
      </c>
      <c r="K61" t="s">
        <v>3101</v>
      </c>
      <c r="L61" t="s">
        <v>3102</v>
      </c>
      <c r="M61" s="3" t="str">
        <f>HYPERLINK(склад2въезд1319[[#This Row],[RelativePath]])</f>
        <v>5 Крыльцо общага\K07156189_22_20251129T113716Z.jpg</v>
      </c>
    </row>
    <row r="62" spans="1:13" x14ac:dyDescent="0.25">
      <c r="A62" s="2" t="s">
        <v>22</v>
      </c>
      <c r="B62" s="4">
        <v>45991</v>
      </c>
      <c r="C62" s="5">
        <v>0.69702546296296297</v>
      </c>
      <c r="D62" t="s">
        <v>2004</v>
      </c>
      <c r="I62" t="s">
        <v>4270</v>
      </c>
      <c r="J62" t="s">
        <v>2982</v>
      </c>
      <c r="K62" t="s">
        <v>4271</v>
      </c>
      <c r="L62" t="s">
        <v>4272</v>
      </c>
      <c r="M62" s="3" t="str">
        <f>HYPERLINK(склад2въезд1319[[#This Row],[RelativePath]])</f>
        <v>5 Крыльцо общага\K07156189_22_20251130T164343Z.jpg</v>
      </c>
    </row>
    <row r="63" spans="1:13" x14ac:dyDescent="0.25">
      <c r="A63" s="2" t="s">
        <v>13</v>
      </c>
      <c r="B63" s="4">
        <v>45992</v>
      </c>
      <c r="C63" s="5">
        <v>0.49253472222222222</v>
      </c>
      <c r="D63" t="s">
        <v>1094</v>
      </c>
      <c r="E63" t="s">
        <v>4247</v>
      </c>
      <c r="F63" t="s">
        <v>58</v>
      </c>
      <c r="H63" t="s">
        <v>5102</v>
      </c>
      <c r="I63" t="s">
        <v>5097</v>
      </c>
      <c r="J63" t="s">
        <v>2982</v>
      </c>
      <c r="K63" t="s">
        <v>5098</v>
      </c>
      <c r="L63" t="s">
        <v>4317</v>
      </c>
      <c r="M63" s="3" t="str">
        <f>HYPERLINK(склад2въезд1319[[#This Row],[RelativePath]])</f>
        <v>5 Крыльцо общага\K07156189_22_20251201T114915Z.jpg</v>
      </c>
    </row>
    <row r="64" spans="1:13" x14ac:dyDescent="0.25">
      <c r="A64" s="2" t="s">
        <v>13</v>
      </c>
      <c r="B64" s="4">
        <v>45992</v>
      </c>
      <c r="C64" s="5">
        <v>0.71767361111111116</v>
      </c>
      <c r="D64" t="s">
        <v>4</v>
      </c>
      <c r="E64" t="s">
        <v>8</v>
      </c>
      <c r="I64" t="s">
        <v>4489</v>
      </c>
      <c r="J64" t="s">
        <v>2982</v>
      </c>
      <c r="K64" t="s">
        <v>4490</v>
      </c>
      <c r="L64" t="s">
        <v>4491</v>
      </c>
      <c r="M64" s="3" t="str">
        <f>HYPERLINK(склад2въезд1319[[#This Row],[RelativePath]])</f>
        <v>5 Крыльцо общага\K07156189_22_20251201T171327Z.jpg</v>
      </c>
    </row>
    <row r="65" spans="1:13" x14ac:dyDescent="0.25">
      <c r="A65" s="2" t="s">
        <v>14</v>
      </c>
      <c r="B65" s="4">
        <v>45993</v>
      </c>
      <c r="C65" s="5">
        <v>0.40729166666666666</v>
      </c>
      <c r="D65" t="s">
        <v>1615</v>
      </c>
      <c r="E65" t="s">
        <v>86</v>
      </c>
      <c r="F65" t="s">
        <v>200</v>
      </c>
      <c r="I65" t="s">
        <v>4492</v>
      </c>
      <c r="J65" t="s">
        <v>2982</v>
      </c>
      <c r="K65" t="s">
        <v>4493</v>
      </c>
      <c r="L65" t="s">
        <v>4494</v>
      </c>
      <c r="M65" s="3" t="str">
        <f>HYPERLINK(склад2въезд1319[[#This Row],[RelativePath]])</f>
        <v>5 Крыльцо общага\K07156189_22_20251202T094630Z.jpg</v>
      </c>
    </row>
    <row r="66" spans="1:13" x14ac:dyDescent="0.25">
      <c r="A66" s="2" t="s">
        <v>14</v>
      </c>
      <c r="B66" s="4">
        <v>45993</v>
      </c>
      <c r="C66" s="5">
        <v>0.70496527777777773</v>
      </c>
      <c r="D66" t="s">
        <v>4</v>
      </c>
      <c r="E66" t="s">
        <v>8</v>
      </c>
      <c r="I66" t="s">
        <v>4495</v>
      </c>
      <c r="J66" t="s">
        <v>2982</v>
      </c>
      <c r="K66" t="s">
        <v>4496</v>
      </c>
      <c r="L66" t="s">
        <v>4497</v>
      </c>
      <c r="M66" s="3" t="str">
        <f>HYPERLINK(склад2въезд1319[[#This Row],[RelativePath]])</f>
        <v>5 Крыльцо общага\K07156189_22_20251202T165509Z.jpg</v>
      </c>
    </row>
    <row r="67" spans="1:13" x14ac:dyDescent="0.25">
      <c r="A67" s="2" t="s">
        <v>15</v>
      </c>
      <c r="B67" s="4">
        <v>45994</v>
      </c>
      <c r="C67" s="5">
        <v>0.37664351851851852</v>
      </c>
      <c r="D67" t="s">
        <v>1615</v>
      </c>
      <c r="E67" t="s">
        <v>86</v>
      </c>
      <c r="F67" t="s">
        <v>200</v>
      </c>
      <c r="I67" t="s">
        <v>4498</v>
      </c>
      <c r="J67" t="s">
        <v>2982</v>
      </c>
      <c r="K67" t="s">
        <v>4499</v>
      </c>
      <c r="L67" t="s">
        <v>4500</v>
      </c>
      <c r="M67" s="3" t="str">
        <f>HYPERLINK(склад2въезд1319[[#This Row],[RelativePath]])</f>
        <v>5 Крыльцо общага\K07156189_22_20251203T090222Z.jpg</v>
      </c>
    </row>
    <row r="68" spans="1:13" x14ac:dyDescent="0.25">
      <c r="A68" s="2" t="s">
        <v>15</v>
      </c>
      <c r="B68" s="4">
        <v>45994</v>
      </c>
      <c r="C68" s="5">
        <v>0.39550925925925928</v>
      </c>
      <c r="D68" t="s">
        <v>1615</v>
      </c>
      <c r="E68" t="s">
        <v>86</v>
      </c>
      <c r="F68" t="s">
        <v>5103</v>
      </c>
      <c r="H68" t="s">
        <v>5104</v>
      </c>
      <c r="I68" t="s">
        <v>4501</v>
      </c>
      <c r="J68" t="s">
        <v>2982</v>
      </c>
      <c r="K68" t="s">
        <v>4502</v>
      </c>
      <c r="L68" t="s">
        <v>4503</v>
      </c>
      <c r="M68" s="3" t="str">
        <f>HYPERLINK(склад2въезд1319[[#This Row],[RelativePath]])</f>
        <v>5 Крыльцо общага\K07156189_22_20251203T092932Z.jpg</v>
      </c>
    </row>
    <row r="69" spans="1:13" x14ac:dyDescent="0.25">
      <c r="A69" s="2" t="s">
        <v>15</v>
      </c>
      <c r="B69" s="4">
        <v>45994</v>
      </c>
      <c r="C69" s="5">
        <v>0.40258101851851852</v>
      </c>
      <c r="D69" t="s">
        <v>1615</v>
      </c>
      <c r="E69" t="s">
        <v>86</v>
      </c>
      <c r="F69" t="s">
        <v>200</v>
      </c>
      <c r="I69" t="s">
        <v>4504</v>
      </c>
      <c r="J69" t="s">
        <v>2982</v>
      </c>
      <c r="K69" t="s">
        <v>4505</v>
      </c>
      <c r="L69" t="s">
        <v>4506</v>
      </c>
      <c r="M69" s="3" t="str">
        <f>HYPERLINK(склад2въезд1319[[#This Row],[RelativePath]])</f>
        <v>5 Крыльцо общага\K07156189_22_20251203T093943Z.jpg</v>
      </c>
    </row>
    <row r="70" spans="1:13" x14ac:dyDescent="0.25">
      <c r="A70" s="2" t="s">
        <v>15</v>
      </c>
      <c r="B70" s="4">
        <v>45994</v>
      </c>
      <c r="C70" s="5">
        <v>0.48115740740740742</v>
      </c>
      <c r="D70" t="s">
        <v>1094</v>
      </c>
      <c r="E70" t="s">
        <v>4247</v>
      </c>
      <c r="F70" t="s">
        <v>60</v>
      </c>
      <c r="H70" t="s">
        <v>5102</v>
      </c>
      <c r="I70" t="s">
        <v>4507</v>
      </c>
      <c r="J70" t="s">
        <v>2982</v>
      </c>
      <c r="K70" t="s">
        <v>4508</v>
      </c>
      <c r="L70" t="s">
        <v>4509</v>
      </c>
      <c r="M70" s="3" t="str">
        <f>HYPERLINK(склад2въезд1319[[#This Row],[RelativePath]])</f>
        <v>5 Крыльцо общага\K07156189_22_20251203T113252Z.jpg</v>
      </c>
    </row>
    <row r="71" spans="1:13" x14ac:dyDescent="0.25">
      <c r="A71" s="2" t="s">
        <v>15</v>
      </c>
      <c r="B71" s="4">
        <v>45994</v>
      </c>
      <c r="C71" s="5">
        <v>0.50178240740740743</v>
      </c>
      <c r="D71" t="s">
        <v>1094</v>
      </c>
      <c r="E71" t="s">
        <v>4247</v>
      </c>
      <c r="F71" t="s">
        <v>60</v>
      </c>
      <c r="H71" t="s">
        <v>2936</v>
      </c>
      <c r="I71" t="s">
        <v>4510</v>
      </c>
      <c r="J71" t="s">
        <v>2982</v>
      </c>
      <c r="K71" t="s">
        <v>4511</v>
      </c>
      <c r="L71" t="s">
        <v>4512</v>
      </c>
      <c r="M71" s="3" t="str">
        <f>HYPERLINK(склад2въезд1319[[#This Row],[RelativePath]])</f>
        <v>5 Крыльцо общага\K07156189_22_20251203T120234Z.jpg</v>
      </c>
    </row>
    <row r="72" spans="1:13" x14ac:dyDescent="0.25">
      <c r="A72" s="2" t="s">
        <v>15</v>
      </c>
      <c r="B72" s="4">
        <v>45994</v>
      </c>
      <c r="C72" s="5">
        <v>0.51067129629629626</v>
      </c>
      <c r="D72" t="s">
        <v>4</v>
      </c>
      <c r="E72" t="s">
        <v>8</v>
      </c>
      <c r="H72" t="s">
        <v>2936</v>
      </c>
      <c r="I72" t="s">
        <v>4513</v>
      </c>
      <c r="J72" t="s">
        <v>2982</v>
      </c>
      <c r="K72" t="s">
        <v>4514</v>
      </c>
      <c r="L72" t="s">
        <v>4515</v>
      </c>
      <c r="M72" s="3" t="str">
        <f>HYPERLINK(склад2въезд1319[[#This Row],[RelativePath]])</f>
        <v>5 Крыльцо общага\K07156189_22_20251203T121522Z.jpg</v>
      </c>
    </row>
    <row r="73" spans="1:13" x14ac:dyDescent="0.25">
      <c r="A73" s="2" t="s">
        <v>15</v>
      </c>
      <c r="B73" s="4">
        <v>45994</v>
      </c>
      <c r="C73" s="5">
        <v>0.53923611111111114</v>
      </c>
      <c r="D73" t="s">
        <v>4</v>
      </c>
      <c r="E73" t="s">
        <v>8</v>
      </c>
      <c r="H73" t="s">
        <v>2936</v>
      </c>
      <c r="I73" t="s">
        <v>4516</v>
      </c>
      <c r="J73" t="s">
        <v>2982</v>
      </c>
      <c r="K73" t="s">
        <v>4517</v>
      </c>
      <c r="L73" t="s">
        <v>4518</v>
      </c>
      <c r="M73" s="3" t="str">
        <f>HYPERLINK(склад2въезд1319[[#This Row],[RelativePath]])</f>
        <v>5 Крыльцо общага\K07156189_22_20251203T125630Z.jpg</v>
      </c>
    </row>
    <row r="74" spans="1:13" x14ac:dyDescent="0.25">
      <c r="A74" s="2" t="s">
        <v>15</v>
      </c>
      <c r="B74" s="4">
        <v>45994</v>
      </c>
      <c r="C74" s="5">
        <v>0.71689814814814812</v>
      </c>
      <c r="D74" t="s">
        <v>4</v>
      </c>
      <c r="E74" t="s">
        <v>8</v>
      </c>
      <c r="H74" t="s">
        <v>2936</v>
      </c>
      <c r="I74" t="s">
        <v>4519</v>
      </c>
      <c r="J74" t="s">
        <v>2982</v>
      </c>
      <c r="K74" t="s">
        <v>4520</v>
      </c>
      <c r="L74" t="s">
        <v>4521</v>
      </c>
      <c r="M74" s="3" t="str">
        <f>HYPERLINK(склад2въезд1319[[#This Row],[RelativePath]])</f>
        <v>5 Крыльцо общага\K07156189_22_20251203T171220Z.jpg</v>
      </c>
    </row>
    <row r="75" spans="1:13" x14ac:dyDescent="0.25">
      <c r="A75" s="2" t="s">
        <v>16</v>
      </c>
      <c r="B75" s="4">
        <v>45995</v>
      </c>
      <c r="C75" s="5">
        <v>0.54202546296296295</v>
      </c>
      <c r="D75" t="s">
        <v>1606</v>
      </c>
      <c r="E75" t="s">
        <v>70</v>
      </c>
      <c r="I75" t="s">
        <v>4522</v>
      </c>
      <c r="J75" t="s">
        <v>2982</v>
      </c>
      <c r="K75" t="s">
        <v>4523</v>
      </c>
      <c r="L75" t="s">
        <v>4524</v>
      </c>
      <c r="M75" s="3" t="str">
        <f>HYPERLINK(склад2въезд1319[[#This Row],[RelativePath]])</f>
        <v>5 Крыльцо общага\K07156189_22_20251204T130031Z.jpg</v>
      </c>
    </row>
    <row r="76" spans="1:13" x14ac:dyDescent="0.25">
      <c r="A76" s="2" t="s">
        <v>16</v>
      </c>
      <c r="B76" s="4">
        <v>45995</v>
      </c>
      <c r="C76" s="5">
        <v>0.54268518518518516</v>
      </c>
      <c r="D76" t="s">
        <v>290</v>
      </c>
      <c r="E76" t="s">
        <v>70</v>
      </c>
      <c r="F76" t="s">
        <v>5093</v>
      </c>
      <c r="I76" t="s">
        <v>4525</v>
      </c>
      <c r="J76" t="s">
        <v>2982</v>
      </c>
      <c r="K76" t="s">
        <v>4526</v>
      </c>
      <c r="L76" t="s">
        <v>4527</v>
      </c>
      <c r="M76" s="3" t="str">
        <f>HYPERLINK(склад2въезд1319[[#This Row],[RelativePath]])</f>
        <v>5 Крыльцо общага\K07156189_22_20251204T130128Z.jpg</v>
      </c>
    </row>
    <row r="77" spans="1:13" x14ac:dyDescent="0.25">
      <c r="A77" s="2" t="s">
        <v>16</v>
      </c>
      <c r="B77" s="4">
        <v>45995</v>
      </c>
      <c r="C77" s="5">
        <v>0.54381944444444441</v>
      </c>
      <c r="D77" t="s">
        <v>466</v>
      </c>
      <c r="E77" t="s">
        <v>86</v>
      </c>
      <c r="F77" t="s">
        <v>5093</v>
      </c>
      <c r="I77" t="s">
        <v>4528</v>
      </c>
      <c r="J77" t="s">
        <v>2982</v>
      </c>
      <c r="K77" t="s">
        <v>4529</v>
      </c>
      <c r="L77" t="s">
        <v>4530</v>
      </c>
      <c r="M77" s="3" t="str">
        <f>HYPERLINK(склад2въезд1319[[#This Row],[RelativePath]])</f>
        <v>5 Крыльцо общага\K07156189_22_20251204T130306Z.jpg</v>
      </c>
    </row>
    <row r="78" spans="1:13" x14ac:dyDescent="0.25">
      <c r="A78" s="2" t="s">
        <v>16</v>
      </c>
      <c r="B78" s="4">
        <v>45995</v>
      </c>
      <c r="C78" s="5">
        <v>0.54417824074074073</v>
      </c>
      <c r="D78" t="s">
        <v>1615</v>
      </c>
      <c r="E78" t="s">
        <v>86</v>
      </c>
      <c r="F78" t="s">
        <v>5093</v>
      </c>
      <c r="I78" t="s">
        <v>4531</v>
      </c>
      <c r="J78" t="s">
        <v>2982</v>
      </c>
      <c r="K78" t="s">
        <v>4532</v>
      </c>
      <c r="L78" t="s">
        <v>4533</v>
      </c>
      <c r="M78" s="3" t="str">
        <f>HYPERLINK(склад2въезд1319[[#This Row],[RelativePath]])</f>
        <v>5 Крыльцо общага\K07156189_22_20251204T130337Z.jpg</v>
      </c>
    </row>
    <row r="79" spans="1:13" x14ac:dyDescent="0.25">
      <c r="A79" s="2" t="s">
        <v>16</v>
      </c>
      <c r="B79" s="4">
        <v>45995</v>
      </c>
      <c r="C79" s="5">
        <v>0.55098379629629635</v>
      </c>
      <c r="D79" t="s">
        <v>466</v>
      </c>
      <c r="E79" t="s">
        <v>86</v>
      </c>
      <c r="F79" t="s">
        <v>5093</v>
      </c>
      <c r="I79" t="s">
        <v>5099</v>
      </c>
      <c r="J79" t="s">
        <v>2982</v>
      </c>
      <c r="K79" t="s">
        <v>5100</v>
      </c>
      <c r="L79" t="s">
        <v>5101</v>
      </c>
      <c r="M79" s="3" t="str">
        <f>HYPERLINK(склад2въезд1319[[#This Row],[RelativePath]])</f>
        <v>5 Крыльцо общага\K07156189_22_20251204T131325Z.jpg</v>
      </c>
    </row>
    <row r="80" spans="1:13" x14ac:dyDescent="0.25">
      <c r="A80" s="2" t="s">
        <v>16</v>
      </c>
      <c r="B80" s="4">
        <v>45995</v>
      </c>
      <c r="C80" s="5">
        <v>0.55311342592592594</v>
      </c>
      <c r="D80" t="s">
        <v>5105</v>
      </c>
      <c r="I80" t="s">
        <v>4534</v>
      </c>
      <c r="J80" t="s">
        <v>2982</v>
      </c>
      <c r="K80" t="s">
        <v>4535</v>
      </c>
      <c r="L80" t="s">
        <v>4536</v>
      </c>
      <c r="M80" s="3" t="str">
        <f>HYPERLINK(склад2въезд1319[[#This Row],[RelativePath]])</f>
        <v>5 Крыльцо общага\K07156189_22_20251204T131629Z.jpg</v>
      </c>
    </row>
    <row r="81" spans="1:13" x14ac:dyDescent="0.25">
      <c r="A81" s="2" t="s">
        <v>16</v>
      </c>
      <c r="B81" s="4">
        <v>45995</v>
      </c>
      <c r="C81" s="5">
        <v>0.55371527777777774</v>
      </c>
      <c r="D81" t="s">
        <v>1615</v>
      </c>
      <c r="E81" t="s">
        <v>86</v>
      </c>
      <c r="F81" t="s">
        <v>5093</v>
      </c>
      <c r="I81" t="s">
        <v>4537</v>
      </c>
      <c r="J81" t="s">
        <v>2982</v>
      </c>
      <c r="K81" t="s">
        <v>4538</v>
      </c>
      <c r="L81" t="s">
        <v>4539</v>
      </c>
      <c r="M81" s="3" t="str">
        <f>HYPERLINK(склад2въезд1319[[#This Row],[RelativePath]])</f>
        <v>5 Крыльцо общага\K07156189_22_20251204T131721Z.jpg</v>
      </c>
    </row>
    <row r="82" spans="1:13" x14ac:dyDescent="0.25">
      <c r="A82" s="2" t="s">
        <v>16</v>
      </c>
      <c r="B82" s="4">
        <v>45995</v>
      </c>
      <c r="C82" s="5">
        <v>0.72380787037037042</v>
      </c>
      <c r="D82" t="s">
        <v>4</v>
      </c>
      <c r="E82" t="s">
        <v>8</v>
      </c>
      <c r="I82" t="s">
        <v>4540</v>
      </c>
      <c r="J82" t="s">
        <v>2982</v>
      </c>
      <c r="K82" t="s">
        <v>4541</v>
      </c>
      <c r="L82" t="s">
        <v>4542</v>
      </c>
      <c r="M82" s="3" t="str">
        <f>HYPERLINK(склад2въезд1319[[#This Row],[RelativePath]])</f>
        <v>5 Крыльцо общага\K07156189_22_20251204T172217Z.jpg</v>
      </c>
    </row>
    <row r="83" spans="1:13" x14ac:dyDescent="0.25">
      <c r="A83" s="2" t="s">
        <v>17</v>
      </c>
      <c r="B83" s="4">
        <v>45996</v>
      </c>
      <c r="C83" s="5">
        <v>0.58357638888888885</v>
      </c>
      <c r="D83" t="s">
        <v>1606</v>
      </c>
      <c r="E83" t="s">
        <v>70</v>
      </c>
      <c r="I83" t="s">
        <v>4543</v>
      </c>
      <c r="J83" t="s">
        <v>2982</v>
      </c>
      <c r="K83" t="s">
        <v>4544</v>
      </c>
      <c r="L83" t="s">
        <v>4545</v>
      </c>
      <c r="M83" s="3" t="str">
        <f>HYPERLINK(склад2въезд1319[[#This Row],[RelativePath]])</f>
        <v>5 Крыльцо общага\K07156189_22_20251205T140021Z.jpg</v>
      </c>
    </row>
    <row r="84" spans="1:13" x14ac:dyDescent="0.25">
      <c r="A84" s="2" t="s">
        <v>17</v>
      </c>
      <c r="B84" s="4">
        <v>45996</v>
      </c>
      <c r="C84" s="5">
        <v>0.58858796296296301</v>
      </c>
      <c r="D84" t="s">
        <v>1606</v>
      </c>
      <c r="E84" t="s">
        <v>55</v>
      </c>
      <c r="I84" t="s">
        <v>4546</v>
      </c>
      <c r="J84" t="s">
        <v>2982</v>
      </c>
      <c r="K84" t="s">
        <v>4547</v>
      </c>
      <c r="L84" t="s">
        <v>4548</v>
      </c>
      <c r="M84" s="3" t="str">
        <f>HYPERLINK(склад2въезд1319[[#This Row],[RelativePath]])</f>
        <v>5 Крыльцо общага\K07156189_22_20251205T140734Z.jpg</v>
      </c>
    </row>
    <row r="85" spans="1:13" x14ac:dyDescent="0.25">
      <c r="A85" s="2" t="s">
        <v>17</v>
      </c>
      <c r="B85" s="4">
        <v>45996</v>
      </c>
      <c r="C85" s="5">
        <v>0.59570601851851857</v>
      </c>
      <c r="D85" t="s">
        <v>290</v>
      </c>
      <c r="E85" t="s">
        <v>70</v>
      </c>
      <c r="F85" t="s">
        <v>5093</v>
      </c>
      <c r="I85" t="s">
        <v>4549</v>
      </c>
      <c r="J85" t="s">
        <v>2982</v>
      </c>
      <c r="K85" t="s">
        <v>4550</v>
      </c>
      <c r="L85" t="s">
        <v>4551</v>
      </c>
      <c r="M85" s="3" t="str">
        <f>HYPERLINK(склад2въезд1319[[#This Row],[RelativePath]])</f>
        <v>5 Крыльцо общага\K07156189_22_20251205T141749Z.jpg</v>
      </c>
    </row>
    <row r="86" spans="1:13" x14ac:dyDescent="0.25">
      <c r="A86" s="2" t="s">
        <v>17</v>
      </c>
      <c r="B86" s="4">
        <v>45996</v>
      </c>
      <c r="C86" s="5">
        <v>0.67054398148148153</v>
      </c>
      <c r="D86" t="s">
        <v>4</v>
      </c>
      <c r="E86" t="s">
        <v>8</v>
      </c>
      <c r="I86" t="s">
        <v>4552</v>
      </c>
      <c r="J86" t="s">
        <v>2982</v>
      </c>
      <c r="K86" t="s">
        <v>4553</v>
      </c>
      <c r="L86" t="s">
        <v>4554</v>
      </c>
      <c r="M86" s="3" t="str">
        <f>HYPERLINK(склад2въезд1319[[#This Row],[RelativePath]])</f>
        <v>5 Крыльцо общага\K07156189_22_20251205T160535Z.jpg</v>
      </c>
    </row>
    <row r="87" spans="1:13" x14ac:dyDescent="0.25">
      <c r="A87" s="2" t="s">
        <v>18</v>
      </c>
      <c r="B87" s="4">
        <v>45997</v>
      </c>
      <c r="C87" s="5">
        <v>0.69755787037037043</v>
      </c>
      <c r="D87" t="s">
        <v>2004</v>
      </c>
      <c r="I87" t="s">
        <v>4555</v>
      </c>
      <c r="J87" t="s">
        <v>2982</v>
      </c>
      <c r="K87" t="s">
        <v>4556</v>
      </c>
      <c r="L87" t="s">
        <v>4557</v>
      </c>
      <c r="M87" s="3" t="str">
        <f>HYPERLINK(склад2въезд1319[[#This Row],[RelativePath]])</f>
        <v>5 Крыльцо общага\K07156189_22_20251206T164429Z.jpg</v>
      </c>
    </row>
    <row r="88" spans="1:13" x14ac:dyDescent="0.25">
      <c r="A88" s="2" t="s">
        <v>22</v>
      </c>
      <c r="B88" s="4">
        <v>45998</v>
      </c>
      <c r="C88" s="5">
        <v>0.61542824074074076</v>
      </c>
      <c r="D88" t="s">
        <v>1606</v>
      </c>
      <c r="E88" t="s">
        <v>5263</v>
      </c>
      <c r="F88" t="s">
        <v>4233</v>
      </c>
      <c r="I88" t="s">
        <v>5148</v>
      </c>
      <c r="J88" t="s">
        <v>2982</v>
      </c>
      <c r="K88" t="s">
        <v>5149</v>
      </c>
      <c r="L88" t="s">
        <v>5150</v>
      </c>
      <c r="M88" s="3" t="str">
        <f>HYPERLINK(склад2въезд1319[[#This Row],[RelativePath]])</f>
        <v>5 Крыльцо общага\K07156189_22_20251207T144613Z.jpg</v>
      </c>
    </row>
    <row r="89" spans="1:13" x14ac:dyDescent="0.25">
      <c r="A89" s="2" t="s">
        <v>22</v>
      </c>
      <c r="B89" s="4">
        <v>45998</v>
      </c>
      <c r="C89" s="5">
        <v>0.61756944444444439</v>
      </c>
      <c r="D89" t="s">
        <v>289</v>
      </c>
      <c r="E89" t="s">
        <v>5263</v>
      </c>
      <c r="F89" t="s">
        <v>5093</v>
      </c>
      <c r="I89" t="s">
        <v>5151</v>
      </c>
      <c r="J89" t="s">
        <v>2982</v>
      </c>
      <c r="K89" t="s">
        <v>5152</v>
      </c>
      <c r="L89" t="s">
        <v>5153</v>
      </c>
      <c r="M89" s="3" t="str">
        <f>HYPERLINK(склад2въезд1319[[#This Row],[RelativePath]])</f>
        <v>5 Крыльцо общага\K07156189_22_20251207T144918Z.jpg</v>
      </c>
    </row>
    <row r="90" spans="1:13" x14ac:dyDescent="0.25">
      <c r="A90" s="2" t="s">
        <v>22</v>
      </c>
      <c r="B90" s="4">
        <v>45998</v>
      </c>
      <c r="C90" s="5">
        <v>0.62070601851851848</v>
      </c>
      <c r="D90" t="s">
        <v>289</v>
      </c>
      <c r="E90" t="s">
        <v>5263</v>
      </c>
      <c r="F90" t="s">
        <v>5093</v>
      </c>
      <c r="H90" t="s">
        <v>2936</v>
      </c>
      <c r="I90" t="s">
        <v>5154</v>
      </c>
      <c r="J90" t="s">
        <v>2982</v>
      </c>
      <c r="K90" t="s">
        <v>5155</v>
      </c>
      <c r="L90" t="s">
        <v>5156</v>
      </c>
      <c r="M90" s="3" t="str">
        <f>HYPERLINK(склад2въезд1319[[#This Row],[RelativePath]])</f>
        <v>5 Крыльцо общага\K07156189_22_20251207T145349Z.jpg</v>
      </c>
    </row>
    <row r="91" spans="1:13" x14ac:dyDescent="0.25">
      <c r="A91" s="2" t="s">
        <v>22</v>
      </c>
      <c r="B91" s="4">
        <v>45998</v>
      </c>
      <c r="C91" s="5">
        <v>0.62306712962962962</v>
      </c>
      <c r="D91" t="s">
        <v>289</v>
      </c>
      <c r="E91" t="s">
        <v>5263</v>
      </c>
      <c r="F91" t="s">
        <v>5093</v>
      </c>
      <c r="H91" t="s">
        <v>2936</v>
      </c>
      <c r="I91" t="s">
        <v>5157</v>
      </c>
      <c r="J91" t="s">
        <v>2982</v>
      </c>
      <c r="K91" t="s">
        <v>5158</v>
      </c>
      <c r="L91" t="s">
        <v>5159</v>
      </c>
      <c r="M91" s="3" t="str">
        <f>HYPERLINK(склад2въезд1319[[#This Row],[RelativePath]])</f>
        <v>5 Крыльцо общага\K07156189_22_20251207T145713Z.jpg</v>
      </c>
    </row>
    <row r="92" spans="1:13" x14ac:dyDescent="0.25">
      <c r="A92" s="2" t="s">
        <v>22</v>
      </c>
      <c r="B92" s="4">
        <v>45998</v>
      </c>
      <c r="C92" s="5">
        <v>0.62668981481481478</v>
      </c>
      <c r="D92" t="s">
        <v>289</v>
      </c>
      <c r="E92" t="s">
        <v>5263</v>
      </c>
      <c r="F92" t="s">
        <v>5093</v>
      </c>
      <c r="H92" t="s">
        <v>2936</v>
      </c>
      <c r="I92" t="s">
        <v>5160</v>
      </c>
      <c r="J92" t="s">
        <v>2982</v>
      </c>
      <c r="K92" t="s">
        <v>5161</v>
      </c>
      <c r="L92" t="s">
        <v>5162</v>
      </c>
      <c r="M92" s="3" t="str">
        <f>HYPERLINK(склад2въезд1319[[#This Row],[RelativePath]])</f>
        <v>5 Крыльцо общага\K07156189_22_20251207T150226Z.jpg</v>
      </c>
    </row>
    <row r="93" spans="1:13" x14ac:dyDescent="0.25">
      <c r="A93" s="2" t="s">
        <v>22</v>
      </c>
      <c r="B93" s="4">
        <v>45998</v>
      </c>
      <c r="C93" s="5">
        <v>0.62921296296296292</v>
      </c>
      <c r="D93" t="s">
        <v>289</v>
      </c>
      <c r="E93" t="s">
        <v>5263</v>
      </c>
      <c r="F93" t="s">
        <v>5093</v>
      </c>
      <c r="H93" t="s">
        <v>2936</v>
      </c>
      <c r="I93" t="s">
        <v>5163</v>
      </c>
      <c r="J93" t="s">
        <v>2982</v>
      </c>
      <c r="K93" t="s">
        <v>5164</v>
      </c>
      <c r="L93" t="s">
        <v>5165</v>
      </c>
      <c r="M93" s="3" t="str">
        <f>HYPERLINK(склад2въезд1319[[#This Row],[RelativePath]])</f>
        <v>5 Крыльцо общага\K07156189_22_20251207T150604Z.jpg</v>
      </c>
    </row>
    <row r="94" spans="1:13" x14ac:dyDescent="0.25">
      <c r="A94" s="2" t="s">
        <v>22</v>
      </c>
      <c r="B94" s="4">
        <v>45998</v>
      </c>
      <c r="C94" s="5">
        <v>0.63689814814814816</v>
      </c>
      <c r="D94" t="s">
        <v>289</v>
      </c>
      <c r="E94" t="s">
        <v>5263</v>
      </c>
      <c r="F94" t="s">
        <v>5093</v>
      </c>
      <c r="H94" t="s">
        <v>2936</v>
      </c>
      <c r="I94" t="s">
        <v>5166</v>
      </c>
      <c r="J94" t="s">
        <v>2982</v>
      </c>
      <c r="K94" t="s">
        <v>5167</v>
      </c>
      <c r="L94" t="s">
        <v>5168</v>
      </c>
      <c r="M94" s="3" t="str">
        <f>HYPERLINK(склад2въезд1319[[#This Row],[RelativePath]])</f>
        <v>5 Крыльцо общага\K07156189_22_20251207T151708Z.jpg</v>
      </c>
    </row>
    <row r="95" spans="1:13" x14ac:dyDescent="0.25">
      <c r="A95" s="2" t="s">
        <v>22</v>
      </c>
      <c r="B95" s="4">
        <v>45998</v>
      </c>
      <c r="C95" s="5">
        <v>0.6521527777777778</v>
      </c>
      <c r="D95" t="s">
        <v>4232</v>
      </c>
      <c r="E95" t="s">
        <v>5263</v>
      </c>
      <c r="F95" t="s">
        <v>1609</v>
      </c>
      <c r="I95" t="s">
        <v>5169</v>
      </c>
      <c r="J95" t="s">
        <v>2982</v>
      </c>
      <c r="K95" t="s">
        <v>5170</v>
      </c>
      <c r="L95" t="s">
        <v>5171</v>
      </c>
      <c r="M95" s="3" t="str">
        <f>HYPERLINK(склад2въезд1319[[#This Row],[RelativePath]])</f>
        <v>5 Крыльцо общага\K07156189_22_20251207T153906Z.jpg</v>
      </c>
    </row>
    <row r="96" spans="1:13" x14ac:dyDescent="0.25">
      <c r="A96" s="2" t="s">
        <v>22</v>
      </c>
      <c r="B96" s="4">
        <v>45998</v>
      </c>
      <c r="C96" s="5">
        <v>0.67266203703703709</v>
      </c>
      <c r="D96" t="s">
        <v>650</v>
      </c>
      <c r="E96" t="s">
        <v>5263</v>
      </c>
      <c r="F96" t="s">
        <v>1609</v>
      </c>
      <c r="I96" t="s">
        <v>5172</v>
      </c>
      <c r="J96" t="s">
        <v>2982</v>
      </c>
      <c r="K96" t="s">
        <v>5173</v>
      </c>
      <c r="L96" t="s">
        <v>5174</v>
      </c>
      <c r="M96" s="3" t="str">
        <f>HYPERLINK(склад2въезд1319[[#This Row],[RelativePath]])</f>
        <v>5 Крыльцо общага\K07156189_22_20251207T160838Z.jpg</v>
      </c>
    </row>
    <row r="97" spans="1:13" x14ac:dyDescent="0.25">
      <c r="A97" s="2" t="s">
        <v>13</v>
      </c>
      <c r="B97" s="4">
        <v>45999</v>
      </c>
      <c r="C97" s="5">
        <v>0.55046296296296293</v>
      </c>
      <c r="D97" t="s">
        <v>4</v>
      </c>
      <c r="E97" t="s">
        <v>8</v>
      </c>
      <c r="I97" t="s">
        <v>5304</v>
      </c>
      <c r="J97" t="s">
        <v>2982</v>
      </c>
      <c r="K97" t="s">
        <v>5305</v>
      </c>
      <c r="L97" t="s">
        <v>5306</v>
      </c>
      <c r="M97" s="3" t="str">
        <f>HYPERLINK(склад2въезд1319[[#This Row],[RelativePath]])</f>
        <v>5 Крыльцо общага\K07156189_22_20251208T131240Z.jpg</v>
      </c>
    </row>
    <row r="98" spans="1:13" x14ac:dyDescent="0.25">
      <c r="A98" s="2" t="s">
        <v>13</v>
      </c>
      <c r="B98" s="4">
        <v>45999</v>
      </c>
      <c r="C98" s="5">
        <v>0.73291666666666666</v>
      </c>
      <c r="D98" t="s">
        <v>2004</v>
      </c>
      <c r="E98" t="s">
        <v>8</v>
      </c>
      <c r="I98" t="s">
        <v>5307</v>
      </c>
      <c r="J98" t="s">
        <v>2982</v>
      </c>
      <c r="K98" t="s">
        <v>5308</v>
      </c>
      <c r="L98" t="s">
        <v>5309</v>
      </c>
      <c r="M98" s="3" t="str">
        <f>HYPERLINK(склад2въезд1319[[#This Row],[RelativePath]])</f>
        <v>5 Крыльцо общага\K07156189_22_20251208T173524Z.jpg</v>
      </c>
    </row>
    <row r="99" spans="1:13" x14ac:dyDescent="0.25">
      <c r="A99" s="2" t="s">
        <v>14</v>
      </c>
      <c r="B99" s="4">
        <v>46000</v>
      </c>
      <c r="C99" s="5">
        <v>0.67679398148148151</v>
      </c>
      <c r="D99" t="s">
        <v>2004</v>
      </c>
      <c r="E99" t="s">
        <v>8</v>
      </c>
      <c r="I99" t="s">
        <v>5710</v>
      </c>
      <c r="J99" t="s">
        <v>2982</v>
      </c>
      <c r="K99" t="s">
        <v>5711</v>
      </c>
      <c r="L99" t="s">
        <v>5712</v>
      </c>
      <c r="M99" s="3" t="str">
        <f>HYPERLINK(склад2въезд1319[[#This Row],[RelativePath]])</f>
        <v>5 Крыльцо общага\K07156189_22_20251209T161435Z.jpg</v>
      </c>
    </row>
    <row r="100" spans="1:13" x14ac:dyDescent="0.25">
      <c r="A100" s="2" t="s">
        <v>15</v>
      </c>
      <c r="B100" s="4">
        <v>46001</v>
      </c>
      <c r="C100" s="5">
        <v>0.46962962962962962</v>
      </c>
      <c r="D100" t="s">
        <v>4</v>
      </c>
      <c r="E100" t="s">
        <v>1607</v>
      </c>
      <c r="F100" t="s">
        <v>6177</v>
      </c>
      <c r="I100" t="s">
        <v>5713</v>
      </c>
      <c r="J100" t="s">
        <v>2982</v>
      </c>
      <c r="K100" t="s">
        <v>5714</v>
      </c>
      <c r="L100" t="s">
        <v>5715</v>
      </c>
      <c r="M100" s="3" t="str">
        <f>HYPERLINK(склад2въезд1319[[#This Row],[RelativePath]])</f>
        <v>5 Крыльцо общага\K07156189_22_20251210T111616Z.jpg</v>
      </c>
    </row>
    <row r="101" spans="1:13" x14ac:dyDescent="0.25">
      <c r="A101" s="2" t="s">
        <v>15</v>
      </c>
      <c r="B101" s="4">
        <v>46001</v>
      </c>
      <c r="C101" s="5">
        <v>0.67755787037037041</v>
      </c>
      <c r="D101" t="s">
        <v>2004</v>
      </c>
      <c r="E101" t="s">
        <v>8</v>
      </c>
      <c r="I101" t="s">
        <v>5716</v>
      </c>
      <c r="J101" t="s">
        <v>2982</v>
      </c>
      <c r="K101" t="s">
        <v>5717</v>
      </c>
      <c r="L101" t="s">
        <v>5718</v>
      </c>
      <c r="M101" s="3" t="str">
        <f>HYPERLINK(склад2въезд1319[[#This Row],[RelativePath]])</f>
        <v>5 Крыльцо общага\K07156189_22_20251210T161541Z.jpg</v>
      </c>
    </row>
    <row r="102" spans="1:13" x14ac:dyDescent="0.25">
      <c r="A102" s="2" t="s">
        <v>16</v>
      </c>
      <c r="B102" s="4">
        <v>46002</v>
      </c>
      <c r="C102" s="5">
        <v>0.71579861111111109</v>
      </c>
      <c r="D102" t="s">
        <v>2004</v>
      </c>
      <c r="E102" t="s">
        <v>8</v>
      </c>
      <c r="I102" t="s">
        <v>5857</v>
      </c>
      <c r="J102" t="s">
        <v>2982</v>
      </c>
      <c r="K102" t="s">
        <v>5858</v>
      </c>
      <c r="L102" t="s">
        <v>5859</v>
      </c>
      <c r="M102" s="3" t="str">
        <f>HYPERLINK(склад2въезд1319[[#This Row],[RelativePath]])</f>
        <v>5 Крыльцо общага\K07156189_22_20251211T171045Z.jpg</v>
      </c>
    </row>
    <row r="103" spans="1:13" x14ac:dyDescent="0.25">
      <c r="A103" s="2" t="s">
        <v>17</v>
      </c>
      <c r="B103" s="4">
        <v>46003</v>
      </c>
      <c r="C103" s="5">
        <v>0.42681712962962964</v>
      </c>
      <c r="D103" t="s">
        <v>4</v>
      </c>
      <c r="E103" t="s">
        <v>55</v>
      </c>
      <c r="F103" t="s">
        <v>51</v>
      </c>
      <c r="I103" t="s">
        <v>5860</v>
      </c>
      <c r="J103" t="s">
        <v>2982</v>
      </c>
      <c r="K103" t="s">
        <v>5861</v>
      </c>
      <c r="L103" t="s">
        <v>5862</v>
      </c>
      <c r="M103" s="3" t="str">
        <f>HYPERLINK(склад2въезд1319[[#This Row],[RelativePath]])</f>
        <v>5 Крыльцо общага\K07156189_22_20251212T101437Z.jpg</v>
      </c>
    </row>
    <row r="104" spans="1:13" x14ac:dyDescent="0.25">
      <c r="A104" s="2" t="s">
        <v>17</v>
      </c>
      <c r="B104" s="4">
        <v>46003</v>
      </c>
      <c r="C104" s="5">
        <v>0.44232638888888887</v>
      </c>
      <c r="D104" t="s">
        <v>650</v>
      </c>
      <c r="E104" t="s">
        <v>55</v>
      </c>
      <c r="F104" t="s">
        <v>51</v>
      </c>
      <c r="H104" t="s">
        <v>6178</v>
      </c>
      <c r="I104" t="s">
        <v>5863</v>
      </c>
      <c r="J104" t="s">
        <v>2982</v>
      </c>
      <c r="K104" t="s">
        <v>5864</v>
      </c>
      <c r="L104" t="s">
        <v>5865</v>
      </c>
      <c r="M104" s="3" t="str">
        <f>HYPERLINK(склад2въезд1319[[#This Row],[RelativePath]])</f>
        <v>5 Крыльцо общага\K07156189_22_20251212T103657Z.jpg</v>
      </c>
    </row>
    <row r="105" spans="1:13" x14ac:dyDescent="0.25">
      <c r="A105" s="2" t="s">
        <v>17</v>
      </c>
      <c r="B105" s="4">
        <v>46003</v>
      </c>
      <c r="C105" s="5">
        <v>0.70789351851851856</v>
      </c>
      <c r="D105" t="s">
        <v>4</v>
      </c>
      <c r="E105" t="s">
        <v>8</v>
      </c>
      <c r="I105" t="s">
        <v>5866</v>
      </c>
      <c r="J105" t="s">
        <v>2982</v>
      </c>
      <c r="K105" t="s">
        <v>5867</v>
      </c>
      <c r="L105" t="s">
        <v>5868</v>
      </c>
      <c r="M105" s="3" t="str">
        <f>HYPERLINK(склад2въезд1319[[#This Row],[RelativePath]])</f>
        <v>5 Крыльцо общага\K07156189_22_20251212T165922Z.jpg</v>
      </c>
    </row>
    <row r="106" spans="1:13" x14ac:dyDescent="0.25">
      <c r="A106" s="2" t="s">
        <v>18</v>
      </c>
      <c r="B106" s="4">
        <v>46004</v>
      </c>
      <c r="C106" s="5">
        <v>0.72607638888888892</v>
      </c>
      <c r="D106" t="s">
        <v>2004</v>
      </c>
      <c r="E106" t="s">
        <v>8</v>
      </c>
      <c r="I106" t="s">
        <v>6076</v>
      </c>
      <c r="J106" t="s">
        <v>2982</v>
      </c>
      <c r="K106" t="s">
        <v>6077</v>
      </c>
      <c r="L106" t="s">
        <v>6078</v>
      </c>
      <c r="M106" s="3" t="str">
        <f>HYPERLINK(склад2въезд1319[[#This Row],[RelativePath]])</f>
        <v>5 Крыльцо общага\K07156189_22_20251213T172533Z.jpg</v>
      </c>
    </row>
  </sheetData>
  <conditionalFormatting sqref="E107:E120 D107:D117 G2:H106 D2:E106">
    <cfRule type="containsText" dxfId="490" priority="17" operator="containsText" text="Выезд с территории">
      <formula>NOT(ISERROR(SEARCH("Выезд с территории",D2)))</formula>
    </cfRule>
  </conditionalFormatting>
  <conditionalFormatting sqref="F2:F106">
    <cfRule type="notContainsText" dxfId="489" priority="16" operator="notContains" text="порожний">
      <formula>ISERROR(SEARCH("порожний",F2))</formula>
    </cfRule>
  </conditionalFormatting>
  <conditionalFormatting sqref="E2:E120">
    <cfRule type="containsText" dxfId="488" priority="14" operator="containsText" text="Газель базы">
      <formula>NOT(ISERROR(SEARCH("Газель базы",E2)))</formula>
    </cfRule>
    <cfRule type="containsText" dxfId="487" priority="15" operator="containsText" text="Погрузчик базы">
      <formula>NOT(ISERROR(SEARCH("Погрузчик базы",E2)))</formula>
    </cfRule>
  </conditionalFormatting>
  <conditionalFormatting sqref="E2:E120">
    <cfRule type="containsText" dxfId="486" priority="13" operator="containsText" text="Трактор базы">
      <formula>NOT(ISERROR(SEARCH("Трактор базы",E2)))</formula>
    </cfRule>
  </conditionalFormatting>
  <conditionalFormatting sqref="A2:C106">
    <cfRule type="expression" dxfId="485" priority="12">
      <formula>$A2="пн"</formula>
    </cfRule>
  </conditionalFormatting>
  <conditionalFormatting sqref="A2:C108">
    <cfRule type="expression" dxfId="484" priority="6">
      <formula>$A2="вс"</formula>
    </cfRule>
    <cfRule type="expression" dxfId="483" priority="7">
      <formula>$A2="сб"</formula>
    </cfRule>
    <cfRule type="expression" dxfId="482" priority="8">
      <formula>$A2="пт"</formula>
    </cfRule>
    <cfRule type="expression" dxfId="481" priority="9">
      <formula>$A2="чт"</formula>
    </cfRule>
    <cfRule type="expression" dxfId="480" priority="10">
      <formula>$A2="ср"</formula>
    </cfRule>
    <cfRule type="expression" dxfId="479" priority="11">
      <formula>$A2="вт"</formula>
    </cfRule>
  </conditionalFormatting>
  <conditionalFormatting sqref="D2:D117">
    <cfRule type="containsText" dxfId="478" priority="5" operator="containsText" text="Въезд на второстепенную дорогу">
      <formula>NOT(ISERROR(SEARCH("Въезд на второстепенную дорогу",D2)))</formula>
    </cfRule>
  </conditionalFormatting>
  <conditionalFormatting sqref="D2:D117">
    <cfRule type="containsText" dxfId="477" priority="4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168F-538D-47A4-8270-4B86EC9AAAF0}">
  <sheetPr>
    <tabColor theme="3" tint="0.39997558519241921"/>
  </sheetPr>
  <dimension ref="A1:M71"/>
  <sheetViews>
    <sheetView zoomScale="90" zoomScaleNormal="90" workbookViewId="0">
      <pane ySplit="1" topLeftCell="A55" activePane="bottomLeft" state="frozen"/>
      <selection pane="bottomLeft" activeCell="I1" sqref="I1:I1048576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18.28515625" bestFit="1" customWidth="1"/>
    <col min="5" max="5" width="33.85546875" bestFit="1" customWidth="1"/>
    <col min="6" max="6" width="15.5703125" bestFit="1" customWidth="1"/>
    <col min="7" max="7" width="7.28515625" bestFit="1" customWidth="1"/>
    <col min="8" max="8" width="13.28515625" bestFit="1" customWidth="1"/>
    <col min="9" max="9" width="35.5703125" hidden="1" customWidth="1"/>
    <col min="10" max="10" width="52.85546875" hidden="1" customWidth="1"/>
    <col min="11" max="11" width="57" hidden="1" customWidth="1"/>
    <col min="12" max="12" width="24.5703125" hidden="1" customWidth="1"/>
    <col min="13" max="13" width="57" bestFit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0.37896990740740738</v>
      </c>
      <c r="D2" t="s">
        <v>4</v>
      </c>
      <c r="E2" t="s">
        <v>8</v>
      </c>
      <c r="H2" t="s">
        <v>5</v>
      </c>
      <c r="I2" t="s">
        <v>480</v>
      </c>
      <c r="J2" t="s">
        <v>2983</v>
      </c>
      <c r="K2" t="s">
        <v>481</v>
      </c>
      <c r="L2" t="s">
        <v>482</v>
      </c>
      <c r="M2" s="3" t="str">
        <f>HYPERLINK(склад2въезд131920[[#This Row],[RelativePath]])</f>
        <v>6 Площадка 1 общага\826398429_1_20251110T090543Z.jpg</v>
      </c>
    </row>
    <row r="3" spans="1:13" x14ac:dyDescent="0.25">
      <c r="A3" s="2" t="s">
        <v>13</v>
      </c>
      <c r="B3" s="4">
        <v>45971</v>
      </c>
      <c r="C3" s="5">
        <v>0.7253356481481481</v>
      </c>
      <c r="D3" t="s">
        <v>4</v>
      </c>
      <c r="E3" t="s">
        <v>8</v>
      </c>
      <c r="H3" t="s">
        <v>6</v>
      </c>
      <c r="I3" t="s">
        <v>483</v>
      </c>
      <c r="J3" t="s">
        <v>2983</v>
      </c>
      <c r="K3" t="s">
        <v>484</v>
      </c>
      <c r="L3" t="s">
        <v>485</v>
      </c>
      <c r="M3" s="3" t="str">
        <f>HYPERLINK(склад2въезд131920[[#This Row],[RelativePath]])</f>
        <v>6 Площадка 1 общага\826398429_1_20251110T172429Z.jpg</v>
      </c>
    </row>
    <row r="4" spans="1:13" x14ac:dyDescent="0.25">
      <c r="A4" s="2" t="s">
        <v>14</v>
      </c>
      <c r="B4" s="4">
        <v>45972</v>
      </c>
      <c r="C4" s="5">
        <v>0.37238425925925928</v>
      </c>
      <c r="D4" t="s">
        <v>4</v>
      </c>
      <c r="E4" t="s">
        <v>8</v>
      </c>
      <c r="H4" t="s">
        <v>5</v>
      </c>
      <c r="I4" t="s">
        <v>486</v>
      </c>
      <c r="J4" t="s">
        <v>2983</v>
      </c>
      <c r="K4" t="s">
        <v>487</v>
      </c>
      <c r="L4" t="s">
        <v>488</v>
      </c>
      <c r="M4" s="3" t="str">
        <f>HYPERLINK(склад2въезд131920[[#This Row],[RelativePath]])</f>
        <v>6 Площадка 1 общага\826398429_1_20251111T085614Z.jpg</v>
      </c>
    </row>
    <row r="5" spans="1:13" x14ac:dyDescent="0.25">
      <c r="A5" s="2" t="s">
        <v>14</v>
      </c>
      <c r="B5" s="4">
        <v>45972</v>
      </c>
      <c r="C5" s="5">
        <v>0.51187499999999997</v>
      </c>
      <c r="D5" t="s">
        <v>289</v>
      </c>
      <c r="E5" t="s">
        <v>86</v>
      </c>
      <c r="F5" t="s">
        <v>528</v>
      </c>
      <c r="I5" t="s">
        <v>489</v>
      </c>
      <c r="J5" t="s">
        <v>2983</v>
      </c>
      <c r="K5" t="s">
        <v>490</v>
      </c>
      <c r="L5" t="s">
        <v>491</v>
      </c>
      <c r="M5" s="3" t="str">
        <f>HYPERLINK(склад2въезд131920[[#This Row],[RelativePath]])</f>
        <v>6 Площадка 1 общага\826398429_1_20251111T121706Z.jpg</v>
      </c>
    </row>
    <row r="6" spans="1:13" x14ac:dyDescent="0.25">
      <c r="A6" s="2" t="s">
        <v>14</v>
      </c>
      <c r="B6" s="4">
        <v>45972</v>
      </c>
      <c r="C6" s="5">
        <v>0.51245370370370369</v>
      </c>
      <c r="D6" t="s">
        <v>159</v>
      </c>
      <c r="E6" t="s">
        <v>86</v>
      </c>
      <c r="F6" t="s">
        <v>528</v>
      </c>
      <c r="I6" t="s">
        <v>492</v>
      </c>
      <c r="J6" t="s">
        <v>2983</v>
      </c>
      <c r="K6" t="s">
        <v>493</v>
      </c>
      <c r="L6" t="s">
        <v>494</v>
      </c>
      <c r="M6" s="3" t="str">
        <f>HYPERLINK(склад2въезд131920[[#This Row],[RelativePath]])</f>
        <v>6 Площадка 1 общага\826398429_1_20251111T121756Z.jpg</v>
      </c>
    </row>
    <row r="7" spans="1:13" x14ac:dyDescent="0.25">
      <c r="A7" s="2" t="s">
        <v>14</v>
      </c>
      <c r="B7" s="4">
        <v>45972</v>
      </c>
      <c r="C7" s="5">
        <v>0.64435185185185184</v>
      </c>
      <c r="D7" t="s">
        <v>4</v>
      </c>
      <c r="E7" t="s">
        <v>8</v>
      </c>
      <c r="I7" t="s">
        <v>495</v>
      </c>
      <c r="J7" t="s">
        <v>2983</v>
      </c>
      <c r="K7" t="s">
        <v>496</v>
      </c>
      <c r="L7" t="s">
        <v>497</v>
      </c>
      <c r="M7" s="3" t="str">
        <f>HYPERLINK(склад2въезд131920[[#This Row],[RelativePath]])</f>
        <v>6 Площадка 1 общага\826398429_1_20251111T152752Z.jpg</v>
      </c>
    </row>
    <row r="8" spans="1:13" x14ac:dyDescent="0.25">
      <c r="A8" s="2" t="s">
        <v>15</v>
      </c>
      <c r="B8" s="4">
        <v>45973</v>
      </c>
      <c r="C8" s="5">
        <v>0.4762615740740741</v>
      </c>
      <c r="D8" t="s">
        <v>4</v>
      </c>
      <c r="E8" t="s">
        <v>8</v>
      </c>
      <c r="I8" t="s">
        <v>498</v>
      </c>
      <c r="J8" t="s">
        <v>2983</v>
      </c>
      <c r="K8" t="s">
        <v>499</v>
      </c>
      <c r="L8" t="s">
        <v>500</v>
      </c>
      <c r="M8" s="3" t="str">
        <f>HYPERLINK(склад2въезд131920[[#This Row],[RelativePath]])</f>
        <v>6 Площадка 1 общага\826398429_1_20251112T112549Z.jpg</v>
      </c>
    </row>
    <row r="9" spans="1:13" x14ac:dyDescent="0.25">
      <c r="A9" s="2" t="s">
        <v>16</v>
      </c>
      <c r="B9" s="4">
        <v>45974</v>
      </c>
      <c r="C9" s="5">
        <v>0.38993055555555556</v>
      </c>
      <c r="D9" t="s">
        <v>4</v>
      </c>
      <c r="E9" t="s">
        <v>529</v>
      </c>
      <c r="I9" t="s">
        <v>501</v>
      </c>
      <c r="J9" t="s">
        <v>2983</v>
      </c>
      <c r="K9" t="s">
        <v>502</v>
      </c>
      <c r="L9" t="s">
        <v>503</v>
      </c>
      <c r="M9" s="3" t="str">
        <f>HYPERLINK(склад2въезд131920[[#This Row],[RelativePath]])</f>
        <v>6 Площадка 1 общага\826398429_1_20251113T092130Z.jpg</v>
      </c>
    </row>
    <row r="10" spans="1:13" x14ac:dyDescent="0.25">
      <c r="A10" s="2" t="s">
        <v>16</v>
      </c>
      <c r="B10" s="4">
        <v>45974</v>
      </c>
      <c r="C10" s="5">
        <v>0.71082175925925928</v>
      </c>
      <c r="D10" t="s">
        <v>4</v>
      </c>
      <c r="E10" t="s">
        <v>8</v>
      </c>
      <c r="H10" t="s">
        <v>6</v>
      </c>
      <c r="I10" t="s">
        <v>504</v>
      </c>
      <c r="J10" t="s">
        <v>2983</v>
      </c>
      <c r="K10" t="s">
        <v>505</v>
      </c>
      <c r="L10" t="s">
        <v>506</v>
      </c>
      <c r="M10" s="3" t="str">
        <f>HYPERLINK(склад2въезд131920[[#This Row],[RelativePath]])</f>
        <v>6 Площадка 1 общага\826398429_1_20251113T170335Z.jpg</v>
      </c>
    </row>
    <row r="11" spans="1:13" x14ac:dyDescent="0.25">
      <c r="A11" s="2" t="s">
        <v>17</v>
      </c>
      <c r="B11" s="4">
        <v>45975</v>
      </c>
      <c r="C11" s="5">
        <v>0.39951388888888889</v>
      </c>
      <c r="D11" t="s">
        <v>4</v>
      </c>
      <c r="E11" t="s">
        <v>8</v>
      </c>
      <c r="H11" t="s">
        <v>5</v>
      </c>
      <c r="I11" t="s">
        <v>507</v>
      </c>
      <c r="J11" t="s">
        <v>2983</v>
      </c>
      <c r="K11" t="s">
        <v>508</v>
      </c>
      <c r="L11" t="s">
        <v>509</v>
      </c>
      <c r="M11" s="3" t="str">
        <f>HYPERLINK(склад2въезд131920[[#This Row],[RelativePath]])</f>
        <v>6 Площадка 1 общага\826398429_1_20251114T093518Z.jpg</v>
      </c>
    </row>
    <row r="12" spans="1:13" x14ac:dyDescent="0.25">
      <c r="A12" s="2" t="s">
        <v>17</v>
      </c>
      <c r="B12" s="4">
        <v>45975</v>
      </c>
      <c r="C12" s="5">
        <v>0.43881944444444443</v>
      </c>
      <c r="D12" t="s">
        <v>289</v>
      </c>
      <c r="E12" t="s">
        <v>86</v>
      </c>
      <c r="F12" t="s">
        <v>530</v>
      </c>
      <c r="I12" t="s">
        <v>510</v>
      </c>
      <c r="J12" t="s">
        <v>2983</v>
      </c>
      <c r="K12" t="s">
        <v>511</v>
      </c>
      <c r="L12" t="s">
        <v>512</v>
      </c>
      <c r="M12" s="3" t="str">
        <f>HYPERLINK(склад2въезд131920[[#This Row],[RelativePath]])</f>
        <v>6 Площадка 1 общага\826398429_1_20251114T103154Z.jpg</v>
      </c>
    </row>
    <row r="13" spans="1:13" x14ac:dyDescent="0.25">
      <c r="A13" s="2" t="s">
        <v>17</v>
      </c>
      <c r="B13" s="4">
        <v>45975</v>
      </c>
      <c r="C13" s="5">
        <v>0.44184027777777779</v>
      </c>
      <c r="D13" t="s">
        <v>289</v>
      </c>
      <c r="E13" t="s">
        <v>86</v>
      </c>
      <c r="F13" t="s">
        <v>530</v>
      </c>
      <c r="I13" t="s">
        <v>513</v>
      </c>
      <c r="J13" t="s">
        <v>2983</v>
      </c>
      <c r="K13" t="s">
        <v>514</v>
      </c>
      <c r="L13" t="s">
        <v>515</v>
      </c>
      <c r="M13" s="3" t="str">
        <f>HYPERLINK(склад2въезд131920[[#This Row],[RelativePath]])</f>
        <v>6 Площадка 1 общага\826398429_1_20251114T103615Z.jpg</v>
      </c>
    </row>
    <row r="14" spans="1:13" x14ac:dyDescent="0.25">
      <c r="A14" s="2" t="s">
        <v>17</v>
      </c>
      <c r="B14" s="4">
        <v>45975</v>
      </c>
      <c r="C14" s="5">
        <v>0.50559027777777776</v>
      </c>
      <c r="D14" t="s">
        <v>533</v>
      </c>
      <c r="E14" t="s">
        <v>531</v>
      </c>
      <c r="F14" t="s">
        <v>534</v>
      </c>
      <c r="I14" t="s">
        <v>516</v>
      </c>
      <c r="J14" t="s">
        <v>2983</v>
      </c>
      <c r="K14" t="s">
        <v>517</v>
      </c>
      <c r="L14" t="s">
        <v>518</v>
      </c>
      <c r="M14" s="3" t="str">
        <f>HYPERLINK(склад2въезд131920[[#This Row],[RelativePath]])</f>
        <v>6 Площадка 1 общага\826398429_1_20251114T120803Z.jpg</v>
      </c>
    </row>
    <row r="15" spans="1:13" x14ac:dyDescent="0.25">
      <c r="A15" s="2" t="s">
        <v>17</v>
      </c>
      <c r="B15" s="4">
        <v>45975</v>
      </c>
      <c r="C15" s="5">
        <v>0.51019675925925922</v>
      </c>
      <c r="D15" t="s">
        <v>289</v>
      </c>
      <c r="E15" t="s">
        <v>86</v>
      </c>
      <c r="F15" t="s">
        <v>532</v>
      </c>
      <c r="I15" t="s">
        <v>519</v>
      </c>
      <c r="J15" t="s">
        <v>2983</v>
      </c>
      <c r="K15" t="s">
        <v>520</v>
      </c>
      <c r="L15" t="s">
        <v>521</v>
      </c>
      <c r="M15" s="3" t="str">
        <f>HYPERLINK(склад2въезд131920[[#This Row],[RelativePath]])</f>
        <v>6 Площадка 1 общага\826398429_1_20251114T121441Z.jpg</v>
      </c>
    </row>
    <row r="16" spans="1:13" x14ac:dyDescent="0.25">
      <c r="A16" s="2" t="s">
        <v>17</v>
      </c>
      <c r="B16" s="4">
        <v>45975</v>
      </c>
      <c r="C16" s="5">
        <v>0.51116898148148149</v>
      </c>
      <c r="D16" t="s">
        <v>289</v>
      </c>
      <c r="E16" t="s">
        <v>86</v>
      </c>
      <c r="F16" t="s">
        <v>532</v>
      </c>
      <c r="I16" t="s">
        <v>522</v>
      </c>
      <c r="J16" t="s">
        <v>2983</v>
      </c>
      <c r="K16" t="s">
        <v>523</v>
      </c>
      <c r="L16" t="s">
        <v>524</v>
      </c>
      <c r="M16" s="3" t="str">
        <f>HYPERLINK(склад2въезд131920[[#This Row],[RelativePath]])</f>
        <v>6 Площадка 1 общага\826398429_1_20251114T121605Z.jpg</v>
      </c>
    </row>
    <row r="17" spans="1:13" x14ac:dyDescent="0.25">
      <c r="A17" s="2" t="s">
        <v>17</v>
      </c>
      <c r="B17" s="4">
        <v>45975</v>
      </c>
      <c r="C17" s="5">
        <v>0.68347222222222226</v>
      </c>
      <c r="D17" t="s">
        <v>4</v>
      </c>
      <c r="E17" t="s">
        <v>8</v>
      </c>
      <c r="H17" t="s">
        <v>6</v>
      </c>
      <c r="I17" t="s">
        <v>525</v>
      </c>
      <c r="J17" t="s">
        <v>2983</v>
      </c>
      <c r="K17" t="s">
        <v>526</v>
      </c>
      <c r="L17" t="s">
        <v>527</v>
      </c>
      <c r="M17" s="3" t="str">
        <f>HYPERLINK(склад2въезд131920[[#This Row],[RelativePath]])</f>
        <v>6 Площадка 1 общага\826398429_1_20251114T162412Z.jpg</v>
      </c>
    </row>
    <row r="18" spans="1:13" x14ac:dyDescent="0.25">
      <c r="A18" s="2" t="s">
        <v>18</v>
      </c>
      <c r="B18" s="4">
        <v>45976</v>
      </c>
      <c r="C18" s="5">
        <v>0.37466435185185187</v>
      </c>
      <c r="D18" t="s">
        <v>4</v>
      </c>
      <c r="E18" t="s">
        <v>8</v>
      </c>
      <c r="H18" t="s">
        <v>2009</v>
      </c>
      <c r="I18" t="s">
        <v>2015</v>
      </c>
      <c r="J18" t="s">
        <v>2983</v>
      </c>
      <c r="K18" t="s">
        <v>2016</v>
      </c>
      <c r="L18" t="s">
        <v>2017</v>
      </c>
      <c r="M18" s="3" t="str">
        <f>HYPERLINK(склад2въезд131920[[#This Row],[RelativePath]])</f>
        <v>6 Площадка 1 общага\826398429_1_20251115T085931Z.jpg</v>
      </c>
    </row>
    <row r="19" spans="1:13" x14ac:dyDescent="0.25">
      <c r="A19" s="2" t="s">
        <v>18</v>
      </c>
      <c r="B19" s="4">
        <v>45976</v>
      </c>
      <c r="C19" s="5">
        <v>0.72260416666666671</v>
      </c>
      <c r="D19" t="s">
        <v>4</v>
      </c>
      <c r="E19" t="s">
        <v>8</v>
      </c>
      <c r="H19" t="s">
        <v>2004</v>
      </c>
      <c r="I19" t="s">
        <v>2018</v>
      </c>
      <c r="J19" t="s">
        <v>2983</v>
      </c>
      <c r="K19" t="s">
        <v>2019</v>
      </c>
      <c r="L19" t="s">
        <v>2020</v>
      </c>
      <c r="M19" s="3" t="str">
        <f>HYPERLINK(склад2въезд131920[[#This Row],[RelativePath]])</f>
        <v>6 Площадка 1 общага\826398429_1_20251115T172033Z.jpg</v>
      </c>
    </row>
    <row r="20" spans="1:13" x14ac:dyDescent="0.25">
      <c r="A20" s="2" t="s">
        <v>22</v>
      </c>
      <c r="B20" s="4">
        <v>45977</v>
      </c>
      <c r="C20" s="5">
        <v>0.7107175925925926</v>
      </c>
      <c r="D20" t="s">
        <v>4</v>
      </c>
      <c r="E20" t="s">
        <v>8</v>
      </c>
      <c r="H20" t="s">
        <v>2004</v>
      </c>
      <c r="I20" t="s">
        <v>2021</v>
      </c>
      <c r="J20" t="s">
        <v>2983</v>
      </c>
      <c r="K20" t="s">
        <v>2022</v>
      </c>
      <c r="L20" t="s">
        <v>2023</v>
      </c>
      <c r="M20" s="3" t="str">
        <f>HYPERLINK(склад2въезд131920[[#This Row],[RelativePath]])</f>
        <v>6 Площадка 1 общага\826398429_1_20251116T170326Z.jpg</v>
      </c>
    </row>
    <row r="21" spans="1:13" x14ac:dyDescent="0.25">
      <c r="A21" s="2" t="s">
        <v>13</v>
      </c>
      <c r="B21" s="4">
        <v>45978</v>
      </c>
      <c r="C21" s="5">
        <v>0.70681712962962961</v>
      </c>
      <c r="D21" t="s">
        <v>2004</v>
      </c>
      <c r="I21" t="s">
        <v>2115</v>
      </c>
      <c r="J21" t="s">
        <v>2983</v>
      </c>
      <c r="K21" t="s">
        <v>2116</v>
      </c>
      <c r="L21" t="s">
        <v>2117</v>
      </c>
      <c r="M21" s="3" t="str">
        <f>HYPERLINK(склад2въезд131920[[#This Row],[RelativePath]])</f>
        <v>6 Площадка 1 общага\826398429_1_20251117T165749Z.jpg</v>
      </c>
    </row>
    <row r="22" spans="1:13" x14ac:dyDescent="0.25">
      <c r="A22" s="2" t="s">
        <v>14</v>
      </c>
      <c r="B22" s="4">
        <v>45979</v>
      </c>
      <c r="C22" s="5">
        <v>0.50178240740740743</v>
      </c>
      <c r="D22" t="s">
        <v>4</v>
      </c>
      <c r="E22" t="s">
        <v>8</v>
      </c>
      <c r="H22" t="s">
        <v>2932</v>
      </c>
      <c r="I22" t="s">
        <v>2934</v>
      </c>
      <c r="J22" t="s">
        <v>2983</v>
      </c>
      <c r="K22" t="s">
        <v>2935</v>
      </c>
      <c r="L22" t="s">
        <v>2933</v>
      </c>
      <c r="M22" s="3" t="str">
        <f>HYPERLINK(склад2въезд131920[[#This Row],[RelativePath]])</f>
        <v>6 Площадка 1 общага\826398429_1_20251118T120234Z.jpg</v>
      </c>
    </row>
    <row r="23" spans="1:13" x14ac:dyDescent="0.25">
      <c r="A23" s="2" t="s">
        <v>15</v>
      </c>
      <c r="B23" s="4">
        <v>45980</v>
      </c>
      <c r="C23" s="5">
        <v>0.71128472222222228</v>
      </c>
      <c r="D23" t="s">
        <v>2004</v>
      </c>
      <c r="I23" t="s">
        <v>2118</v>
      </c>
      <c r="J23" t="s">
        <v>2983</v>
      </c>
      <c r="K23" t="s">
        <v>2119</v>
      </c>
      <c r="L23" t="s">
        <v>2120</v>
      </c>
      <c r="M23" s="3" t="str">
        <f>HYPERLINK(склад2въезд131920[[#This Row],[RelativePath]])</f>
        <v>6 Площадка 1 общага\826398429_1_20251119T170415Z.jpg</v>
      </c>
    </row>
    <row r="24" spans="1:13" x14ac:dyDescent="0.25">
      <c r="A24" s="2" t="s">
        <v>16</v>
      </c>
      <c r="B24" s="4">
        <v>45981</v>
      </c>
      <c r="C24" s="5">
        <v>0.7257986111111111</v>
      </c>
      <c r="D24" t="s">
        <v>2004</v>
      </c>
      <c r="I24" t="s">
        <v>2121</v>
      </c>
      <c r="J24" t="s">
        <v>2983</v>
      </c>
      <c r="K24" t="s">
        <v>2122</v>
      </c>
      <c r="L24" t="s">
        <v>2123</v>
      </c>
      <c r="M24" s="3" t="str">
        <f>HYPERLINK(склад2въезд131920[[#This Row],[RelativePath]])</f>
        <v>6 Площадка 1 общага\826398429_1_20251120T172509Z.jpg</v>
      </c>
    </row>
    <row r="25" spans="1:13" x14ac:dyDescent="0.25">
      <c r="A25" s="2" t="s">
        <v>17</v>
      </c>
      <c r="B25" s="4">
        <v>45982</v>
      </c>
      <c r="C25" s="5">
        <v>0.59475694444444449</v>
      </c>
      <c r="D25" t="s">
        <v>2004</v>
      </c>
      <c r="I25" t="s">
        <v>2124</v>
      </c>
      <c r="J25" t="s">
        <v>2983</v>
      </c>
      <c r="K25" t="s">
        <v>2125</v>
      </c>
      <c r="L25" t="s">
        <v>2126</v>
      </c>
      <c r="M25" s="3" t="str">
        <f>HYPERLINK(склад2въезд131920[[#This Row],[RelativePath]])</f>
        <v>6 Площадка 1 общага\826398429_1_20251121T141627Z.jpg</v>
      </c>
    </row>
    <row r="26" spans="1:13" x14ac:dyDescent="0.25">
      <c r="A26" s="2" t="s">
        <v>18</v>
      </c>
      <c r="B26" s="4">
        <v>45983</v>
      </c>
      <c r="C26" s="5">
        <v>0.70100694444444445</v>
      </c>
      <c r="D26" t="s">
        <v>2004</v>
      </c>
      <c r="I26" t="s">
        <v>2127</v>
      </c>
      <c r="J26" t="s">
        <v>2983</v>
      </c>
      <c r="K26" t="s">
        <v>2128</v>
      </c>
      <c r="L26" t="s">
        <v>2129</v>
      </c>
      <c r="M26" s="3" t="str">
        <f>HYPERLINK(склад2въезд131920[[#This Row],[RelativePath]])</f>
        <v>6 Площадка 1 общага\826398429_1_20251122T164927Z.jpg</v>
      </c>
    </row>
    <row r="27" spans="1:13" x14ac:dyDescent="0.25">
      <c r="A27" s="2" t="s">
        <v>22</v>
      </c>
      <c r="B27" s="4">
        <v>45984</v>
      </c>
      <c r="C27" s="5">
        <v>0.6731018518518519</v>
      </c>
      <c r="D27" t="s">
        <v>2004</v>
      </c>
      <c r="I27" t="s">
        <v>2130</v>
      </c>
      <c r="J27" t="s">
        <v>2983</v>
      </c>
      <c r="K27" t="s">
        <v>2131</v>
      </c>
      <c r="L27" t="s">
        <v>2132</v>
      </c>
      <c r="M27" s="3" t="str">
        <f>HYPERLINK(склад2въезд131920[[#This Row],[RelativePath]])</f>
        <v>6 Площадка 1 общага\826398429_1_20251123T160916Z.jpg</v>
      </c>
    </row>
    <row r="28" spans="1:13" x14ac:dyDescent="0.25">
      <c r="A28" s="2" t="s">
        <v>13</v>
      </c>
      <c r="B28" s="4">
        <v>45985</v>
      </c>
      <c r="C28" s="5">
        <v>0.70306712962962958</v>
      </c>
      <c r="D28" t="s">
        <v>4</v>
      </c>
      <c r="E28" t="s">
        <v>8</v>
      </c>
      <c r="I28" t="s">
        <v>3405</v>
      </c>
      <c r="J28" t="s">
        <v>2983</v>
      </c>
      <c r="K28" t="s">
        <v>3406</v>
      </c>
      <c r="L28" t="s">
        <v>3407</v>
      </c>
      <c r="M28" s="3" t="str">
        <f>HYPERLINK(склад2въезд131920[[#This Row],[RelativePath]])</f>
        <v>6 Площадка 1 общага\826398429_1_20251124T165225Z.jpg</v>
      </c>
    </row>
    <row r="29" spans="1:13" x14ac:dyDescent="0.25">
      <c r="A29" s="2" t="s">
        <v>14</v>
      </c>
      <c r="B29" s="4">
        <v>45986</v>
      </c>
      <c r="C29" s="5">
        <v>0.65284722222222225</v>
      </c>
      <c r="D29" t="s">
        <v>4</v>
      </c>
      <c r="E29" t="s">
        <v>8</v>
      </c>
      <c r="I29" t="s">
        <v>4206</v>
      </c>
      <c r="J29" t="s">
        <v>2983</v>
      </c>
      <c r="K29" t="s">
        <v>4207</v>
      </c>
      <c r="L29" t="s">
        <v>4208</v>
      </c>
      <c r="M29" s="3" t="str">
        <f>HYPERLINK(склад2въезд131920[[#This Row],[RelativePath]])</f>
        <v>6 Площадка 1 общага\826398429_1_20251125T154006Z.jpg</v>
      </c>
    </row>
    <row r="30" spans="1:13" x14ac:dyDescent="0.25">
      <c r="A30" s="2" t="s">
        <v>15</v>
      </c>
      <c r="B30" s="4">
        <v>45987</v>
      </c>
      <c r="C30" s="5">
        <v>0.40121527777777777</v>
      </c>
      <c r="D30" t="s">
        <v>4</v>
      </c>
      <c r="E30" t="s">
        <v>8</v>
      </c>
      <c r="I30" t="s">
        <v>3408</v>
      </c>
      <c r="J30" t="s">
        <v>2983</v>
      </c>
      <c r="K30" t="s">
        <v>3409</v>
      </c>
      <c r="L30" t="s">
        <v>3410</v>
      </c>
      <c r="M30" s="3" t="str">
        <f>HYPERLINK(склад2въезд131920[[#This Row],[RelativePath]])</f>
        <v>6 Площадка 1 общага\826398429_1_20251126T093745Z.jpg</v>
      </c>
    </row>
    <row r="31" spans="1:13" x14ac:dyDescent="0.25">
      <c r="A31" s="2" t="s">
        <v>16</v>
      </c>
      <c r="B31" s="4">
        <v>45988</v>
      </c>
      <c r="C31" s="5">
        <v>0.56403935185185183</v>
      </c>
      <c r="D31" t="s">
        <v>4209</v>
      </c>
      <c r="E31" t="s">
        <v>4210</v>
      </c>
      <c r="I31" t="s">
        <v>3411</v>
      </c>
      <c r="J31" t="s">
        <v>2983</v>
      </c>
      <c r="K31" t="s">
        <v>3412</v>
      </c>
      <c r="L31" t="s">
        <v>3413</v>
      </c>
      <c r="M31" s="3" t="str">
        <f>HYPERLINK(склад2въезд131920[[#This Row],[RelativePath]])</f>
        <v>6 Площадка 1 общага\826398429_1_20251127T133213Z.jpg</v>
      </c>
    </row>
    <row r="32" spans="1:13" x14ac:dyDescent="0.25">
      <c r="A32" s="2" t="s">
        <v>16</v>
      </c>
      <c r="B32" s="4">
        <v>45988</v>
      </c>
      <c r="C32" s="5">
        <v>0.59635416666666663</v>
      </c>
      <c r="D32" t="s">
        <v>4209</v>
      </c>
      <c r="E32" t="s">
        <v>4210</v>
      </c>
      <c r="H32" t="s">
        <v>2936</v>
      </c>
      <c r="I32" t="s">
        <v>3414</v>
      </c>
      <c r="J32" t="s">
        <v>2983</v>
      </c>
      <c r="K32" t="s">
        <v>3415</v>
      </c>
      <c r="L32" t="s">
        <v>3416</v>
      </c>
      <c r="M32" s="3" t="str">
        <f>HYPERLINK(склад2въезд131920[[#This Row],[RelativePath]])</f>
        <v>6 Площадка 1 общага\826398429_1_20251127T141845Z.jpg</v>
      </c>
    </row>
    <row r="33" spans="1:13" x14ac:dyDescent="0.25">
      <c r="A33" s="2" t="s">
        <v>16</v>
      </c>
      <c r="B33" s="4">
        <v>45988</v>
      </c>
      <c r="C33" s="5">
        <v>0.60876157407407405</v>
      </c>
      <c r="D33" t="s">
        <v>4209</v>
      </c>
      <c r="E33" t="s">
        <v>4210</v>
      </c>
      <c r="H33" t="s">
        <v>2936</v>
      </c>
      <c r="I33" t="s">
        <v>3417</v>
      </c>
      <c r="J33" t="s">
        <v>2983</v>
      </c>
      <c r="K33" t="s">
        <v>3418</v>
      </c>
      <c r="L33" t="s">
        <v>3419</v>
      </c>
      <c r="M33" s="3" t="str">
        <f>HYPERLINK(склад2въезд131920[[#This Row],[RelativePath]])</f>
        <v>6 Площадка 1 общага\826398429_1_20251127T143637Z.jpg</v>
      </c>
    </row>
    <row r="34" spans="1:13" x14ac:dyDescent="0.25">
      <c r="A34" s="2" t="s">
        <v>16</v>
      </c>
      <c r="B34" s="4">
        <v>45988</v>
      </c>
      <c r="C34" s="5">
        <v>0.61635416666666665</v>
      </c>
      <c r="D34" t="s">
        <v>4209</v>
      </c>
      <c r="E34" t="s">
        <v>4210</v>
      </c>
      <c r="H34" t="s">
        <v>2936</v>
      </c>
      <c r="I34" t="s">
        <v>3420</v>
      </c>
      <c r="J34" t="s">
        <v>2983</v>
      </c>
      <c r="K34" t="s">
        <v>3421</v>
      </c>
      <c r="L34" t="s">
        <v>3422</v>
      </c>
      <c r="M34" s="3" t="str">
        <f>HYPERLINK(склад2въезд131920[[#This Row],[RelativePath]])</f>
        <v>6 Площадка 1 общага\826398429_1_20251127T144733Z.jpg</v>
      </c>
    </row>
    <row r="35" spans="1:13" x14ac:dyDescent="0.25">
      <c r="A35" s="2" t="s">
        <v>16</v>
      </c>
      <c r="B35" s="4">
        <v>45988</v>
      </c>
      <c r="C35" s="5">
        <v>0.71107638888888891</v>
      </c>
      <c r="D35" t="s">
        <v>4209</v>
      </c>
      <c r="E35" t="s">
        <v>4210</v>
      </c>
      <c r="H35" t="s">
        <v>2936</v>
      </c>
      <c r="I35" t="s">
        <v>3423</v>
      </c>
      <c r="J35" t="s">
        <v>2983</v>
      </c>
      <c r="K35" t="s">
        <v>3424</v>
      </c>
      <c r="L35" t="s">
        <v>3425</v>
      </c>
      <c r="M35" s="3" t="str">
        <f>HYPERLINK(склад2въезд131920[[#This Row],[RelativePath]])</f>
        <v>6 Площадка 1 общага\826398429_1_20251127T170357Z.jpg</v>
      </c>
    </row>
    <row r="36" spans="1:13" x14ac:dyDescent="0.25">
      <c r="A36" s="2" t="s">
        <v>16</v>
      </c>
      <c r="B36" s="4">
        <v>45988</v>
      </c>
      <c r="C36" s="5">
        <v>0.74934027777777779</v>
      </c>
      <c r="D36" t="s">
        <v>4209</v>
      </c>
      <c r="E36" t="s">
        <v>4210</v>
      </c>
      <c r="H36" t="s">
        <v>2936</v>
      </c>
      <c r="I36" t="s">
        <v>3426</v>
      </c>
      <c r="J36" t="s">
        <v>2983</v>
      </c>
      <c r="K36" t="s">
        <v>3427</v>
      </c>
      <c r="L36" t="s">
        <v>3428</v>
      </c>
      <c r="M36" s="3" t="str">
        <f>HYPERLINK(склад2въезд131920[[#This Row],[RelativePath]])</f>
        <v>6 Площадка 1 общага\826398429_1_20251127T175903Z.jpg</v>
      </c>
    </row>
    <row r="37" spans="1:13" x14ac:dyDescent="0.25">
      <c r="A37" s="2" t="s">
        <v>16</v>
      </c>
      <c r="B37" s="4">
        <v>45988</v>
      </c>
      <c r="C37" s="5">
        <v>0.76156250000000003</v>
      </c>
      <c r="D37" t="s">
        <v>4209</v>
      </c>
      <c r="E37" t="s">
        <v>4210</v>
      </c>
      <c r="H37" t="s">
        <v>2936</v>
      </c>
      <c r="I37" t="s">
        <v>3429</v>
      </c>
      <c r="J37" t="s">
        <v>2983</v>
      </c>
      <c r="K37" t="s">
        <v>3430</v>
      </c>
      <c r="L37" t="s">
        <v>3431</v>
      </c>
      <c r="M37" s="3" t="str">
        <f>HYPERLINK(склад2въезд131920[[#This Row],[RelativePath]])</f>
        <v>6 Площадка 1 общага\826398429_1_20251127T181639Z.jpg</v>
      </c>
    </row>
    <row r="38" spans="1:13" x14ac:dyDescent="0.25">
      <c r="A38" s="2" t="s">
        <v>16</v>
      </c>
      <c r="B38" s="4">
        <v>45988</v>
      </c>
      <c r="C38" s="5">
        <v>0.78482638888888889</v>
      </c>
      <c r="D38" t="s">
        <v>4209</v>
      </c>
      <c r="E38" t="s">
        <v>4210</v>
      </c>
      <c r="H38" t="s">
        <v>2936</v>
      </c>
      <c r="I38" t="s">
        <v>3432</v>
      </c>
      <c r="J38" t="s">
        <v>2983</v>
      </c>
      <c r="K38" t="s">
        <v>3433</v>
      </c>
      <c r="L38" t="s">
        <v>3434</v>
      </c>
      <c r="M38" s="3" t="str">
        <f>HYPERLINK(склад2въезд131920[[#This Row],[RelativePath]])</f>
        <v>6 Площадка 1 общага\826398429_1_20251127T185009Z.jpg</v>
      </c>
    </row>
    <row r="39" spans="1:13" x14ac:dyDescent="0.25">
      <c r="A39" s="2" t="s">
        <v>17</v>
      </c>
      <c r="B39" s="4">
        <v>45989</v>
      </c>
      <c r="C39" s="5">
        <v>0.47821759259259261</v>
      </c>
      <c r="D39" t="s">
        <v>4209</v>
      </c>
      <c r="E39" t="s">
        <v>4210</v>
      </c>
      <c r="H39" t="s">
        <v>2936</v>
      </c>
      <c r="I39" t="s">
        <v>3435</v>
      </c>
      <c r="J39" t="s">
        <v>2983</v>
      </c>
      <c r="K39" t="s">
        <v>3436</v>
      </c>
      <c r="L39" t="s">
        <v>3437</v>
      </c>
      <c r="M39" s="3" t="str">
        <f>HYPERLINK(склад2въезд131920[[#This Row],[RelativePath]])</f>
        <v>6 Площадка 1 общага\826398429_1_20251128T112838Z.jpg</v>
      </c>
    </row>
    <row r="40" spans="1:13" x14ac:dyDescent="0.25">
      <c r="A40" s="2" t="s">
        <v>17</v>
      </c>
      <c r="B40" s="4">
        <v>45989</v>
      </c>
      <c r="C40" s="5">
        <v>0.52474537037037039</v>
      </c>
      <c r="D40" t="s">
        <v>4209</v>
      </c>
      <c r="E40" t="s">
        <v>4210</v>
      </c>
      <c r="H40" t="s">
        <v>2936</v>
      </c>
      <c r="I40" t="s">
        <v>3438</v>
      </c>
      <c r="J40" t="s">
        <v>2983</v>
      </c>
      <c r="K40" t="s">
        <v>3439</v>
      </c>
      <c r="L40" t="s">
        <v>3440</v>
      </c>
      <c r="M40" s="3" t="str">
        <f>HYPERLINK(склад2въезд131920[[#This Row],[RelativePath]])</f>
        <v>6 Площадка 1 общага\826398429_1_20251128T123538Z.jpg</v>
      </c>
    </row>
    <row r="41" spans="1:13" x14ac:dyDescent="0.25">
      <c r="A41" s="2" t="s">
        <v>17</v>
      </c>
      <c r="B41" s="4">
        <v>45989</v>
      </c>
      <c r="C41" s="5">
        <v>0.62135416666666665</v>
      </c>
      <c r="D41" t="s">
        <v>4209</v>
      </c>
      <c r="E41" t="s">
        <v>4210</v>
      </c>
      <c r="H41" t="s">
        <v>2936</v>
      </c>
      <c r="I41" t="s">
        <v>3441</v>
      </c>
      <c r="J41" t="s">
        <v>2983</v>
      </c>
      <c r="K41" t="s">
        <v>3442</v>
      </c>
      <c r="L41" t="s">
        <v>3443</v>
      </c>
      <c r="M41" s="3" t="str">
        <f>HYPERLINK(склад2въезд131920[[#This Row],[RelativePath]])</f>
        <v>6 Площадка 1 общага\826398429_1_20251128T145445Z.jpg</v>
      </c>
    </row>
    <row r="42" spans="1:13" x14ac:dyDescent="0.25">
      <c r="A42" s="2" t="s">
        <v>17</v>
      </c>
      <c r="B42" s="4">
        <v>45989</v>
      </c>
      <c r="C42" s="5">
        <v>0.77150462962962962</v>
      </c>
      <c r="D42" t="s">
        <v>4209</v>
      </c>
      <c r="E42" t="s">
        <v>4210</v>
      </c>
      <c r="H42" t="s">
        <v>2936</v>
      </c>
      <c r="I42" t="s">
        <v>3444</v>
      </c>
      <c r="J42" t="s">
        <v>2983</v>
      </c>
      <c r="K42" t="s">
        <v>3445</v>
      </c>
      <c r="L42" t="s">
        <v>3446</v>
      </c>
      <c r="M42" s="3" t="str">
        <f>HYPERLINK(склад2въезд131920[[#This Row],[RelativePath]])</f>
        <v>6 Площадка 1 общага\826398429_1_20251128T183058Z.jpg</v>
      </c>
    </row>
    <row r="43" spans="1:13" x14ac:dyDescent="0.25">
      <c r="A43" s="2" t="s">
        <v>18</v>
      </c>
      <c r="B43" s="4">
        <v>45990</v>
      </c>
      <c r="C43" s="5">
        <v>0.41766203703703703</v>
      </c>
      <c r="D43" t="s">
        <v>4</v>
      </c>
      <c r="E43" t="s">
        <v>8</v>
      </c>
      <c r="I43" t="s">
        <v>3447</v>
      </c>
      <c r="J43" t="s">
        <v>2983</v>
      </c>
      <c r="K43" t="s">
        <v>3448</v>
      </c>
      <c r="L43" t="s">
        <v>3449</v>
      </c>
      <c r="M43" s="3" t="str">
        <f>HYPERLINK(склад2въезд131920[[#This Row],[RelativePath]])</f>
        <v>6 Площадка 1 общага\826398429_1_20251129T100126Z.jpg</v>
      </c>
    </row>
    <row r="44" spans="1:13" x14ac:dyDescent="0.25">
      <c r="A44" s="2" t="s">
        <v>18</v>
      </c>
      <c r="B44" s="4">
        <v>45990</v>
      </c>
      <c r="C44" s="5">
        <v>0.65773148148148153</v>
      </c>
      <c r="D44" t="s">
        <v>289</v>
      </c>
      <c r="E44" t="s">
        <v>4211</v>
      </c>
      <c r="I44" t="s">
        <v>3450</v>
      </c>
      <c r="J44" t="s">
        <v>2983</v>
      </c>
      <c r="K44" t="s">
        <v>3451</v>
      </c>
      <c r="L44" t="s">
        <v>3452</v>
      </c>
      <c r="M44" s="3" t="str">
        <f>HYPERLINK(склад2въезд131920[[#This Row],[RelativePath]])</f>
        <v>6 Площадка 1 общага\826398429_1_20251129T154708Z.jpg</v>
      </c>
    </row>
    <row r="45" spans="1:13" x14ac:dyDescent="0.25">
      <c r="A45" s="2" t="s">
        <v>18</v>
      </c>
      <c r="B45" s="4">
        <v>45990</v>
      </c>
      <c r="C45" s="5">
        <v>0.67062500000000003</v>
      </c>
      <c r="D45" t="s">
        <v>289</v>
      </c>
      <c r="E45" t="s">
        <v>4211</v>
      </c>
      <c r="H45" t="s">
        <v>2936</v>
      </c>
      <c r="I45" t="s">
        <v>3453</v>
      </c>
      <c r="J45" t="s">
        <v>2983</v>
      </c>
      <c r="K45" t="s">
        <v>3454</v>
      </c>
      <c r="L45" t="s">
        <v>3455</v>
      </c>
      <c r="M45" s="3" t="str">
        <f>HYPERLINK(склад2въезд131920[[#This Row],[RelativePath]])</f>
        <v>6 Площадка 1 общага\826398429_1_20251129T160542Z.jpg</v>
      </c>
    </row>
    <row r="46" spans="1:13" x14ac:dyDescent="0.25">
      <c r="A46" s="2" t="s">
        <v>18</v>
      </c>
      <c r="B46" s="4">
        <v>45990</v>
      </c>
      <c r="C46" s="5">
        <v>0.67369212962962965</v>
      </c>
      <c r="D46" t="s">
        <v>289</v>
      </c>
      <c r="E46" t="s">
        <v>4211</v>
      </c>
      <c r="H46" t="s">
        <v>2936</v>
      </c>
      <c r="I46" t="s">
        <v>3456</v>
      </c>
      <c r="J46" t="s">
        <v>2983</v>
      </c>
      <c r="K46" t="s">
        <v>3457</v>
      </c>
      <c r="L46" t="s">
        <v>3458</v>
      </c>
      <c r="M46" s="3" t="str">
        <f>HYPERLINK(склад2въезд131920[[#This Row],[RelativePath]])</f>
        <v>6 Площадка 1 общага\826398429_1_20251129T161007Z.jpg</v>
      </c>
    </row>
    <row r="47" spans="1:13" x14ac:dyDescent="0.25">
      <c r="A47" s="2" t="s">
        <v>18</v>
      </c>
      <c r="B47" s="4">
        <v>45990</v>
      </c>
      <c r="C47" s="5">
        <v>0.68300925925925926</v>
      </c>
      <c r="D47" t="s">
        <v>289</v>
      </c>
      <c r="E47" t="s">
        <v>4211</v>
      </c>
      <c r="H47" t="s">
        <v>2936</v>
      </c>
      <c r="I47" t="s">
        <v>3459</v>
      </c>
      <c r="J47" t="s">
        <v>2983</v>
      </c>
      <c r="K47" t="s">
        <v>3460</v>
      </c>
      <c r="L47" t="s">
        <v>3461</v>
      </c>
      <c r="M47" s="3" t="str">
        <f>HYPERLINK(склад2въезд131920[[#This Row],[RelativePath]])</f>
        <v>6 Площадка 1 общага\826398429_1_20251129T162332Z.jpg</v>
      </c>
    </row>
    <row r="48" spans="1:13" x14ac:dyDescent="0.25">
      <c r="A48" s="2" t="s">
        <v>18</v>
      </c>
      <c r="B48" s="4">
        <v>45990</v>
      </c>
      <c r="C48" s="5">
        <v>0.69054398148148144</v>
      </c>
      <c r="D48" t="s">
        <v>289</v>
      </c>
      <c r="E48" t="s">
        <v>4211</v>
      </c>
      <c r="H48" t="s">
        <v>2936</v>
      </c>
      <c r="I48" t="s">
        <v>3462</v>
      </c>
      <c r="J48" t="s">
        <v>2983</v>
      </c>
      <c r="K48" t="s">
        <v>3463</v>
      </c>
      <c r="L48" t="s">
        <v>3464</v>
      </c>
      <c r="M48" s="3" t="str">
        <f>HYPERLINK(склад2въезд131920[[#This Row],[RelativePath]])</f>
        <v>6 Площадка 1 общага\826398429_1_20251129T163423Z.jpg</v>
      </c>
    </row>
    <row r="49" spans="1:13" x14ac:dyDescent="0.25">
      <c r="A49" s="2" t="s">
        <v>18</v>
      </c>
      <c r="B49" s="4">
        <v>45990</v>
      </c>
      <c r="C49" s="5">
        <v>0.71069444444444441</v>
      </c>
      <c r="D49" t="s">
        <v>4</v>
      </c>
      <c r="E49" t="s">
        <v>8</v>
      </c>
      <c r="I49" t="s">
        <v>3465</v>
      </c>
      <c r="J49" t="s">
        <v>2983</v>
      </c>
      <c r="K49" t="s">
        <v>3466</v>
      </c>
      <c r="L49" t="s">
        <v>3467</v>
      </c>
      <c r="M49" s="3" t="str">
        <f>HYPERLINK(склад2въезд131920[[#This Row],[RelativePath]])</f>
        <v>6 Площадка 1 общага\826398429_1_20251129T170324Z.jpg</v>
      </c>
    </row>
    <row r="50" spans="1:13" x14ac:dyDescent="0.25">
      <c r="A50" s="2" t="s">
        <v>22</v>
      </c>
      <c r="B50" s="4">
        <v>45991</v>
      </c>
      <c r="C50" s="5">
        <v>0.61775462962962968</v>
      </c>
      <c r="D50" t="s">
        <v>2004</v>
      </c>
      <c r="I50" t="s">
        <v>4273</v>
      </c>
      <c r="J50" t="s">
        <v>2983</v>
      </c>
      <c r="K50" t="s">
        <v>4274</v>
      </c>
      <c r="L50" t="s">
        <v>4275</v>
      </c>
      <c r="M50" s="3" t="str">
        <f>HYPERLINK(склад2въезд131920[[#This Row],[RelativePath]])</f>
        <v>6 Площадка 1 общага\826398429_1_20251130T144934Z.jpg</v>
      </c>
    </row>
    <row r="51" spans="1:13" x14ac:dyDescent="0.25">
      <c r="A51" s="2" t="s">
        <v>13</v>
      </c>
      <c r="B51" s="4">
        <v>45992</v>
      </c>
      <c r="C51" s="5">
        <v>0.39751157407407406</v>
      </c>
      <c r="D51" t="s">
        <v>1615</v>
      </c>
      <c r="E51" t="s">
        <v>86</v>
      </c>
      <c r="F51" t="s">
        <v>200</v>
      </c>
      <c r="I51" t="s">
        <v>5110</v>
      </c>
      <c r="J51" t="s">
        <v>2983</v>
      </c>
      <c r="K51" t="s">
        <v>5111</v>
      </c>
      <c r="L51" t="s">
        <v>5106</v>
      </c>
      <c r="M51" s="3" t="str">
        <f>HYPERLINK(склад2въезд131920[[#This Row],[RelativePath]])</f>
        <v>6 Площадка 1 общага\826398429_1_20251201T093225Z.jpg</v>
      </c>
    </row>
    <row r="52" spans="1:13" x14ac:dyDescent="0.25">
      <c r="A52" s="2" t="s">
        <v>13</v>
      </c>
      <c r="B52" s="4">
        <v>45992</v>
      </c>
      <c r="C52" s="5">
        <v>0.49358796296296298</v>
      </c>
      <c r="D52" t="s">
        <v>1094</v>
      </c>
      <c r="E52" t="s">
        <v>4247</v>
      </c>
      <c r="F52" t="s">
        <v>60</v>
      </c>
      <c r="I52" t="s">
        <v>5112</v>
      </c>
      <c r="J52" t="s">
        <v>2983</v>
      </c>
      <c r="K52" t="s">
        <v>5113</v>
      </c>
      <c r="L52" t="s">
        <v>5107</v>
      </c>
      <c r="M52" s="3" t="str">
        <f>HYPERLINK(склад2въезд131920[[#This Row],[RelativePath]])</f>
        <v>6 Площадка 1 общага\826398429_1_20251201T115046Z.jpg</v>
      </c>
    </row>
    <row r="53" spans="1:13" x14ac:dyDescent="0.25">
      <c r="A53" s="2" t="s">
        <v>13</v>
      </c>
      <c r="B53" s="4">
        <v>45992</v>
      </c>
      <c r="C53" s="5">
        <v>0.64282407407407405</v>
      </c>
      <c r="D53" t="s">
        <v>533</v>
      </c>
      <c r="E53" t="s">
        <v>1607</v>
      </c>
      <c r="F53" t="s">
        <v>58</v>
      </c>
      <c r="I53" t="s">
        <v>5114</v>
      </c>
      <c r="J53" t="s">
        <v>2983</v>
      </c>
      <c r="K53" t="s">
        <v>5115</v>
      </c>
      <c r="L53" t="s">
        <v>5108</v>
      </c>
      <c r="M53" s="3" t="str">
        <f>HYPERLINK(склад2въезд131920[[#This Row],[RelativePath]])</f>
        <v>6 Площадка 1 общага\826398429_1_20251201T152540Z.jpg</v>
      </c>
    </row>
    <row r="54" spans="1:13" x14ac:dyDescent="0.25">
      <c r="A54" s="2" t="s">
        <v>14</v>
      </c>
      <c r="B54" s="4">
        <v>45993</v>
      </c>
      <c r="C54" s="5">
        <v>0.62728009259259254</v>
      </c>
      <c r="D54" t="s">
        <v>1615</v>
      </c>
      <c r="E54" t="s">
        <v>86</v>
      </c>
      <c r="F54" t="s">
        <v>200</v>
      </c>
      <c r="I54" t="s">
        <v>4576</v>
      </c>
      <c r="J54" t="s">
        <v>2983</v>
      </c>
      <c r="K54" t="s">
        <v>4577</v>
      </c>
      <c r="L54" t="s">
        <v>4578</v>
      </c>
      <c r="M54" s="3" t="str">
        <f>HYPERLINK(склад2въезд131920[[#This Row],[RelativePath]])</f>
        <v>6 Площадка 1 общага\826398429_1_20251202T150317Z.jpg</v>
      </c>
    </row>
    <row r="55" spans="1:13" x14ac:dyDescent="0.25">
      <c r="A55" s="2" t="s">
        <v>15</v>
      </c>
      <c r="B55" s="4">
        <v>45994</v>
      </c>
      <c r="C55" s="5">
        <v>0.41577546296296297</v>
      </c>
      <c r="D55" t="s">
        <v>1094</v>
      </c>
      <c r="E55" t="s">
        <v>4247</v>
      </c>
      <c r="F55" t="s">
        <v>200</v>
      </c>
      <c r="I55" t="s">
        <v>4579</v>
      </c>
      <c r="J55" t="s">
        <v>2983</v>
      </c>
      <c r="K55" t="s">
        <v>4580</v>
      </c>
      <c r="L55" t="s">
        <v>4581</v>
      </c>
      <c r="M55" s="3" t="str">
        <f>HYPERLINK(склад2въезд131920[[#This Row],[RelativePath]])</f>
        <v>6 Площадка 1 общага\826398429_1_20251203T095843Z.jpg</v>
      </c>
    </row>
    <row r="56" spans="1:13" x14ac:dyDescent="0.25">
      <c r="A56" s="2" t="s">
        <v>15</v>
      </c>
      <c r="B56" s="4">
        <v>45994</v>
      </c>
      <c r="C56" s="5">
        <v>0.41729166666666667</v>
      </c>
      <c r="D56" t="s">
        <v>1094</v>
      </c>
      <c r="E56" t="s">
        <v>4247</v>
      </c>
      <c r="F56" t="s">
        <v>200</v>
      </c>
      <c r="I56" t="s">
        <v>4582</v>
      </c>
      <c r="J56" t="s">
        <v>2983</v>
      </c>
      <c r="K56" t="s">
        <v>4583</v>
      </c>
      <c r="L56" t="s">
        <v>4584</v>
      </c>
      <c r="M56" s="3" t="str">
        <f>HYPERLINK(склад2въезд131920[[#This Row],[RelativePath]])</f>
        <v>6 Площадка 1 общага\826398429_1_20251203T100054Z.jpg</v>
      </c>
    </row>
    <row r="57" spans="1:13" x14ac:dyDescent="0.25">
      <c r="A57" s="2" t="s">
        <v>15</v>
      </c>
      <c r="B57" s="4">
        <v>45994</v>
      </c>
      <c r="C57" s="5">
        <v>0.62077546296296293</v>
      </c>
      <c r="D57" t="s">
        <v>5109</v>
      </c>
      <c r="E57" t="s">
        <v>86</v>
      </c>
      <c r="I57" t="s">
        <v>4585</v>
      </c>
      <c r="J57" t="s">
        <v>2983</v>
      </c>
      <c r="K57" t="s">
        <v>4586</v>
      </c>
      <c r="L57" t="s">
        <v>4587</v>
      </c>
      <c r="M57" s="3" t="str">
        <f>HYPERLINK(склад2въезд131920[[#This Row],[RelativePath]])</f>
        <v>6 Площадка 1 общага\826398429_1_20251203T145355Z.jpg</v>
      </c>
    </row>
    <row r="58" spans="1:13" x14ac:dyDescent="0.25">
      <c r="A58" s="2" t="s">
        <v>15</v>
      </c>
      <c r="B58" s="4">
        <v>45994</v>
      </c>
      <c r="C58" s="5">
        <v>0.68840277777777781</v>
      </c>
      <c r="D58" t="s">
        <v>4</v>
      </c>
      <c r="E58" t="s">
        <v>8</v>
      </c>
      <c r="I58" t="s">
        <v>4588</v>
      </c>
      <c r="J58" t="s">
        <v>2983</v>
      </c>
      <c r="K58" t="s">
        <v>4589</v>
      </c>
      <c r="L58" t="s">
        <v>4590</v>
      </c>
      <c r="M58" s="3" t="str">
        <f>HYPERLINK(склад2въезд131920[[#This Row],[RelativePath]])</f>
        <v>6 Площадка 1 общага\826398429_1_20251203T163118Z.jpg</v>
      </c>
    </row>
    <row r="59" spans="1:13" x14ac:dyDescent="0.25">
      <c r="A59" s="2" t="s">
        <v>16</v>
      </c>
      <c r="B59" s="4">
        <v>45995</v>
      </c>
      <c r="C59" s="5">
        <v>0.3793287037037037</v>
      </c>
      <c r="D59" t="s">
        <v>5109</v>
      </c>
      <c r="E59" t="s">
        <v>86</v>
      </c>
      <c r="I59" t="s">
        <v>4591</v>
      </c>
      <c r="J59" t="s">
        <v>2983</v>
      </c>
      <c r="K59" t="s">
        <v>4592</v>
      </c>
      <c r="L59" t="s">
        <v>4593</v>
      </c>
      <c r="M59" s="3" t="str">
        <f>HYPERLINK(склад2въезд131920[[#This Row],[RelativePath]])</f>
        <v>6 Площадка 1 общага\826398429_1_20251204T090614Z.jpg</v>
      </c>
    </row>
    <row r="60" spans="1:13" x14ac:dyDescent="0.25">
      <c r="A60" s="2" t="s">
        <v>17</v>
      </c>
      <c r="B60" s="4">
        <v>45996</v>
      </c>
      <c r="C60" s="5">
        <v>0.51175925925925925</v>
      </c>
      <c r="D60" t="s">
        <v>5109</v>
      </c>
      <c r="E60" t="s">
        <v>86</v>
      </c>
      <c r="I60" t="s">
        <v>4594</v>
      </c>
      <c r="J60" t="s">
        <v>2983</v>
      </c>
      <c r="K60" t="s">
        <v>4595</v>
      </c>
      <c r="L60" t="s">
        <v>4596</v>
      </c>
      <c r="M60" s="3" t="str">
        <f>HYPERLINK(склад2въезд131920[[#This Row],[RelativePath]])</f>
        <v>6 Площадка 1 общага\826398429_1_20251205T121656Z.jpg</v>
      </c>
    </row>
    <row r="61" spans="1:13" x14ac:dyDescent="0.25">
      <c r="A61" s="2" t="s">
        <v>18</v>
      </c>
      <c r="B61" s="4">
        <v>45997</v>
      </c>
      <c r="C61" s="5">
        <v>0.65951388888888884</v>
      </c>
      <c r="D61" t="s">
        <v>2004</v>
      </c>
      <c r="E61" t="s">
        <v>8</v>
      </c>
      <c r="I61" t="s">
        <v>4597</v>
      </c>
      <c r="J61" t="s">
        <v>2983</v>
      </c>
      <c r="K61" t="s">
        <v>4598</v>
      </c>
      <c r="L61" t="s">
        <v>4599</v>
      </c>
      <c r="M61" s="3" t="str">
        <f>HYPERLINK(склад2въезд131920[[#This Row],[RelativePath]])</f>
        <v>6 Площадка 1 общага\826398429_1_20251206T154942Z.jpg</v>
      </c>
    </row>
    <row r="62" spans="1:13" x14ac:dyDescent="0.25">
      <c r="A62" s="2" t="s">
        <v>22</v>
      </c>
      <c r="B62" s="4">
        <v>45998</v>
      </c>
      <c r="C62" s="5">
        <v>0.47651620370370368</v>
      </c>
      <c r="D62" t="s">
        <v>2004</v>
      </c>
      <c r="E62" t="s">
        <v>8</v>
      </c>
      <c r="I62" t="s">
        <v>5175</v>
      </c>
      <c r="J62" t="s">
        <v>2983</v>
      </c>
      <c r="K62" t="s">
        <v>5176</v>
      </c>
      <c r="L62" t="s">
        <v>5177</v>
      </c>
      <c r="M62" s="3" t="str">
        <f>HYPERLINK(склад2въезд131920[[#This Row],[RelativePath]])</f>
        <v>6 Площадка 1 общага\826398429_1_20251207T112611Z.jpg</v>
      </c>
    </row>
    <row r="63" spans="1:13" x14ac:dyDescent="0.25">
      <c r="A63" s="2" t="s">
        <v>13</v>
      </c>
      <c r="B63" s="4">
        <v>45999</v>
      </c>
      <c r="C63" s="5">
        <v>0.4788425925925926</v>
      </c>
      <c r="D63" t="s">
        <v>4</v>
      </c>
      <c r="E63" t="s">
        <v>8</v>
      </c>
      <c r="I63" t="s">
        <v>5310</v>
      </c>
      <c r="J63" t="s">
        <v>2983</v>
      </c>
      <c r="K63" t="s">
        <v>5311</v>
      </c>
      <c r="L63" t="s">
        <v>5312</v>
      </c>
      <c r="M63" s="3" t="str">
        <f>HYPERLINK(склад2въезд131920[[#This Row],[RelativePath]])</f>
        <v>6 Площадка 1 общага\826398429_1_20251208T112932Z.jpg</v>
      </c>
    </row>
    <row r="64" spans="1:13" x14ac:dyDescent="0.25">
      <c r="A64" s="2" t="s">
        <v>13</v>
      </c>
      <c r="B64" s="4">
        <v>45999</v>
      </c>
      <c r="C64" s="5">
        <v>0.66003472222222226</v>
      </c>
      <c r="D64" t="s">
        <v>2004</v>
      </c>
      <c r="E64" t="s">
        <v>8</v>
      </c>
      <c r="I64" t="s">
        <v>5313</v>
      </c>
      <c r="J64" t="s">
        <v>2983</v>
      </c>
      <c r="K64" t="s">
        <v>5314</v>
      </c>
      <c r="L64" t="s">
        <v>5315</v>
      </c>
      <c r="M64" s="3" t="str">
        <f>HYPERLINK(склад2въезд131920[[#This Row],[RelativePath]])</f>
        <v>6 Площадка 1 общага\826398429_1_20251208T155027Z.jpg</v>
      </c>
    </row>
    <row r="65" spans="1:13" x14ac:dyDescent="0.25">
      <c r="A65" s="2" t="s">
        <v>14</v>
      </c>
      <c r="B65" s="4">
        <v>46000</v>
      </c>
      <c r="C65" s="5">
        <v>0.73707175925925927</v>
      </c>
      <c r="D65" t="s">
        <v>2004</v>
      </c>
      <c r="E65" t="s">
        <v>8</v>
      </c>
      <c r="I65" t="s">
        <v>5539</v>
      </c>
      <c r="J65" t="s">
        <v>2983</v>
      </c>
      <c r="K65" t="s">
        <v>5540</v>
      </c>
      <c r="L65" t="s">
        <v>5541</v>
      </c>
      <c r="M65" s="3" t="str">
        <f>HYPERLINK(склад2въезд131920[[#This Row],[RelativePath]])</f>
        <v>6 Площадка 1 общага\826398429_1_20251209T174123Z.jpg</v>
      </c>
    </row>
    <row r="66" spans="1:13" x14ac:dyDescent="0.25">
      <c r="A66" s="2" t="s">
        <v>15</v>
      </c>
      <c r="B66" s="4">
        <v>46001</v>
      </c>
      <c r="C66" s="5">
        <v>0.67366898148148147</v>
      </c>
      <c r="D66" t="s">
        <v>2004</v>
      </c>
      <c r="E66" t="s">
        <v>8</v>
      </c>
      <c r="I66" t="s">
        <v>5542</v>
      </c>
      <c r="J66" t="s">
        <v>2983</v>
      </c>
      <c r="K66" t="s">
        <v>5543</v>
      </c>
      <c r="L66" t="s">
        <v>5544</v>
      </c>
      <c r="M66" s="3" t="str">
        <f>HYPERLINK(склад2въезд131920[[#This Row],[RelativePath]])</f>
        <v>6 Площадка 1 общага\826398429_1_20251210T161005Z.jpg</v>
      </c>
    </row>
    <row r="67" spans="1:13" x14ac:dyDescent="0.25">
      <c r="A67" s="2" t="s">
        <v>16</v>
      </c>
      <c r="B67" s="4">
        <v>46002</v>
      </c>
      <c r="C67" s="5">
        <v>0.7340740740740741</v>
      </c>
      <c r="D67" t="s">
        <v>2004</v>
      </c>
      <c r="E67" t="s">
        <v>8</v>
      </c>
      <c r="I67" t="s">
        <v>5545</v>
      </c>
      <c r="J67" t="s">
        <v>2983</v>
      </c>
      <c r="K67" t="s">
        <v>5546</v>
      </c>
      <c r="L67" t="s">
        <v>5547</v>
      </c>
      <c r="M67" s="3" t="str">
        <f>HYPERLINK(склад2въезд131920[[#This Row],[RelativePath]])</f>
        <v>6 Площадка 1 общага\826398429_1_20251211T173704Z.jpg</v>
      </c>
    </row>
    <row r="68" spans="1:13" x14ac:dyDescent="0.25">
      <c r="A68" s="2" t="s">
        <v>17</v>
      </c>
      <c r="B68" s="4">
        <v>46003</v>
      </c>
      <c r="C68" s="5">
        <v>0.48729166666666668</v>
      </c>
      <c r="D68" t="s">
        <v>1615</v>
      </c>
      <c r="E68" t="s">
        <v>86</v>
      </c>
      <c r="F68" t="s">
        <v>200</v>
      </c>
      <c r="I68" t="s">
        <v>5869</v>
      </c>
      <c r="J68" t="s">
        <v>2983</v>
      </c>
      <c r="K68" t="s">
        <v>5870</v>
      </c>
      <c r="L68" t="s">
        <v>5871</v>
      </c>
      <c r="M68" s="3" t="str">
        <f>HYPERLINK(склад2въезд131920[[#This Row],[RelativePath]])</f>
        <v>6 Площадка 1 общага\826398429_1_20251212T114142Z.jpg</v>
      </c>
    </row>
    <row r="69" spans="1:13" x14ac:dyDescent="0.25">
      <c r="A69" s="2" t="s">
        <v>17</v>
      </c>
      <c r="B69" s="4">
        <v>46003</v>
      </c>
      <c r="C69" s="5">
        <v>0.5033333333333333</v>
      </c>
      <c r="D69" t="s">
        <v>1615</v>
      </c>
      <c r="E69" t="s">
        <v>86</v>
      </c>
      <c r="F69" t="s">
        <v>200</v>
      </c>
      <c r="I69" t="s">
        <v>5872</v>
      </c>
      <c r="J69" t="s">
        <v>2983</v>
      </c>
      <c r="K69" t="s">
        <v>5873</v>
      </c>
      <c r="L69" t="s">
        <v>5874</v>
      </c>
      <c r="M69" s="3" t="str">
        <f>HYPERLINK(склад2въезд131920[[#This Row],[RelativePath]])</f>
        <v>6 Площадка 1 общага\826398429_1_20251212T120448Z.jpg</v>
      </c>
    </row>
    <row r="70" spans="1:13" x14ac:dyDescent="0.25">
      <c r="A70" s="2" t="s">
        <v>17</v>
      </c>
      <c r="B70" s="4">
        <v>46003</v>
      </c>
      <c r="C70" s="5">
        <v>0.51285879629629627</v>
      </c>
      <c r="D70" t="s">
        <v>1615</v>
      </c>
      <c r="E70" t="s">
        <v>86</v>
      </c>
      <c r="F70" t="s">
        <v>200</v>
      </c>
      <c r="I70" t="s">
        <v>5875</v>
      </c>
      <c r="J70" t="s">
        <v>2983</v>
      </c>
      <c r="K70" t="s">
        <v>5876</v>
      </c>
      <c r="L70" t="s">
        <v>5877</v>
      </c>
      <c r="M70" s="3" t="str">
        <f>HYPERLINK(склад2въезд131920[[#This Row],[RelativePath]])</f>
        <v>6 Площадка 1 общага\826398429_1_20251212T121831Z.jpg</v>
      </c>
    </row>
    <row r="71" spans="1:13" x14ac:dyDescent="0.25">
      <c r="A71" s="2" t="s">
        <v>18</v>
      </c>
      <c r="B71" s="4">
        <v>46004</v>
      </c>
      <c r="C71" s="5">
        <v>0.72584490740740737</v>
      </c>
      <c r="D71" t="s">
        <v>2004</v>
      </c>
      <c r="E71" t="s">
        <v>8</v>
      </c>
      <c r="I71" t="s">
        <v>6079</v>
      </c>
      <c r="J71" t="s">
        <v>2983</v>
      </c>
      <c r="K71" t="s">
        <v>6080</v>
      </c>
      <c r="L71" t="s">
        <v>6081</v>
      </c>
      <c r="M71" s="3" t="str">
        <f>HYPERLINK(склад2въезд131920[[#This Row],[RelativePath]])</f>
        <v>6 Площадка 1 общага\826398429_1_20251213T172513Z.jpg</v>
      </c>
    </row>
  </sheetData>
  <conditionalFormatting sqref="D72:D82 E72:E85 G2:H71 D2:E71">
    <cfRule type="containsText" dxfId="466" priority="14" operator="containsText" text="Выезд с территории">
      <formula>NOT(ISERROR(SEARCH("Выезд с территории",D2)))</formula>
    </cfRule>
  </conditionalFormatting>
  <conditionalFormatting sqref="F2:F71">
    <cfRule type="notContainsText" dxfId="465" priority="13" operator="notContains" text="порожний">
      <formula>ISERROR(SEARCH("порожний",F2))</formula>
    </cfRule>
  </conditionalFormatting>
  <conditionalFormatting sqref="E2:E85">
    <cfRule type="containsText" dxfId="464" priority="11" operator="containsText" text="Газель базы">
      <formula>NOT(ISERROR(SEARCH("Газель базы",E2)))</formula>
    </cfRule>
    <cfRule type="containsText" dxfId="463" priority="12" operator="containsText" text="Погрузчик базы">
      <formula>NOT(ISERROR(SEARCH("Погрузчик базы",E2)))</formula>
    </cfRule>
  </conditionalFormatting>
  <conditionalFormatting sqref="E2:E85">
    <cfRule type="containsText" dxfId="462" priority="10" operator="containsText" text="Трактор базы">
      <formula>NOT(ISERROR(SEARCH("Трактор базы",E2)))</formula>
    </cfRule>
  </conditionalFormatting>
  <conditionalFormatting sqref="A2:C71">
    <cfRule type="expression" dxfId="461" priority="9">
      <formula>$A2="пн"</formula>
    </cfRule>
  </conditionalFormatting>
  <conditionalFormatting sqref="A2:C73">
    <cfRule type="expression" dxfId="460" priority="3">
      <formula>$A2="вс"</formula>
    </cfRule>
    <cfRule type="expression" dxfId="459" priority="4">
      <formula>$A2="сб"</formula>
    </cfRule>
    <cfRule type="expression" dxfId="458" priority="5">
      <formula>$A2="пт"</formula>
    </cfRule>
    <cfRule type="expression" dxfId="457" priority="6">
      <formula>$A2="чт"</formula>
    </cfRule>
    <cfRule type="expression" dxfId="456" priority="7">
      <formula>$A2="ср"</formula>
    </cfRule>
    <cfRule type="expression" dxfId="455" priority="8">
      <formula>$A2="вт"</formula>
    </cfRule>
  </conditionalFormatting>
  <conditionalFormatting sqref="D2:D82">
    <cfRule type="containsText" dxfId="454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82">
    <cfRule type="containsText" dxfId="453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06A9-605A-4C42-B69F-F1F4648CE27F}">
  <sheetPr>
    <tabColor theme="9" tint="-0.249977111117893"/>
  </sheetPr>
  <dimension ref="A1:M197"/>
  <sheetViews>
    <sheetView zoomScale="90" zoomScaleNormal="90" workbookViewId="0">
      <pane ySplit="1" topLeftCell="A175" activePane="bottomLeft" state="frozen"/>
      <selection pane="bottomLeft" activeCell="H200" sqref="H200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30.5703125" bestFit="1" customWidth="1"/>
    <col min="5" max="5" width="35.85546875" bestFit="1" customWidth="1"/>
    <col min="6" max="6" width="15.5703125" bestFit="1" customWidth="1"/>
    <col min="7" max="7" width="7.28515625" bestFit="1" customWidth="1"/>
    <col min="8" max="8" width="41.7109375" bestFit="1" customWidth="1"/>
    <col min="9" max="9" width="36.7109375" hidden="1" customWidth="1"/>
    <col min="10" max="10" width="56.7109375" hidden="1" customWidth="1"/>
    <col min="11" max="11" width="61.28515625" hidden="1" customWidth="1"/>
    <col min="12" max="12" width="24.5703125" hidden="1" customWidth="1"/>
    <col min="13" max="13" width="61.28515625" bestFit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0.34953703703703703</v>
      </c>
      <c r="D2" t="s">
        <v>4</v>
      </c>
      <c r="E2" t="s">
        <v>8</v>
      </c>
      <c r="H2" t="s">
        <v>5</v>
      </c>
      <c r="I2" t="s">
        <v>535</v>
      </c>
      <c r="J2" t="s">
        <v>2984</v>
      </c>
      <c r="K2" t="s">
        <v>536</v>
      </c>
      <c r="L2" t="s">
        <v>537</v>
      </c>
      <c r="M2" s="3" t="str">
        <f>HYPERLINK(склад2въезд13192021[[#This Row],[RelativePath]])</f>
        <v>7 Площадка 2 бетонщики\K07156189_18_20251110T082320Z.jpg</v>
      </c>
    </row>
    <row r="3" spans="1:13" x14ac:dyDescent="0.25">
      <c r="A3" s="2" t="s">
        <v>13</v>
      </c>
      <c r="B3" s="4">
        <v>45971</v>
      </c>
      <c r="C3" s="5">
        <v>0.60550925925925925</v>
      </c>
      <c r="D3" t="s">
        <v>4</v>
      </c>
      <c r="E3" t="s">
        <v>11</v>
      </c>
      <c r="I3" t="s">
        <v>538</v>
      </c>
      <c r="J3" t="s">
        <v>2984</v>
      </c>
      <c r="K3" t="s">
        <v>539</v>
      </c>
      <c r="L3" t="s">
        <v>540</v>
      </c>
      <c r="M3" s="3" t="str">
        <f>HYPERLINK(склад2въезд13192021[[#This Row],[RelativePath]])</f>
        <v>7 Площадка 2 бетонщики\K07156189_18_20251110T143156Z.jpg</v>
      </c>
    </row>
    <row r="4" spans="1:13" x14ac:dyDescent="0.25">
      <c r="A4" s="2" t="s">
        <v>13</v>
      </c>
      <c r="B4" s="4">
        <v>45971</v>
      </c>
      <c r="C4" s="5">
        <v>0.60940972222222223</v>
      </c>
      <c r="D4" t="s">
        <v>4</v>
      </c>
      <c r="E4" t="s">
        <v>19</v>
      </c>
      <c r="I4" t="s">
        <v>541</v>
      </c>
      <c r="J4" t="s">
        <v>2984</v>
      </c>
      <c r="K4" t="s">
        <v>542</v>
      </c>
      <c r="L4" t="s">
        <v>543</v>
      </c>
      <c r="M4" s="3" t="str">
        <f>HYPERLINK(склад2въезд13192021[[#This Row],[RelativePath]])</f>
        <v>7 Площадка 2 бетонщики\K07156189_18_20251110T143733Z.jpg</v>
      </c>
    </row>
    <row r="5" spans="1:13" x14ac:dyDescent="0.25">
      <c r="A5" s="2" t="s">
        <v>13</v>
      </c>
      <c r="B5" s="4">
        <v>45971</v>
      </c>
      <c r="C5" s="5">
        <v>0.61107638888888893</v>
      </c>
      <c r="D5" t="s">
        <v>4</v>
      </c>
      <c r="E5" t="s">
        <v>19</v>
      </c>
      <c r="I5" t="s">
        <v>544</v>
      </c>
      <c r="J5" t="s">
        <v>2984</v>
      </c>
      <c r="K5" t="s">
        <v>545</v>
      </c>
      <c r="L5" t="s">
        <v>546</v>
      </c>
      <c r="M5" s="3" t="str">
        <f>HYPERLINK(склад2въезд13192021[[#This Row],[RelativePath]])</f>
        <v>7 Площадка 2 бетонщики\K07156189_18_20251110T143957Z.jpg</v>
      </c>
    </row>
    <row r="6" spans="1:13" x14ac:dyDescent="0.25">
      <c r="A6" s="2" t="s">
        <v>13</v>
      </c>
      <c r="B6" s="4">
        <v>45971</v>
      </c>
      <c r="C6" s="5">
        <v>0.73349537037037038</v>
      </c>
      <c r="D6" t="s">
        <v>4</v>
      </c>
      <c r="E6" t="s">
        <v>8</v>
      </c>
      <c r="H6" t="s">
        <v>6</v>
      </c>
      <c r="I6" t="s">
        <v>547</v>
      </c>
      <c r="J6" t="s">
        <v>2984</v>
      </c>
      <c r="K6" t="s">
        <v>548</v>
      </c>
      <c r="L6" t="s">
        <v>549</v>
      </c>
      <c r="M6" s="3" t="str">
        <f>HYPERLINK(склад2въезд13192021[[#This Row],[RelativePath]])</f>
        <v>7 Площадка 2 бетонщики\K07156189_18_20251110T173614Z.jpg</v>
      </c>
    </row>
    <row r="7" spans="1:13" x14ac:dyDescent="0.25">
      <c r="A7" s="2" t="s">
        <v>14</v>
      </c>
      <c r="B7" s="4">
        <v>45972</v>
      </c>
      <c r="C7" s="5">
        <v>0.36063657407407407</v>
      </c>
      <c r="D7" t="s">
        <v>4</v>
      </c>
      <c r="E7" t="s">
        <v>8</v>
      </c>
      <c r="H7" t="s">
        <v>5</v>
      </c>
      <c r="I7" t="s">
        <v>550</v>
      </c>
      <c r="J7" t="s">
        <v>2984</v>
      </c>
      <c r="K7" t="s">
        <v>551</v>
      </c>
      <c r="L7" t="s">
        <v>552</v>
      </c>
      <c r="M7" s="3" t="str">
        <f>HYPERLINK(склад2въезд13192021[[#This Row],[RelativePath]])</f>
        <v>7 Площадка 2 бетонщики\K07156189_18_20251111T083919Z.jpg</v>
      </c>
    </row>
    <row r="8" spans="1:13" x14ac:dyDescent="0.25">
      <c r="A8" s="2" t="s">
        <v>14</v>
      </c>
      <c r="B8" s="4">
        <v>45972</v>
      </c>
      <c r="C8" s="5">
        <v>0.46400462962962963</v>
      </c>
      <c r="D8" t="s">
        <v>4</v>
      </c>
      <c r="E8" t="s">
        <v>19</v>
      </c>
      <c r="I8" t="s">
        <v>553</v>
      </c>
      <c r="J8" t="s">
        <v>2984</v>
      </c>
      <c r="K8" t="s">
        <v>554</v>
      </c>
      <c r="L8" t="s">
        <v>555</v>
      </c>
      <c r="M8" s="3" t="str">
        <f>HYPERLINK(склад2въезд13192021[[#This Row],[RelativePath]])</f>
        <v>7 Площадка 2 бетонщики\K07156189_18_20251111T110810Z.jpg</v>
      </c>
    </row>
    <row r="9" spans="1:13" x14ac:dyDescent="0.25">
      <c r="A9" s="2" t="s">
        <v>14</v>
      </c>
      <c r="B9" s="4">
        <v>45972</v>
      </c>
      <c r="C9" s="5">
        <v>0.5084953703703704</v>
      </c>
      <c r="D9" t="s">
        <v>4</v>
      </c>
      <c r="E9" t="s">
        <v>19</v>
      </c>
      <c r="I9" t="s">
        <v>556</v>
      </c>
      <c r="J9" t="s">
        <v>2984</v>
      </c>
      <c r="K9" t="s">
        <v>557</v>
      </c>
      <c r="L9" t="s">
        <v>558</v>
      </c>
      <c r="M9" s="3" t="str">
        <f>HYPERLINK(склад2въезд13192021[[#This Row],[RelativePath]])</f>
        <v>7 Площадка 2 бетонщики\K07156189_18_20251111T121214Z.jpg</v>
      </c>
    </row>
    <row r="10" spans="1:13" x14ac:dyDescent="0.25">
      <c r="A10" s="2" t="s">
        <v>14</v>
      </c>
      <c r="B10" s="4">
        <v>45972</v>
      </c>
      <c r="C10" s="5">
        <v>0.5131134259259259</v>
      </c>
      <c r="D10" t="s">
        <v>648</v>
      </c>
      <c r="E10" t="s">
        <v>86</v>
      </c>
      <c r="F10" t="s">
        <v>528</v>
      </c>
      <c r="I10" t="s">
        <v>559</v>
      </c>
      <c r="J10" t="s">
        <v>2984</v>
      </c>
      <c r="K10" t="s">
        <v>560</v>
      </c>
      <c r="L10" t="s">
        <v>561</v>
      </c>
      <c r="M10" s="3" t="str">
        <f>HYPERLINK(склад2въезд13192021[[#This Row],[RelativePath]])</f>
        <v>7 Площадка 2 бетонщики\K07156189_18_20251111T121853Z.jpg</v>
      </c>
    </row>
    <row r="11" spans="1:13" x14ac:dyDescent="0.25">
      <c r="A11" s="2" t="s">
        <v>14</v>
      </c>
      <c r="B11" s="4">
        <v>45972</v>
      </c>
      <c r="C11" s="5">
        <v>0.62527777777777782</v>
      </c>
      <c r="D11" t="s">
        <v>4</v>
      </c>
      <c r="E11" t="s">
        <v>19</v>
      </c>
      <c r="I11" t="s">
        <v>562</v>
      </c>
      <c r="J11" t="s">
        <v>2984</v>
      </c>
      <c r="K11" t="s">
        <v>563</v>
      </c>
      <c r="L11" t="s">
        <v>564</v>
      </c>
      <c r="M11" s="3" t="str">
        <f>HYPERLINK(склад2въезд13192021[[#This Row],[RelativePath]])</f>
        <v>7 Площадка 2 бетонщики\K07156189_18_20251111T150024Z.jpg</v>
      </c>
    </row>
    <row r="12" spans="1:13" x14ac:dyDescent="0.25">
      <c r="A12" s="2" t="s">
        <v>14</v>
      </c>
      <c r="B12" s="4">
        <v>45972</v>
      </c>
      <c r="C12" s="5">
        <v>0.64299768518518519</v>
      </c>
      <c r="D12" t="s">
        <v>158</v>
      </c>
      <c r="E12" t="s">
        <v>86</v>
      </c>
      <c r="F12" t="s">
        <v>649</v>
      </c>
      <c r="I12" t="s">
        <v>565</v>
      </c>
      <c r="J12" t="s">
        <v>2984</v>
      </c>
      <c r="K12" t="s">
        <v>566</v>
      </c>
      <c r="L12" t="s">
        <v>567</v>
      </c>
      <c r="M12" s="3" t="str">
        <f>HYPERLINK(склад2въезд13192021[[#This Row],[RelativePath]])</f>
        <v>7 Площадка 2 бетонщики\K07156189_18_20251111T152555Z.jpg</v>
      </c>
    </row>
    <row r="13" spans="1:13" x14ac:dyDescent="0.25">
      <c r="A13" s="2" t="s">
        <v>14</v>
      </c>
      <c r="B13" s="4">
        <v>45972</v>
      </c>
      <c r="C13" s="5">
        <v>0.64696759259259262</v>
      </c>
      <c r="D13" t="s">
        <v>290</v>
      </c>
      <c r="E13" t="s">
        <v>86</v>
      </c>
      <c r="F13" t="s">
        <v>649</v>
      </c>
      <c r="I13" t="s">
        <v>568</v>
      </c>
      <c r="J13" t="s">
        <v>2984</v>
      </c>
      <c r="K13" t="s">
        <v>569</v>
      </c>
      <c r="L13" t="s">
        <v>570</v>
      </c>
      <c r="M13" s="3" t="str">
        <f>HYPERLINK(склад2въезд13192021[[#This Row],[RelativePath]])</f>
        <v>7 Площадка 2 бетонщики\K07156189_18_20251111T153138Z.jpg</v>
      </c>
    </row>
    <row r="14" spans="1:13" x14ac:dyDescent="0.25">
      <c r="A14" s="2" t="s">
        <v>14</v>
      </c>
      <c r="B14" s="4">
        <v>45972</v>
      </c>
      <c r="C14" s="5">
        <v>0.65789351851851852</v>
      </c>
      <c r="D14" t="s">
        <v>289</v>
      </c>
      <c r="E14" t="s">
        <v>86</v>
      </c>
      <c r="F14" t="s">
        <v>60</v>
      </c>
      <c r="G14">
        <v>2</v>
      </c>
      <c r="I14" t="s">
        <v>571</v>
      </c>
      <c r="J14" t="s">
        <v>2984</v>
      </c>
      <c r="K14" t="s">
        <v>572</v>
      </c>
      <c r="L14" t="s">
        <v>573</v>
      </c>
      <c r="M14" s="3" t="str">
        <f>HYPERLINK(склад2въезд13192021[[#This Row],[RelativePath]])</f>
        <v>7 Площадка 2 бетонщики\K07156189_18_20251111T154722Z.jpg</v>
      </c>
    </row>
    <row r="15" spans="1:13" x14ac:dyDescent="0.25">
      <c r="A15" s="2" t="s">
        <v>14</v>
      </c>
      <c r="B15" s="4">
        <v>45972</v>
      </c>
      <c r="C15" s="5">
        <v>0.65893518518518523</v>
      </c>
      <c r="D15" t="s">
        <v>650</v>
      </c>
      <c r="E15" t="s">
        <v>86</v>
      </c>
      <c r="F15" t="s">
        <v>60</v>
      </c>
      <c r="I15" t="s">
        <v>574</v>
      </c>
      <c r="J15" t="s">
        <v>2984</v>
      </c>
      <c r="K15" t="s">
        <v>575</v>
      </c>
      <c r="L15" t="s">
        <v>576</v>
      </c>
      <c r="M15" s="3" t="str">
        <f>HYPERLINK(склад2въезд13192021[[#This Row],[RelativePath]])</f>
        <v>7 Площадка 2 бетонщики\K07156189_18_20251111T154852Z.jpg</v>
      </c>
    </row>
    <row r="16" spans="1:13" x14ac:dyDescent="0.25">
      <c r="A16" s="2" t="s">
        <v>14</v>
      </c>
      <c r="B16" s="4">
        <v>45972</v>
      </c>
      <c r="C16" s="5">
        <v>0.66186342592592595</v>
      </c>
      <c r="D16" t="s">
        <v>4</v>
      </c>
      <c r="E16" t="s">
        <v>12</v>
      </c>
      <c r="I16" t="s">
        <v>577</v>
      </c>
      <c r="J16" t="s">
        <v>2984</v>
      </c>
      <c r="K16" t="s">
        <v>578</v>
      </c>
      <c r="L16" t="s">
        <v>579</v>
      </c>
      <c r="M16" s="3" t="str">
        <f>HYPERLINK(склад2въезд13192021[[#This Row],[RelativePath]])</f>
        <v>7 Площадка 2 бетонщики\K07156189_18_20251111T155305Z.jpg</v>
      </c>
    </row>
    <row r="17" spans="1:13" x14ac:dyDescent="0.25">
      <c r="A17" s="2" t="s">
        <v>14</v>
      </c>
      <c r="B17" s="4">
        <v>45972</v>
      </c>
      <c r="C17" s="5">
        <v>0.67924768518518519</v>
      </c>
      <c r="D17" t="s">
        <v>4</v>
      </c>
      <c r="E17" t="s">
        <v>651</v>
      </c>
      <c r="I17" t="s">
        <v>580</v>
      </c>
      <c r="J17" t="s">
        <v>2984</v>
      </c>
      <c r="K17" t="s">
        <v>581</v>
      </c>
      <c r="L17" t="s">
        <v>582</v>
      </c>
      <c r="M17" s="3" t="str">
        <f>HYPERLINK(склад2въезд13192021[[#This Row],[RelativePath]])</f>
        <v>7 Площадка 2 бетонщики\K07156189_18_20251111T161807Z.jpg</v>
      </c>
    </row>
    <row r="18" spans="1:13" x14ac:dyDescent="0.25">
      <c r="A18" s="2" t="s">
        <v>14</v>
      </c>
      <c r="B18" s="4">
        <v>45972</v>
      </c>
      <c r="C18" s="5">
        <v>0.73335648148148147</v>
      </c>
      <c r="D18" t="s">
        <v>4</v>
      </c>
      <c r="E18" t="s">
        <v>8</v>
      </c>
      <c r="H18" t="s">
        <v>6</v>
      </c>
      <c r="I18" t="s">
        <v>583</v>
      </c>
      <c r="J18" t="s">
        <v>2984</v>
      </c>
      <c r="K18" t="s">
        <v>584</v>
      </c>
      <c r="L18" t="s">
        <v>585</v>
      </c>
      <c r="M18" s="3" t="str">
        <f>HYPERLINK(склад2въезд13192021[[#This Row],[RelativePath]])</f>
        <v>7 Площадка 2 бетонщики\K07156189_18_20251111T173602Z.jpg</v>
      </c>
    </row>
    <row r="19" spans="1:13" x14ac:dyDescent="0.25">
      <c r="A19" s="2" t="s">
        <v>15</v>
      </c>
      <c r="B19" s="4">
        <v>45973</v>
      </c>
      <c r="C19" s="5">
        <v>0.46402777777777776</v>
      </c>
      <c r="D19" t="s">
        <v>4</v>
      </c>
      <c r="E19" t="s">
        <v>652</v>
      </c>
      <c r="I19" t="s">
        <v>586</v>
      </c>
      <c r="J19" t="s">
        <v>2984</v>
      </c>
      <c r="K19" t="s">
        <v>587</v>
      </c>
      <c r="L19" t="s">
        <v>588</v>
      </c>
      <c r="M19" s="3" t="str">
        <f>HYPERLINK(склад2въезд13192021[[#This Row],[RelativePath]])</f>
        <v>7 Площадка 2 бетонщики\K07156189_18_20251112T110812Z.jpg</v>
      </c>
    </row>
    <row r="20" spans="1:13" x14ac:dyDescent="0.25">
      <c r="A20" s="2" t="s">
        <v>15</v>
      </c>
      <c r="B20" s="4">
        <v>45973</v>
      </c>
      <c r="C20" s="5">
        <v>0.47149305555555554</v>
      </c>
      <c r="D20" t="s">
        <v>4</v>
      </c>
      <c r="E20" t="s">
        <v>652</v>
      </c>
      <c r="I20" t="s">
        <v>589</v>
      </c>
      <c r="J20" t="s">
        <v>2984</v>
      </c>
      <c r="K20" t="s">
        <v>590</v>
      </c>
      <c r="L20" t="s">
        <v>591</v>
      </c>
      <c r="M20" s="3" t="str">
        <f>HYPERLINK(склад2въезд13192021[[#This Row],[RelativePath]])</f>
        <v>7 Площадка 2 бетонщики\K07156189_18_20251112T111857Z.jpg</v>
      </c>
    </row>
    <row r="21" spans="1:13" x14ac:dyDescent="0.25">
      <c r="A21" s="2" t="s">
        <v>15</v>
      </c>
      <c r="B21" s="4">
        <v>45973</v>
      </c>
      <c r="C21" s="5">
        <v>0.47707175925925926</v>
      </c>
      <c r="D21" t="s">
        <v>4</v>
      </c>
      <c r="E21" t="s">
        <v>7</v>
      </c>
      <c r="I21" t="s">
        <v>592</v>
      </c>
      <c r="J21" t="s">
        <v>2984</v>
      </c>
      <c r="K21" t="s">
        <v>593</v>
      </c>
      <c r="L21" t="s">
        <v>594</v>
      </c>
      <c r="M21" s="3" t="str">
        <f>HYPERLINK(склад2въезд13192021[[#This Row],[RelativePath]])</f>
        <v>7 Площадка 2 бетонщики\K07156189_18_20251112T112659Z.jpg</v>
      </c>
    </row>
    <row r="22" spans="1:13" x14ac:dyDescent="0.25">
      <c r="A22" s="2" t="s">
        <v>15</v>
      </c>
      <c r="B22" s="4">
        <v>45973</v>
      </c>
      <c r="C22" s="5">
        <v>0.51817129629629632</v>
      </c>
      <c r="D22" t="s">
        <v>4</v>
      </c>
      <c r="E22" t="s">
        <v>652</v>
      </c>
      <c r="I22" t="s">
        <v>595</v>
      </c>
      <c r="J22" t="s">
        <v>2984</v>
      </c>
      <c r="K22" t="s">
        <v>596</v>
      </c>
      <c r="L22" t="s">
        <v>597</v>
      </c>
      <c r="M22" s="3" t="str">
        <f>HYPERLINK(склад2въезд13192021[[#This Row],[RelativePath]])</f>
        <v>7 Площадка 2 бетонщики\K07156189_18_20251112T122610Z.jpg</v>
      </c>
    </row>
    <row r="23" spans="1:13" x14ac:dyDescent="0.25">
      <c r="A23" s="2" t="s">
        <v>16</v>
      </c>
      <c r="B23" s="4">
        <v>45974</v>
      </c>
      <c r="C23" s="5">
        <v>0.34226851851851853</v>
      </c>
      <c r="D23" t="s">
        <v>4</v>
      </c>
      <c r="E23" t="s">
        <v>8</v>
      </c>
      <c r="H23" t="s">
        <v>5</v>
      </c>
      <c r="I23" t="s">
        <v>598</v>
      </c>
      <c r="J23" t="s">
        <v>2984</v>
      </c>
      <c r="K23" t="s">
        <v>599</v>
      </c>
      <c r="L23" t="s">
        <v>600</v>
      </c>
      <c r="M23" s="3" t="str">
        <f>HYPERLINK(склад2въезд13192021[[#This Row],[RelativePath]])</f>
        <v>7 Площадка 2 бетонщики\K07156189_18_20251113T081252Z.jpg</v>
      </c>
    </row>
    <row r="24" spans="1:13" x14ac:dyDescent="0.25">
      <c r="A24" s="2" t="s">
        <v>16</v>
      </c>
      <c r="B24" s="4">
        <v>45974</v>
      </c>
      <c r="C24" s="5">
        <v>0.39884259259259258</v>
      </c>
      <c r="D24" t="s">
        <v>4</v>
      </c>
      <c r="E24" t="s">
        <v>652</v>
      </c>
      <c r="I24" t="s">
        <v>601</v>
      </c>
      <c r="J24" t="s">
        <v>2984</v>
      </c>
      <c r="K24" t="s">
        <v>602</v>
      </c>
      <c r="L24" t="s">
        <v>266</v>
      </c>
      <c r="M24" s="3" t="str">
        <f>HYPERLINK(склад2въезд13192021[[#This Row],[RelativePath]])</f>
        <v>7 Площадка 2 бетонщики\K07156189_18_20251113T093420Z.jpg</v>
      </c>
    </row>
    <row r="25" spans="1:13" x14ac:dyDescent="0.25">
      <c r="A25" s="2" t="s">
        <v>16</v>
      </c>
      <c r="B25" s="4">
        <v>45974</v>
      </c>
      <c r="C25" s="5">
        <v>0.4538773148148148</v>
      </c>
      <c r="D25" t="s">
        <v>4</v>
      </c>
      <c r="E25" t="s">
        <v>7</v>
      </c>
      <c r="I25" t="s">
        <v>603</v>
      </c>
      <c r="J25" t="s">
        <v>2984</v>
      </c>
      <c r="K25" t="s">
        <v>604</v>
      </c>
      <c r="L25" t="s">
        <v>605</v>
      </c>
      <c r="M25" s="3" t="str">
        <f>HYPERLINK(склад2въезд13192021[[#This Row],[RelativePath]])</f>
        <v>7 Площадка 2 бетонщики\K07156189_18_20251113T105335Z.jpg</v>
      </c>
    </row>
    <row r="26" spans="1:13" x14ac:dyDescent="0.25">
      <c r="A26" s="2" t="s">
        <v>16</v>
      </c>
      <c r="B26" s="4">
        <v>45974</v>
      </c>
      <c r="C26" s="5">
        <v>0.50568287037037041</v>
      </c>
      <c r="D26" t="s">
        <v>4</v>
      </c>
      <c r="E26" t="s">
        <v>7</v>
      </c>
      <c r="I26" t="s">
        <v>606</v>
      </c>
      <c r="J26" t="s">
        <v>2984</v>
      </c>
      <c r="K26" t="s">
        <v>607</v>
      </c>
      <c r="L26" t="s">
        <v>608</v>
      </c>
      <c r="M26" s="3" t="str">
        <f>HYPERLINK(склад2въезд13192021[[#This Row],[RelativePath]])</f>
        <v>7 Площадка 2 бетонщики\K07156189_18_20251113T120811Z.jpg</v>
      </c>
    </row>
    <row r="27" spans="1:13" x14ac:dyDescent="0.25">
      <c r="A27" s="2" t="s">
        <v>16</v>
      </c>
      <c r="B27" s="4">
        <v>45974</v>
      </c>
      <c r="C27" s="5">
        <v>0.62601851851851853</v>
      </c>
      <c r="D27" t="s">
        <v>4</v>
      </c>
      <c r="E27" t="s">
        <v>652</v>
      </c>
      <c r="I27" t="s">
        <v>609</v>
      </c>
      <c r="J27" t="s">
        <v>2984</v>
      </c>
      <c r="K27" t="s">
        <v>610</v>
      </c>
      <c r="L27" t="s">
        <v>611</v>
      </c>
      <c r="M27" s="3" t="str">
        <f>HYPERLINK(склад2въезд13192021[[#This Row],[RelativePath]])</f>
        <v>7 Площадка 2 бетонщики\K07156189_18_20251113T150128Z.jpg</v>
      </c>
    </row>
    <row r="28" spans="1:13" x14ac:dyDescent="0.25">
      <c r="A28" s="2" t="s">
        <v>16</v>
      </c>
      <c r="B28" s="4">
        <v>45974</v>
      </c>
      <c r="C28" s="5">
        <v>0.66766203703703708</v>
      </c>
      <c r="D28" t="s">
        <v>4</v>
      </c>
      <c r="E28" t="s">
        <v>652</v>
      </c>
      <c r="I28" t="s">
        <v>612</v>
      </c>
      <c r="J28" t="s">
        <v>2984</v>
      </c>
      <c r="K28" t="s">
        <v>613</v>
      </c>
      <c r="L28" t="s">
        <v>614</v>
      </c>
      <c r="M28" s="3" t="str">
        <f>HYPERLINK(склад2въезд13192021[[#This Row],[RelativePath]])</f>
        <v>7 Площадка 2 бетонщики\K07156189_18_20251113T160126Z.jpg</v>
      </c>
    </row>
    <row r="29" spans="1:13" x14ac:dyDescent="0.25">
      <c r="A29" s="2" t="s">
        <v>16</v>
      </c>
      <c r="B29" s="4">
        <v>45974</v>
      </c>
      <c r="C29" s="5">
        <v>0.703587962962963</v>
      </c>
      <c r="D29" t="s">
        <v>4</v>
      </c>
      <c r="E29" t="s">
        <v>8</v>
      </c>
      <c r="H29" t="s">
        <v>6</v>
      </c>
      <c r="I29" t="s">
        <v>615</v>
      </c>
      <c r="J29" t="s">
        <v>2984</v>
      </c>
      <c r="K29" t="s">
        <v>616</v>
      </c>
      <c r="L29" t="s">
        <v>617</v>
      </c>
      <c r="M29" s="3" t="str">
        <f>HYPERLINK(склад2въезд13192021[[#This Row],[RelativePath]])</f>
        <v>7 Площадка 2 бетонщики\K07156189_18_20251113T165310Z.jpg</v>
      </c>
    </row>
    <row r="30" spans="1:13" x14ac:dyDescent="0.25">
      <c r="A30" s="2" t="s">
        <v>17</v>
      </c>
      <c r="B30" s="4">
        <v>45975</v>
      </c>
      <c r="C30" s="5">
        <v>0.39708333333333334</v>
      </c>
      <c r="D30" t="s">
        <v>4</v>
      </c>
      <c r="E30" t="s">
        <v>12</v>
      </c>
      <c r="I30" t="s">
        <v>618</v>
      </c>
      <c r="J30" t="s">
        <v>2984</v>
      </c>
      <c r="K30" t="s">
        <v>619</v>
      </c>
      <c r="L30" t="s">
        <v>620</v>
      </c>
      <c r="M30" s="3" t="str">
        <f>HYPERLINK(склад2въезд13192021[[#This Row],[RelativePath]])</f>
        <v>7 Площадка 2 бетонщики\K134160575_1_20251114T093148Z.jpg</v>
      </c>
    </row>
    <row r="31" spans="1:13" x14ac:dyDescent="0.25">
      <c r="A31" s="2" t="s">
        <v>17</v>
      </c>
      <c r="B31" s="4">
        <v>45975</v>
      </c>
      <c r="C31" s="5">
        <v>0.47876157407407405</v>
      </c>
      <c r="D31" t="s">
        <v>4</v>
      </c>
      <c r="E31" t="s">
        <v>11</v>
      </c>
      <c r="I31" t="s">
        <v>621</v>
      </c>
      <c r="J31" t="s">
        <v>2984</v>
      </c>
      <c r="K31" t="s">
        <v>622</v>
      </c>
      <c r="L31" t="s">
        <v>623</v>
      </c>
      <c r="M31" s="3" t="str">
        <f>HYPERLINK(склад2въезд13192021[[#This Row],[RelativePath]])</f>
        <v>7 Площадка 2 бетонщики\K134160575_1_20251114T112925Z.jpg</v>
      </c>
    </row>
    <row r="32" spans="1:13" x14ac:dyDescent="0.25">
      <c r="A32" s="2" t="s">
        <v>17</v>
      </c>
      <c r="B32" s="4">
        <v>45975</v>
      </c>
      <c r="C32" s="5">
        <v>0.48321759259259262</v>
      </c>
      <c r="D32" t="s">
        <v>4</v>
      </c>
      <c r="E32" t="s">
        <v>11</v>
      </c>
      <c r="I32" t="s">
        <v>624</v>
      </c>
      <c r="J32" t="s">
        <v>2984</v>
      </c>
      <c r="K32" t="s">
        <v>625</v>
      </c>
      <c r="L32" t="s">
        <v>626</v>
      </c>
      <c r="M32" s="3" t="str">
        <f>HYPERLINK(склад2въезд13192021[[#This Row],[RelativePath]])</f>
        <v>7 Площадка 2 бетонщики\K134160575_1_20251114T113550Z.jpg</v>
      </c>
    </row>
    <row r="33" spans="1:13" x14ac:dyDescent="0.25">
      <c r="A33" s="2" t="s">
        <v>17</v>
      </c>
      <c r="B33" s="4">
        <v>45975</v>
      </c>
      <c r="C33" s="5">
        <v>0.49519675925925927</v>
      </c>
      <c r="D33" t="s">
        <v>289</v>
      </c>
      <c r="E33" t="s">
        <v>86</v>
      </c>
      <c r="F33" t="s">
        <v>60</v>
      </c>
      <c r="G33">
        <v>1</v>
      </c>
      <c r="I33" t="s">
        <v>627</v>
      </c>
      <c r="J33" t="s">
        <v>2984</v>
      </c>
      <c r="K33" t="s">
        <v>628</v>
      </c>
      <c r="L33" t="s">
        <v>629</v>
      </c>
      <c r="M33" s="3" t="str">
        <f>HYPERLINK(склад2въезд13192021[[#This Row],[RelativePath]])</f>
        <v>7 Площадка 2 бетонщики\K134160575_1_20251114T115305Z.jpg</v>
      </c>
    </row>
    <row r="34" spans="1:13" x14ac:dyDescent="0.25">
      <c r="A34" s="2" t="s">
        <v>17</v>
      </c>
      <c r="B34" s="4">
        <v>45975</v>
      </c>
      <c r="C34" s="5">
        <v>0.51288194444444446</v>
      </c>
      <c r="D34" t="s">
        <v>653</v>
      </c>
      <c r="E34" t="s">
        <v>86</v>
      </c>
      <c r="F34" t="s">
        <v>200</v>
      </c>
      <c r="I34" t="s">
        <v>630</v>
      </c>
      <c r="J34" t="s">
        <v>2984</v>
      </c>
      <c r="K34" t="s">
        <v>631</v>
      </c>
      <c r="L34" t="s">
        <v>632</v>
      </c>
      <c r="M34" s="3" t="str">
        <f>HYPERLINK(склад2въезд13192021[[#This Row],[RelativePath]])</f>
        <v>7 Площадка 2 бетонщики\K134160575_1_20251114T121833Z.jpg</v>
      </c>
    </row>
    <row r="35" spans="1:13" x14ac:dyDescent="0.25">
      <c r="A35" s="2" t="s">
        <v>17</v>
      </c>
      <c r="B35" s="4">
        <v>45975</v>
      </c>
      <c r="C35" s="5">
        <v>0.51481481481481484</v>
      </c>
      <c r="D35" t="s">
        <v>650</v>
      </c>
      <c r="E35" t="s">
        <v>86</v>
      </c>
      <c r="F35" t="s">
        <v>200</v>
      </c>
      <c r="I35" t="s">
        <v>633</v>
      </c>
      <c r="J35" t="s">
        <v>2984</v>
      </c>
      <c r="K35" t="s">
        <v>634</v>
      </c>
      <c r="L35" t="s">
        <v>635</v>
      </c>
      <c r="M35" s="3" t="str">
        <f>HYPERLINK(склад2въезд13192021[[#This Row],[RelativePath]])</f>
        <v>7 Площадка 2 бетонщики\K134160575_1_20251114T122120Z.jpg</v>
      </c>
    </row>
    <row r="36" spans="1:13" x14ac:dyDescent="0.25">
      <c r="A36" s="2" t="s">
        <v>17</v>
      </c>
      <c r="B36" s="4">
        <v>45975</v>
      </c>
      <c r="C36" s="5">
        <v>0.52119212962962957</v>
      </c>
      <c r="D36" t="s">
        <v>289</v>
      </c>
      <c r="E36" t="s">
        <v>86</v>
      </c>
      <c r="F36" t="s">
        <v>200</v>
      </c>
      <c r="I36" t="s">
        <v>636</v>
      </c>
      <c r="J36" t="s">
        <v>2984</v>
      </c>
      <c r="K36" t="s">
        <v>637</v>
      </c>
      <c r="L36" t="s">
        <v>638</v>
      </c>
      <c r="M36" s="3" t="str">
        <f>HYPERLINK(склад2въезд13192021[[#This Row],[RelativePath]])</f>
        <v>7 Площадка 2 бетонщики\K134160575_1_20251114T123031Z.jpg</v>
      </c>
    </row>
    <row r="37" spans="1:13" x14ac:dyDescent="0.25">
      <c r="A37" s="2" t="s">
        <v>17</v>
      </c>
      <c r="B37" s="4">
        <v>45975</v>
      </c>
      <c r="C37" s="5">
        <v>0.52820601851851856</v>
      </c>
      <c r="D37" t="s">
        <v>650</v>
      </c>
      <c r="E37" t="s">
        <v>86</v>
      </c>
      <c r="F37" t="s">
        <v>200</v>
      </c>
      <c r="I37" t="s">
        <v>639</v>
      </c>
      <c r="J37" t="s">
        <v>2984</v>
      </c>
      <c r="K37" t="s">
        <v>640</v>
      </c>
      <c r="L37" t="s">
        <v>641</v>
      </c>
      <c r="M37" s="3" t="str">
        <f>HYPERLINK(склад2въезд13192021[[#This Row],[RelativePath]])</f>
        <v>7 Площадка 2 бетонщики\K134160575_1_20251114T124037Z.jpg</v>
      </c>
    </row>
    <row r="38" spans="1:13" x14ac:dyDescent="0.25">
      <c r="A38" s="2" t="s">
        <v>17</v>
      </c>
      <c r="B38" s="4">
        <v>45975</v>
      </c>
      <c r="C38" s="5">
        <v>0.60206018518518523</v>
      </c>
      <c r="D38" t="s">
        <v>4</v>
      </c>
      <c r="E38" t="s">
        <v>11</v>
      </c>
      <c r="I38" t="s">
        <v>642</v>
      </c>
      <c r="J38" t="s">
        <v>2984</v>
      </c>
      <c r="K38" t="s">
        <v>643</v>
      </c>
      <c r="L38" t="s">
        <v>644</v>
      </c>
      <c r="M38" s="3" t="str">
        <f>HYPERLINK(склад2въезд13192021[[#This Row],[RelativePath]])</f>
        <v>7 Площадка 2 бетонщики\K134160575_1_20251114T142658Z.jpg</v>
      </c>
    </row>
    <row r="39" spans="1:13" x14ac:dyDescent="0.25">
      <c r="A39" s="2" t="s">
        <v>17</v>
      </c>
      <c r="B39" s="4">
        <v>45975</v>
      </c>
      <c r="C39" s="5">
        <v>0.72811342592592587</v>
      </c>
      <c r="D39" t="s">
        <v>4</v>
      </c>
      <c r="E39" t="s">
        <v>8</v>
      </c>
      <c r="H39" t="s">
        <v>6</v>
      </c>
      <c r="I39" t="s">
        <v>645</v>
      </c>
      <c r="J39" t="s">
        <v>2984</v>
      </c>
      <c r="K39" t="s">
        <v>646</v>
      </c>
      <c r="L39" t="s">
        <v>647</v>
      </c>
      <c r="M39" s="3" t="str">
        <f>HYPERLINK(склад2въезд13192021[[#This Row],[RelativePath]])</f>
        <v>7 Площадка 2 бетонщики\K134160575_1_20251114T172829Z.jpg</v>
      </c>
    </row>
    <row r="40" spans="1:13" x14ac:dyDescent="0.25">
      <c r="A40" s="2" t="s">
        <v>18</v>
      </c>
      <c r="B40" s="4">
        <v>45976</v>
      </c>
      <c r="C40" s="5">
        <v>0.35386574074074073</v>
      </c>
      <c r="D40" t="s">
        <v>4</v>
      </c>
      <c r="E40" t="s">
        <v>8</v>
      </c>
      <c r="I40" t="s">
        <v>1115</v>
      </c>
      <c r="J40" t="s">
        <v>2984</v>
      </c>
      <c r="K40" t="s">
        <v>1116</v>
      </c>
      <c r="L40" t="s">
        <v>1117</v>
      </c>
      <c r="M40" s="3" t="str">
        <f>HYPERLINK(склад2въезд13192021[[#This Row],[RelativePath]])</f>
        <v>7 Площадка 2 бетонщики\K07156189_18_20251115T082934Z.jpg</v>
      </c>
    </row>
    <row r="41" spans="1:13" x14ac:dyDescent="0.25">
      <c r="A41" s="2" t="s">
        <v>18</v>
      </c>
      <c r="B41" s="4">
        <v>45976</v>
      </c>
      <c r="C41" s="5">
        <v>0.57975694444444448</v>
      </c>
      <c r="D41" t="s">
        <v>4</v>
      </c>
      <c r="E41" t="s">
        <v>8</v>
      </c>
      <c r="H41" t="s">
        <v>2004</v>
      </c>
      <c r="I41" t="s">
        <v>1118</v>
      </c>
      <c r="J41" t="s">
        <v>2984</v>
      </c>
      <c r="K41" t="s">
        <v>1119</v>
      </c>
      <c r="L41" t="s">
        <v>1120</v>
      </c>
      <c r="M41" s="3" t="str">
        <f>HYPERLINK(склад2въезд13192021[[#This Row],[RelativePath]])</f>
        <v>7 Площадка 2 бетонщики\K07156189_18_20251115T135451Z.jpg</v>
      </c>
    </row>
    <row r="42" spans="1:13" x14ac:dyDescent="0.25">
      <c r="A42" s="2" t="s">
        <v>18</v>
      </c>
      <c r="B42" s="4">
        <v>45976</v>
      </c>
      <c r="C42" s="5">
        <v>0.73229166666666667</v>
      </c>
      <c r="D42" t="s">
        <v>4</v>
      </c>
      <c r="E42" t="s">
        <v>8</v>
      </c>
      <c r="I42" t="s">
        <v>1121</v>
      </c>
      <c r="J42" t="s">
        <v>2984</v>
      </c>
      <c r="K42" t="s">
        <v>1122</v>
      </c>
      <c r="L42" t="s">
        <v>1123</v>
      </c>
      <c r="M42" s="3" t="str">
        <f>HYPERLINK(склад2въезд13192021[[#This Row],[RelativePath]])</f>
        <v>7 Площадка 2 бетонщики\K07156189_18_20251115T173430Z.jpg</v>
      </c>
    </row>
    <row r="43" spans="1:13" x14ac:dyDescent="0.25">
      <c r="A43" s="2" t="s">
        <v>22</v>
      </c>
      <c r="B43" s="4">
        <v>45977</v>
      </c>
      <c r="C43" s="5">
        <v>0.36768518518518517</v>
      </c>
      <c r="D43" t="s">
        <v>4</v>
      </c>
      <c r="E43" t="s">
        <v>8</v>
      </c>
      <c r="H43" t="s">
        <v>2004</v>
      </c>
      <c r="I43" t="s">
        <v>1124</v>
      </c>
      <c r="J43" t="s">
        <v>2984</v>
      </c>
      <c r="K43" t="s">
        <v>1125</v>
      </c>
      <c r="L43" t="s">
        <v>1126</v>
      </c>
      <c r="M43" s="3" t="str">
        <f>HYPERLINK(склад2въезд13192021[[#This Row],[RelativePath]])</f>
        <v>7 Площадка 2 бетонщики\K07156189_18_20251116T084928Z.jpg</v>
      </c>
    </row>
    <row r="44" spans="1:13" x14ac:dyDescent="0.25">
      <c r="A44" s="2" t="s">
        <v>22</v>
      </c>
      <c r="B44" s="4">
        <v>45977</v>
      </c>
      <c r="C44" s="5">
        <v>0.67076388888888894</v>
      </c>
      <c r="D44" t="s">
        <v>4</v>
      </c>
      <c r="E44" t="s">
        <v>8</v>
      </c>
      <c r="I44" t="s">
        <v>1127</v>
      </c>
      <c r="J44" t="s">
        <v>2984</v>
      </c>
      <c r="K44" t="s">
        <v>1128</v>
      </c>
      <c r="L44" t="s">
        <v>1129</v>
      </c>
      <c r="M44" s="3" t="str">
        <f>HYPERLINK(склад2въезд13192021[[#This Row],[RelativePath]])</f>
        <v>7 Площадка 2 бетонщики\K07156189_18_20251116T160554Z.jpg</v>
      </c>
    </row>
    <row r="45" spans="1:13" x14ac:dyDescent="0.25">
      <c r="A45" s="2" t="s">
        <v>13</v>
      </c>
      <c r="B45" s="4">
        <v>45978</v>
      </c>
      <c r="C45" s="5">
        <v>0.43027777777777776</v>
      </c>
      <c r="D45" t="s">
        <v>11</v>
      </c>
      <c r="I45" t="s">
        <v>2154</v>
      </c>
      <c r="J45" t="s">
        <v>2984</v>
      </c>
      <c r="K45" t="s">
        <v>2155</v>
      </c>
      <c r="L45" t="s">
        <v>2156</v>
      </c>
      <c r="M45" s="3" t="str">
        <f>HYPERLINK(склад2въезд13192021[[#This Row],[RelativePath]])</f>
        <v>7 Площадка 2 бетонщики\K07156189_18_20251117T101936Z.jpg</v>
      </c>
    </row>
    <row r="46" spans="1:13" x14ac:dyDescent="0.25">
      <c r="A46" s="2" t="s">
        <v>13</v>
      </c>
      <c r="B46" s="4">
        <v>45978</v>
      </c>
      <c r="C46" s="5">
        <v>0.46583333333333332</v>
      </c>
      <c r="D46" t="s">
        <v>11</v>
      </c>
      <c r="I46" t="s">
        <v>2157</v>
      </c>
      <c r="J46" t="s">
        <v>2984</v>
      </c>
      <c r="K46" t="s">
        <v>2158</v>
      </c>
      <c r="L46" t="s">
        <v>2159</v>
      </c>
      <c r="M46" s="3" t="str">
        <f>HYPERLINK(склад2въезд13192021[[#This Row],[RelativePath]])</f>
        <v>7 Площадка 2 бетонщики\K07156189_18_20251117T111048Z.jpg</v>
      </c>
    </row>
    <row r="47" spans="1:13" x14ac:dyDescent="0.25">
      <c r="A47" s="2" t="s">
        <v>13</v>
      </c>
      <c r="B47" s="4">
        <v>45978</v>
      </c>
      <c r="C47" s="5">
        <v>0.49204861111111109</v>
      </c>
      <c r="D47" t="s">
        <v>11</v>
      </c>
      <c r="I47" t="s">
        <v>2160</v>
      </c>
      <c r="J47" t="s">
        <v>2984</v>
      </c>
      <c r="K47" t="s">
        <v>2161</v>
      </c>
      <c r="L47" t="s">
        <v>2162</v>
      </c>
      <c r="M47" s="3" t="str">
        <f>HYPERLINK(склад2въезд13192021[[#This Row],[RelativePath]])</f>
        <v>7 Площадка 2 бетонщики\K07156189_18_20251117T114833Z.jpg</v>
      </c>
    </row>
    <row r="48" spans="1:13" x14ac:dyDescent="0.25">
      <c r="A48" s="2" t="s">
        <v>13</v>
      </c>
      <c r="B48" s="4">
        <v>45978</v>
      </c>
      <c r="C48" s="5">
        <v>0.51048611111111108</v>
      </c>
      <c r="D48" t="s">
        <v>11</v>
      </c>
      <c r="I48" t="s">
        <v>2163</v>
      </c>
      <c r="J48" t="s">
        <v>2984</v>
      </c>
      <c r="K48" t="s">
        <v>2164</v>
      </c>
      <c r="L48" t="s">
        <v>2165</v>
      </c>
      <c r="M48" s="3" t="str">
        <f>HYPERLINK(склад2въезд13192021[[#This Row],[RelativePath]])</f>
        <v>7 Площадка 2 бетонщики\K07156189_18_20251117T121506Z.jpg</v>
      </c>
    </row>
    <row r="49" spans="1:13" x14ac:dyDescent="0.25">
      <c r="A49" s="2" t="s">
        <v>13</v>
      </c>
      <c r="B49" s="4">
        <v>45978</v>
      </c>
      <c r="C49" s="5">
        <v>0.51509259259259255</v>
      </c>
      <c r="D49" t="s">
        <v>11</v>
      </c>
      <c r="I49" t="s">
        <v>2166</v>
      </c>
      <c r="J49" t="s">
        <v>2984</v>
      </c>
      <c r="K49" t="s">
        <v>2167</v>
      </c>
      <c r="L49" t="s">
        <v>2168</v>
      </c>
      <c r="M49" s="3" t="str">
        <f>HYPERLINK(склад2въезд13192021[[#This Row],[RelativePath]])</f>
        <v>7 Площадка 2 бетонщики\K07156189_18_20251117T122144Z.jpg</v>
      </c>
    </row>
    <row r="50" spans="1:13" x14ac:dyDescent="0.25">
      <c r="A50" s="2" t="s">
        <v>13</v>
      </c>
      <c r="B50" s="4">
        <v>45978</v>
      </c>
      <c r="C50" s="5">
        <v>0.51950231481481479</v>
      </c>
      <c r="D50" t="s">
        <v>11</v>
      </c>
      <c r="I50" t="s">
        <v>2169</v>
      </c>
      <c r="J50" t="s">
        <v>2984</v>
      </c>
      <c r="K50" t="s">
        <v>2170</v>
      </c>
      <c r="L50" t="s">
        <v>2171</v>
      </c>
      <c r="M50" s="3" t="str">
        <f>HYPERLINK(склад2въезд13192021[[#This Row],[RelativePath]])</f>
        <v>7 Площадка 2 бетонщики\K07156189_18_20251117T122805Z.jpg</v>
      </c>
    </row>
    <row r="51" spans="1:13" x14ac:dyDescent="0.25">
      <c r="A51" s="2" t="s">
        <v>13</v>
      </c>
      <c r="B51" s="4">
        <v>45978</v>
      </c>
      <c r="C51" s="5">
        <v>0.59406250000000005</v>
      </c>
      <c r="D51" t="s">
        <v>11</v>
      </c>
      <c r="I51" t="s">
        <v>2172</v>
      </c>
      <c r="J51" t="s">
        <v>2984</v>
      </c>
      <c r="K51" t="s">
        <v>2173</v>
      </c>
      <c r="L51" t="s">
        <v>2174</v>
      </c>
      <c r="M51" s="3" t="str">
        <f>HYPERLINK(склад2въезд13192021[[#This Row],[RelativePath]])</f>
        <v>7 Площадка 2 бетонщики\K07156189_18_20251117T141527Z.jpg</v>
      </c>
    </row>
    <row r="52" spans="1:13" x14ac:dyDescent="0.25">
      <c r="A52" s="2" t="s">
        <v>13</v>
      </c>
      <c r="B52" s="4">
        <v>45978</v>
      </c>
      <c r="C52" s="5">
        <v>0.66373842592592591</v>
      </c>
      <c r="D52" t="s">
        <v>11</v>
      </c>
      <c r="I52" t="s">
        <v>2175</v>
      </c>
      <c r="J52" t="s">
        <v>2984</v>
      </c>
      <c r="K52" t="s">
        <v>2176</v>
      </c>
      <c r="L52" t="s">
        <v>2177</v>
      </c>
      <c r="M52" s="3" t="str">
        <f>HYPERLINK(склад2въезд13192021[[#This Row],[RelativePath]])</f>
        <v>7 Площадка 2 бетонщики\K07156189_18_20251117T155547Z.jpg</v>
      </c>
    </row>
    <row r="53" spans="1:13" x14ac:dyDescent="0.25">
      <c r="A53" s="2" t="s">
        <v>13</v>
      </c>
      <c r="B53" s="4">
        <v>45978</v>
      </c>
      <c r="C53" s="5">
        <v>0.69256944444444446</v>
      </c>
      <c r="D53" t="s">
        <v>11</v>
      </c>
      <c r="I53" t="s">
        <v>2178</v>
      </c>
      <c r="J53" t="s">
        <v>2984</v>
      </c>
      <c r="K53" t="s">
        <v>2179</v>
      </c>
      <c r="L53" t="s">
        <v>2180</v>
      </c>
      <c r="M53" s="3" t="str">
        <f>HYPERLINK(склад2въезд13192021[[#This Row],[RelativePath]])</f>
        <v>7 Площадка 2 бетонщики\K07156189_18_20251117T163718Z.jpg</v>
      </c>
    </row>
    <row r="54" spans="1:13" x14ac:dyDescent="0.25">
      <c r="A54" s="2" t="s">
        <v>13</v>
      </c>
      <c r="B54" s="4">
        <v>45978</v>
      </c>
      <c r="C54" s="5">
        <v>0.70740740740740737</v>
      </c>
      <c r="D54" t="s">
        <v>4</v>
      </c>
      <c r="E54" t="s">
        <v>8</v>
      </c>
      <c r="H54" t="s">
        <v>1625</v>
      </c>
      <c r="I54" t="s">
        <v>2181</v>
      </c>
      <c r="J54" t="s">
        <v>2984</v>
      </c>
      <c r="K54" t="s">
        <v>2182</v>
      </c>
      <c r="L54" t="s">
        <v>2183</v>
      </c>
      <c r="M54" s="3" t="str">
        <f>HYPERLINK(склад2въезд13192021[[#This Row],[RelativePath]])</f>
        <v>7 Площадка 2 бетонщики\K07156189_18_20251117T165840Z.jpg</v>
      </c>
    </row>
    <row r="55" spans="1:13" x14ac:dyDescent="0.25">
      <c r="A55" s="2" t="s">
        <v>14</v>
      </c>
      <c r="B55" s="4">
        <v>45979</v>
      </c>
      <c r="C55" s="5">
        <v>0.40092592592592591</v>
      </c>
      <c r="D55" t="s">
        <v>11</v>
      </c>
      <c r="I55" t="s">
        <v>2184</v>
      </c>
      <c r="J55" t="s">
        <v>2984</v>
      </c>
      <c r="K55" t="s">
        <v>2185</v>
      </c>
      <c r="L55" t="s">
        <v>2186</v>
      </c>
      <c r="M55" s="3" t="str">
        <f>HYPERLINK(склад2въезд13192021[[#This Row],[RelativePath]])</f>
        <v>7 Площадка 2 бетонщики\K07156189_18_20251118T093720Z.jpg</v>
      </c>
    </row>
    <row r="56" spans="1:13" x14ac:dyDescent="0.25">
      <c r="A56" s="2" t="s">
        <v>14</v>
      </c>
      <c r="B56" s="4">
        <v>45979</v>
      </c>
      <c r="C56" s="5">
        <v>0.40392361111111114</v>
      </c>
      <c r="D56" t="s">
        <v>11</v>
      </c>
      <c r="I56" t="s">
        <v>2187</v>
      </c>
      <c r="J56" t="s">
        <v>2984</v>
      </c>
      <c r="K56" t="s">
        <v>2188</v>
      </c>
      <c r="L56" t="s">
        <v>2189</v>
      </c>
      <c r="M56" s="3" t="str">
        <f>HYPERLINK(склад2въезд13192021[[#This Row],[RelativePath]])</f>
        <v>7 Площадка 2 бетонщики\K07156189_18_20251118T094139Z.jpg</v>
      </c>
    </row>
    <row r="57" spans="1:13" x14ac:dyDescent="0.25">
      <c r="A57" s="2" t="s">
        <v>14</v>
      </c>
      <c r="B57" s="4">
        <v>45979</v>
      </c>
      <c r="C57" s="5">
        <v>0.41547453703703702</v>
      </c>
      <c r="D57" t="s">
        <v>11</v>
      </c>
      <c r="I57" t="s">
        <v>2190</v>
      </c>
      <c r="J57" t="s">
        <v>2984</v>
      </c>
      <c r="K57" t="s">
        <v>2191</v>
      </c>
      <c r="L57" t="s">
        <v>2192</v>
      </c>
      <c r="M57" s="3" t="str">
        <f>HYPERLINK(склад2въезд13192021[[#This Row],[RelativePath]])</f>
        <v>7 Площадка 2 бетонщики\K07156189_18_20251118T095817Z.jpg</v>
      </c>
    </row>
    <row r="58" spans="1:13" x14ac:dyDescent="0.25">
      <c r="A58" s="2" t="s">
        <v>14</v>
      </c>
      <c r="B58" s="4">
        <v>45979</v>
      </c>
      <c r="C58" s="5">
        <v>0.42378472222222224</v>
      </c>
      <c r="D58" t="s">
        <v>11</v>
      </c>
      <c r="I58" t="s">
        <v>2193</v>
      </c>
      <c r="J58" t="s">
        <v>2984</v>
      </c>
      <c r="K58" t="s">
        <v>2194</v>
      </c>
      <c r="L58" t="s">
        <v>2195</v>
      </c>
      <c r="M58" s="3" t="str">
        <f>HYPERLINK(склад2въезд13192021[[#This Row],[RelativePath]])</f>
        <v>7 Площадка 2 бетонщики\K07156189_18_20251118T101015Z.jpg</v>
      </c>
    </row>
    <row r="59" spans="1:13" x14ac:dyDescent="0.25">
      <c r="A59" s="2" t="s">
        <v>14</v>
      </c>
      <c r="B59" s="4">
        <v>45979</v>
      </c>
      <c r="C59" s="5">
        <v>0.45045138888888892</v>
      </c>
      <c r="D59" t="s">
        <v>11</v>
      </c>
      <c r="I59" t="s">
        <v>2196</v>
      </c>
      <c r="J59" t="s">
        <v>2984</v>
      </c>
      <c r="K59" t="s">
        <v>2197</v>
      </c>
      <c r="L59" t="s">
        <v>2198</v>
      </c>
      <c r="M59" s="3" t="str">
        <f>HYPERLINK(склад2въезд13192021[[#This Row],[RelativePath]])</f>
        <v>7 Площадка 2 бетонщики\K07156189_18_20251118T104839Z.jpg</v>
      </c>
    </row>
    <row r="60" spans="1:13" x14ac:dyDescent="0.25">
      <c r="A60" s="2" t="s">
        <v>14</v>
      </c>
      <c r="B60" s="4">
        <v>45979</v>
      </c>
      <c r="C60" s="5">
        <v>0.46418981481481481</v>
      </c>
      <c r="D60" t="s">
        <v>11</v>
      </c>
      <c r="I60" t="s">
        <v>2199</v>
      </c>
      <c r="J60" t="s">
        <v>2984</v>
      </c>
      <c r="K60" t="s">
        <v>2200</v>
      </c>
      <c r="L60" t="s">
        <v>2201</v>
      </c>
      <c r="M60" s="3" t="str">
        <f>HYPERLINK(склад2въезд13192021[[#This Row],[RelativePath]])</f>
        <v>7 Площадка 2 бетонщики\K07156189_18_20251118T110826Z.jpg</v>
      </c>
    </row>
    <row r="61" spans="1:13" x14ac:dyDescent="0.25">
      <c r="A61" s="2" t="s">
        <v>14</v>
      </c>
      <c r="B61" s="4">
        <v>45979</v>
      </c>
      <c r="C61" s="5">
        <v>0.47060185185185183</v>
      </c>
      <c r="D61" t="s">
        <v>11</v>
      </c>
      <c r="I61" t="s">
        <v>2202</v>
      </c>
      <c r="J61" t="s">
        <v>2984</v>
      </c>
      <c r="K61" t="s">
        <v>2203</v>
      </c>
      <c r="L61" t="s">
        <v>2204</v>
      </c>
      <c r="M61" s="3" t="str">
        <f>HYPERLINK(склад2въезд13192021[[#This Row],[RelativePath]])</f>
        <v>7 Площадка 2 бетонщики\K07156189_18_20251118T111740Z.jpg</v>
      </c>
    </row>
    <row r="62" spans="1:13" x14ac:dyDescent="0.25">
      <c r="A62" s="2" t="s">
        <v>14</v>
      </c>
      <c r="B62" s="4">
        <v>45979</v>
      </c>
      <c r="C62" s="5">
        <v>0.58637731481481481</v>
      </c>
      <c r="D62" t="s">
        <v>11</v>
      </c>
      <c r="I62" t="s">
        <v>2205</v>
      </c>
      <c r="J62" t="s">
        <v>2984</v>
      </c>
      <c r="K62" t="s">
        <v>2206</v>
      </c>
      <c r="L62" t="s">
        <v>2207</v>
      </c>
      <c r="M62" s="3" t="str">
        <f>HYPERLINK(склад2въезд13192021[[#This Row],[RelativePath]])</f>
        <v>7 Площадка 2 бетонщики\K07156189_18_20251118T140423Z.jpg</v>
      </c>
    </row>
    <row r="63" spans="1:13" x14ac:dyDescent="0.25">
      <c r="A63" s="2" t="s">
        <v>14</v>
      </c>
      <c r="B63" s="4">
        <v>45979</v>
      </c>
      <c r="C63" s="5">
        <v>0.59792824074074069</v>
      </c>
      <c r="D63" t="s">
        <v>11</v>
      </c>
      <c r="I63" t="s">
        <v>2208</v>
      </c>
      <c r="J63" t="s">
        <v>2984</v>
      </c>
      <c r="K63" t="s">
        <v>2209</v>
      </c>
      <c r="L63" t="s">
        <v>2210</v>
      </c>
      <c r="M63" s="3" t="str">
        <f>HYPERLINK(склад2въезд13192021[[#This Row],[RelativePath]])</f>
        <v>7 Площадка 2 бетонщики\K07156189_18_20251118T142101Z.jpg</v>
      </c>
    </row>
    <row r="64" spans="1:13" x14ac:dyDescent="0.25">
      <c r="A64" s="2" t="s">
        <v>14</v>
      </c>
      <c r="B64" s="4">
        <v>45979</v>
      </c>
      <c r="C64" s="5">
        <v>0.61089120370370376</v>
      </c>
      <c r="D64" t="s">
        <v>11</v>
      </c>
      <c r="I64" t="s">
        <v>2211</v>
      </c>
      <c r="J64" t="s">
        <v>2984</v>
      </c>
      <c r="K64" t="s">
        <v>2212</v>
      </c>
      <c r="L64" t="s">
        <v>2213</v>
      </c>
      <c r="M64" s="3" t="str">
        <f>HYPERLINK(склад2въезд13192021[[#This Row],[RelativePath]])</f>
        <v>7 Площадка 2 бетонщики\K07156189_18_20251118T143941Z.jpg</v>
      </c>
    </row>
    <row r="65" spans="1:13" x14ac:dyDescent="0.25">
      <c r="A65" s="2" t="s">
        <v>14</v>
      </c>
      <c r="B65" s="4">
        <v>45979</v>
      </c>
      <c r="C65" s="5">
        <v>0.62652777777777779</v>
      </c>
      <c r="D65" t="s">
        <v>11</v>
      </c>
      <c r="I65" t="s">
        <v>2214</v>
      </c>
      <c r="J65" t="s">
        <v>2984</v>
      </c>
      <c r="K65" t="s">
        <v>2215</v>
      </c>
      <c r="L65" t="s">
        <v>2216</v>
      </c>
      <c r="M65" s="3" t="str">
        <f>HYPERLINK(склад2въезд13192021[[#This Row],[RelativePath]])</f>
        <v>7 Площадка 2 бетонщики\K07156189_18_20251118T150212Z.jpg</v>
      </c>
    </row>
    <row r="66" spans="1:13" x14ac:dyDescent="0.25">
      <c r="A66" s="2" t="s">
        <v>14</v>
      </c>
      <c r="B66" s="4">
        <v>45979</v>
      </c>
      <c r="C66" s="5">
        <v>0.63015046296296295</v>
      </c>
      <c r="D66" t="s">
        <v>11</v>
      </c>
      <c r="I66" t="s">
        <v>2217</v>
      </c>
      <c r="J66" t="s">
        <v>2984</v>
      </c>
      <c r="K66" t="s">
        <v>2218</v>
      </c>
      <c r="L66" t="s">
        <v>2219</v>
      </c>
      <c r="M66" s="3" t="str">
        <f>HYPERLINK(склад2въезд13192021[[#This Row],[RelativePath]])</f>
        <v>7 Площадка 2 бетонщики\K07156189_18_20251118T150725Z.jpg</v>
      </c>
    </row>
    <row r="67" spans="1:13" x14ac:dyDescent="0.25">
      <c r="A67" s="2" t="s">
        <v>14</v>
      </c>
      <c r="B67" s="4">
        <v>45979</v>
      </c>
      <c r="C67" s="5">
        <v>0.63846064814814818</v>
      </c>
      <c r="D67" t="s">
        <v>11</v>
      </c>
      <c r="I67" t="s">
        <v>2220</v>
      </c>
      <c r="J67" t="s">
        <v>2984</v>
      </c>
      <c r="K67" t="s">
        <v>2221</v>
      </c>
      <c r="L67" t="s">
        <v>2222</v>
      </c>
      <c r="M67" s="3" t="str">
        <f>HYPERLINK(склад2въезд13192021[[#This Row],[RelativePath]])</f>
        <v>7 Площадка 2 бетонщики\K07156189_18_20251118T151923Z.jpg</v>
      </c>
    </row>
    <row r="68" spans="1:13" x14ac:dyDescent="0.25">
      <c r="A68" s="2" t="s">
        <v>14</v>
      </c>
      <c r="B68" s="4">
        <v>45979</v>
      </c>
      <c r="C68" s="5">
        <v>0.70409722222222226</v>
      </c>
      <c r="D68" t="s">
        <v>4</v>
      </c>
      <c r="E68" t="s">
        <v>8</v>
      </c>
      <c r="H68" t="s">
        <v>1625</v>
      </c>
      <c r="I68" t="s">
        <v>2223</v>
      </c>
      <c r="J68" t="s">
        <v>2984</v>
      </c>
      <c r="K68" t="s">
        <v>2224</v>
      </c>
      <c r="L68" t="s">
        <v>2225</v>
      </c>
      <c r="M68" s="3" t="str">
        <f>HYPERLINK(склад2въезд13192021[[#This Row],[RelativePath]])</f>
        <v>7 Площадка 2 бетонщики\K07156189_18_20251118T165354Z.jpg</v>
      </c>
    </row>
    <row r="69" spans="1:13" x14ac:dyDescent="0.25">
      <c r="A69" s="2" t="s">
        <v>15</v>
      </c>
      <c r="B69" s="4">
        <v>45980</v>
      </c>
      <c r="C69" s="5">
        <v>0.6294791666666667</v>
      </c>
      <c r="D69" t="s">
        <v>2004</v>
      </c>
      <c r="I69" t="s">
        <v>2226</v>
      </c>
      <c r="J69" t="s">
        <v>2984</v>
      </c>
      <c r="K69" t="s">
        <v>2227</v>
      </c>
      <c r="L69" t="s">
        <v>2228</v>
      </c>
      <c r="M69" s="3" t="str">
        <f>HYPERLINK(склад2въезд13192021[[#This Row],[RelativePath]])</f>
        <v>7 Площадка 2 бетонщики\K07156189_18_20251119T150627Z.jpg</v>
      </c>
    </row>
    <row r="70" spans="1:13" x14ac:dyDescent="0.25">
      <c r="A70" s="2" t="s">
        <v>16</v>
      </c>
      <c r="B70" s="4">
        <v>45981</v>
      </c>
      <c r="C70" s="5">
        <v>0.71421296296296299</v>
      </c>
      <c r="D70" t="s">
        <v>2004</v>
      </c>
      <c r="I70" t="s">
        <v>2229</v>
      </c>
      <c r="J70" t="s">
        <v>2984</v>
      </c>
      <c r="K70" t="s">
        <v>2230</v>
      </c>
      <c r="L70" t="s">
        <v>2231</v>
      </c>
      <c r="M70" s="3" t="str">
        <f>HYPERLINK(склад2въезд13192021[[#This Row],[RelativePath]])</f>
        <v>7 Площадка 2 бетонщики\K07156189_18_20251120T170828Z.jpg</v>
      </c>
    </row>
    <row r="71" spans="1:13" x14ac:dyDescent="0.25">
      <c r="A71" s="2" t="s">
        <v>17</v>
      </c>
      <c r="B71" s="4">
        <v>45982</v>
      </c>
      <c r="C71" s="5">
        <v>0.55668981481481483</v>
      </c>
      <c r="D71" t="s">
        <v>4</v>
      </c>
      <c r="E71" t="s">
        <v>8</v>
      </c>
      <c r="I71" t="s">
        <v>3468</v>
      </c>
      <c r="J71" t="s">
        <v>2984</v>
      </c>
      <c r="K71" t="s">
        <v>3469</v>
      </c>
      <c r="L71" t="s">
        <v>3470</v>
      </c>
      <c r="M71" s="3" t="str">
        <f>HYPERLINK(склад2въезд13192021[[#This Row],[RelativePath]])</f>
        <v>7 Площадка 2 бетонщики\K07156189_18_20251121T132138Z.jpg</v>
      </c>
    </row>
    <row r="72" spans="1:13" x14ac:dyDescent="0.25">
      <c r="A72" s="2" t="s">
        <v>18</v>
      </c>
      <c r="B72" s="4">
        <v>45983</v>
      </c>
      <c r="C72" s="5">
        <v>0.72023148148148153</v>
      </c>
      <c r="D72" t="s">
        <v>4</v>
      </c>
      <c r="E72" t="s">
        <v>8</v>
      </c>
      <c r="I72" t="s">
        <v>3471</v>
      </c>
      <c r="J72" t="s">
        <v>2984</v>
      </c>
      <c r="K72" t="s">
        <v>3472</v>
      </c>
      <c r="L72" t="s">
        <v>3473</v>
      </c>
      <c r="M72" s="3" t="str">
        <f>HYPERLINK(склад2въезд13192021[[#This Row],[RelativePath]])</f>
        <v>7 Площадка 2 бетонщики\K07156189_18_20251122T171708Z.jpg</v>
      </c>
    </row>
    <row r="73" spans="1:13" x14ac:dyDescent="0.25">
      <c r="A73" s="2" t="s">
        <v>22</v>
      </c>
      <c r="B73" s="4">
        <v>45984</v>
      </c>
      <c r="C73" s="5">
        <v>0.68646990740740743</v>
      </c>
      <c r="D73" t="s">
        <v>4</v>
      </c>
      <c r="E73" t="s">
        <v>8</v>
      </c>
      <c r="I73" t="s">
        <v>3474</v>
      </c>
      <c r="J73" t="s">
        <v>2984</v>
      </c>
      <c r="K73" t="s">
        <v>3475</v>
      </c>
      <c r="L73" t="s">
        <v>3476</v>
      </c>
      <c r="M73" s="3" t="str">
        <f>HYPERLINK(склад2въезд13192021[[#This Row],[RelativePath]])</f>
        <v>7 Площадка 2 бетонщики\K07156189_18_20251123T162831Z.jpg</v>
      </c>
    </row>
    <row r="74" spans="1:13" x14ac:dyDescent="0.25">
      <c r="A74" s="2" t="s">
        <v>13</v>
      </c>
      <c r="B74" s="4">
        <v>45985</v>
      </c>
      <c r="C74" s="5">
        <v>0.68646990740740743</v>
      </c>
      <c r="D74" t="s">
        <v>4212</v>
      </c>
      <c r="I74" t="s">
        <v>4213</v>
      </c>
      <c r="J74" t="s">
        <v>2984</v>
      </c>
      <c r="K74" t="s">
        <v>4214</v>
      </c>
      <c r="L74" t="s">
        <v>4215</v>
      </c>
      <c r="M74" s="3" t="str">
        <f>HYPERLINK(склад2въезд13192021[[#This Row],[RelativePath]])</f>
        <v>7 Площадка 2 бетонщики\K07156189_18_20251124T162831Z.jpg</v>
      </c>
    </row>
    <row r="75" spans="1:13" x14ac:dyDescent="0.25">
      <c r="A75" s="2" t="s">
        <v>14</v>
      </c>
      <c r="B75" s="4">
        <v>45986</v>
      </c>
      <c r="C75" s="5">
        <v>0.70370370370370372</v>
      </c>
      <c r="D75" t="s">
        <v>4</v>
      </c>
      <c r="E75" t="s">
        <v>8</v>
      </c>
      <c r="I75" t="s">
        <v>3477</v>
      </c>
      <c r="J75" t="s">
        <v>2984</v>
      </c>
      <c r="K75" t="s">
        <v>3478</v>
      </c>
      <c r="L75" t="s">
        <v>3479</v>
      </c>
      <c r="M75" s="3" t="str">
        <f>HYPERLINK(склад2въезд13192021[[#This Row],[RelativePath]])</f>
        <v>7 Площадка 2 бетонщики\K07156189_18_20251125T165320Z.jpg</v>
      </c>
    </row>
    <row r="76" spans="1:13" x14ac:dyDescent="0.25">
      <c r="A76" s="2" t="s">
        <v>15</v>
      </c>
      <c r="B76" s="4">
        <v>45987</v>
      </c>
      <c r="C76" s="5">
        <v>0.66943287037037036</v>
      </c>
      <c r="D76" t="s">
        <v>4209</v>
      </c>
      <c r="E76" t="s">
        <v>4210</v>
      </c>
      <c r="I76" t="s">
        <v>3480</v>
      </c>
      <c r="J76" t="s">
        <v>2984</v>
      </c>
      <c r="K76" t="s">
        <v>3481</v>
      </c>
      <c r="L76" t="s">
        <v>3482</v>
      </c>
      <c r="M76" s="3" t="str">
        <f>HYPERLINK(склад2въезд13192021[[#This Row],[RelativePath]])</f>
        <v>7 Площадка 2 бетонщики\K07156189_18_20251126T160359Z.jpg</v>
      </c>
    </row>
    <row r="77" spans="1:13" x14ac:dyDescent="0.25">
      <c r="A77" s="2" t="s">
        <v>16</v>
      </c>
      <c r="B77" s="4">
        <v>45988</v>
      </c>
      <c r="C77" s="5">
        <v>0.61637731481481484</v>
      </c>
      <c r="D77" t="s">
        <v>4209</v>
      </c>
      <c r="E77" t="s">
        <v>4210</v>
      </c>
      <c r="H77" t="s">
        <v>2936</v>
      </c>
      <c r="I77" t="s">
        <v>3483</v>
      </c>
      <c r="J77" t="s">
        <v>2984</v>
      </c>
      <c r="K77" t="s">
        <v>3484</v>
      </c>
      <c r="L77" t="s">
        <v>3485</v>
      </c>
      <c r="M77" s="3" t="str">
        <f>HYPERLINK(склад2въезд13192021[[#This Row],[RelativePath]])</f>
        <v>7 Площадка 2 бетонщики\K07156189_18_20251127T144735Z.jpg</v>
      </c>
    </row>
    <row r="78" spans="1:13" x14ac:dyDescent="0.25">
      <c r="A78" s="2" t="s">
        <v>16</v>
      </c>
      <c r="B78" s="4">
        <v>45988</v>
      </c>
      <c r="C78" s="5">
        <v>0.62815972222222227</v>
      </c>
      <c r="D78" t="s">
        <v>4209</v>
      </c>
      <c r="E78" t="s">
        <v>4210</v>
      </c>
      <c r="H78" t="s">
        <v>2936</v>
      </c>
      <c r="I78" t="s">
        <v>3486</v>
      </c>
      <c r="J78" t="s">
        <v>2984</v>
      </c>
      <c r="K78" t="s">
        <v>3487</v>
      </c>
      <c r="L78" t="s">
        <v>3488</v>
      </c>
      <c r="M78" s="3" t="str">
        <f>HYPERLINK(склад2въезд13192021[[#This Row],[RelativePath]])</f>
        <v>7 Площадка 2 бетонщики\K07156189_18_20251127T150433Z.jpg</v>
      </c>
    </row>
    <row r="79" spans="1:13" x14ac:dyDescent="0.25">
      <c r="A79" s="2" t="s">
        <v>16</v>
      </c>
      <c r="B79" s="4">
        <v>45988</v>
      </c>
      <c r="C79" s="5">
        <v>0.68692129629629628</v>
      </c>
      <c r="D79" t="s">
        <v>4209</v>
      </c>
      <c r="E79" t="s">
        <v>4210</v>
      </c>
      <c r="H79" t="s">
        <v>2936</v>
      </c>
      <c r="I79" t="s">
        <v>3489</v>
      </c>
      <c r="J79" t="s">
        <v>2984</v>
      </c>
      <c r="K79" t="s">
        <v>3490</v>
      </c>
      <c r="L79" t="s">
        <v>3491</v>
      </c>
      <c r="M79" s="3" t="str">
        <f>HYPERLINK(склад2въезд13192021[[#This Row],[RelativePath]])</f>
        <v>7 Площадка 2 бетонщики\K07156189_18_20251127T162910Z.jpg</v>
      </c>
    </row>
    <row r="80" spans="1:13" x14ac:dyDescent="0.25">
      <c r="A80" s="2" t="s">
        <v>16</v>
      </c>
      <c r="B80" s="4">
        <v>45988</v>
      </c>
      <c r="C80" s="5">
        <v>0.71189814814814811</v>
      </c>
      <c r="D80" t="s">
        <v>4209</v>
      </c>
      <c r="E80" t="s">
        <v>4210</v>
      </c>
      <c r="H80" t="s">
        <v>2936</v>
      </c>
      <c r="I80" t="s">
        <v>3492</v>
      </c>
      <c r="J80" t="s">
        <v>2984</v>
      </c>
      <c r="K80" t="s">
        <v>3493</v>
      </c>
      <c r="L80" t="s">
        <v>3494</v>
      </c>
      <c r="M80" s="3" t="str">
        <f>HYPERLINK(склад2въезд13192021[[#This Row],[RelativePath]])</f>
        <v>7 Площадка 2 бетонщики\K07156189_18_20251127T170508Z.jpg</v>
      </c>
    </row>
    <row r="81" spans="1:13" x14ac:dyDescent="0.25">
      <c r="A81" s="2" t="s">
        <v>16</v>
      </c>
      <c r="B81" s="4">
        <v>45988</v>
      </c>
      <c r="C81" s="5">
        <v>0.72362268518518513</v>
      </c>
      <c r="D81" t="s">
        <v>4209</v>
      </c>
      <c r="E81" t="s">
        <v>4210</v>
      </c>
      <c r="H81" t="s">
        <v>2936</v>
      </c>
      <c r="I81" t="s">
        <v>3495</v>
      </c>
      <c r="J81" t="s">
        <v>2984</v>
      </c>
      <c r="K81" t="s">
        <v>3496</v>
      </c>
      <c r="L81" t="s">
        <v>3497</v>
      </c>
      <c r="M81" s="3" t="str">
        <f>HYPERLINK(склад2въезд13192021[[#This Row],[RelativePath]])</f>
        <v>7 Площадка 2 бетонщики\K07156189_18_20251127T172201Z.jpg</v>
      </c>
    </row>
    <row r="82" spans="1:13" x14ac:dyDescent="0.25">
      <c r="A82" s="2" t="s">
        <v>16</v>
      </c>
      <c r="B82" s="4">
        <v>45988</v>
      </c>
      <c r="C82" s="5">
        <v>0.75403935185185189</v>
      </c>
      <c r="D82" t="s">
        <v>4209</v>
      </c>
      <c r="E82" t="s">
        <v>4210</v>
      </c>
      <c r="H82" t="s">
        <v>2936</v>
      </c>
      <c r="I82" t="s">
        <v>3498</v>
      </c>
      <c r="J82" t="s">
        <v>2984</v>
      </c>
      <c r="K82" t="s">
        <v>3499</v>
      </c>
      <c r="L82" t="s">
        <v>3500</v>
      </c>
      <c r="M82" s="3" t="str">
        <f>HYPERLINK(склад2въезд13192021[[#This Row],[RelativePath]])</f>
        <v>7 Площадка 2 бетонщики\K07156189_18_20251127T180549Z.jpg</v>
      </c>
    </row>
    <row r="83" spans="1:13" x14ac:dyDescent="0.25">
      <c r="A83" s="2" t="s">
        <v>16</v>
      </c>
      <c r="B83" s="4">
        <v>45988</v>
      </c>
      <c r="C83" s="5">
        <v>0.79254629629629625</v>
      </c>
      <c r="D83" t="s">
        <v>4209</v>
      </c>
      <c r="E83" t="s">
        <v>4210</v>
      </c>
      <c r="H83" t="s">
        <v>2936</v>
      </c>
      <c r="I83" t="s">
        <v>3501</v>
      </c>
      <c r="J83" t="s">
        <v>2984</v>
      </c>
      <c r="K83" t="s">
        <v>3502</v>
      </c>
      <c r="L83" t="s">
        <v>3503</v>
      </c>
      <c r="M83" s="3" t="str">
        <f>HYPERLINK(склад2въезд13192021[[#This Row],[RelativePath]])</f>
        <v>7 Площадка 2 бетонщики\K07156189_18_20251127T190116Z.jpg</v>
      </c>
    </row>
    <row r="84" spans="1:13" x14ac:dyDescent="0.25">
      <c r="A84" s="2" t="s">
        <v>16</v>
      </c>
      <c r="B84" s="4">
        <v>45988</v>
      </c>
      <c r="C84" s="5">
        <v>0.7994444444444444</v>
      </c>
      <c r="D84" t="s">
        <v>4209</v>
      </c>
      <c r="E84" t="s">
        <v>4210</v>
      </c>
      <c r="H84" t="s">
        <v>2936</v>
      </c>
      <c r="I84" t="s">
        <v>3504</v>
      </c>
      <c r="J84" t="s">
        <v>2984</v>
      </c>
      <c r="K84" t="s">
        <v>3505</v>
      </c>
      <c r="L84" t="s">
        <v>3506</v>
      </c>
      <c r="M84" s="3" t="str">
        <f>HYPERLINK(склад2въезд13192021[[#This Row],[RelativePath]])</f>
        <v>7 Площадка 2 бетонщики\K07156189_18_20251127T191112Z.jpg</v>
      </c>
    </row>
    <row r="85" spans="1:13" x14ac:dyDescent="0.25">
      <c r="A85" s="2" t="s">
        <v>17</v>
      </c>
      <c r="B85" s="4">
        <v>45989</v>
      </c>
      <c r="C85" s="5">
        <v>0.37474537037037037</v>
      </c>
      <c r="D85" t="s">
        <v>4209</v>
      </c>
      <c r="E85" t="s">
        <v>4210</v>
      </c>
      <c r="H85" t="s">
        <v>2936</v>
      </c>
      <c r="I85" t="s">
        <v>3507</v>
      </c>
      <c r="J85" t="s">
        <v>2984</v>
      </c>
      <c r="K85" t="s">
        <v>3508</v>
      </c>
      <c r="L85" t="s">
        <v>3509</v>
      </c>
      <c r="M85" s="3" t="str">
        <f>HYPERLINK(склад2въезд13192021[[#This Row],[RelativePath]])</f>
        <v>7 Площадка 2 бетонщики\K07156189_18_20251128T085938Z.jpg</v>
      </c>
    </row>
    <row r="86" spans="1:13" x14ac:dyDescent="0.25">
      <c r="A86" s="2" t="s">
        <v>17</v>
      </c>
      <c r="B86" s="4">
        <v>45989</v>
      </c>
      <c r="C86" s="5">
        <v>0.4176273148148148</v>
      </c>
      <c r="D86" t="s">
        <v>4209</v>
      </c>
      <c r="E86" t="s">
        <v>4210</v>
      </c>
      <c r="H86" t="s">
        <v>2936</v>
      </c>
      <c r="I86" t="s">
        <v>3510</v>
      </c>
      <c r="J86" t="s">
        <v>2984</v>
      </c>
      <c r="K86" t="s">
        <v>3511</v>
      </c>
      <c r="L86" t="s">
        <v>3512</v>
      </c>
      <c r="M86" s="3" t="str">
        <f>HYPERLINK(склад2въезд13192021[[#This Row],[RelativePath]])</f>
        <v>7 Площадка 2 бетонщики\K07156189_18_20251128T100123Z.jpg</v>
      </c>
    </row>
    <row r="87" spans="1:13" x14ac:dyDescent="0.25">
      <c r="A87" s="2" t="s">
        <v>17</v>
      </c>
      <c r="B87" s="4">
        <v>45989</v>
      </c>
      <c r="C87" s="5">
        <v>0.46166666666666667</v>
      </c>
      <c r="D87" t="s">
        <v>4209</v>
      </c>
      <c r="E87" t="s">
        <v>4210</v>
      </c>
      <c r="H87" t="s">
        <v>2936</v>
      </c>
      <c r="I87" t="s">
        <v>3513</v>
      </c>
      <c r="J87" t="s">
        <v>2984</v>
      </c>
      <c r="K87" t="s">
        <v>3514</v>
      </c>
      <c r="L87" t="s">
        <v>3515</v>
      </c>
      <c r="M87" s="3" t="str">
        <f>HYPERLINK(склад2въезд13192021[[#This Row],[RelativePath]])</f>
        <v>7 Площадка 2 бетонщики\K07156189_18_20251128T110448Z.jpg</v>
      </c>
    </row>
    <row r="88" spans="1:13" x14ac:dyDescent="0.25">
      <c r="A88" s="2" t="s">
        <v>17</v>
      </c>
      <c r="B88" s="4">
        <v>45989</v>
      </c>
      <c r="C88" s="5">
        <v>0.4878587962962963</v>
      </c>
      <c r="D88" t="s">
        <v>4209</v>
      </c>
      <c r="E88" t="s">
        <v>4210</v>
      </c>
      <c r="H88" t="s">
        <v>2936</v>
      </c>
      <c r="I88" t="s">
        <v>3516</v>
      </c>
      <c r="J88" t="s">
        <v>2984</v>
      </c>
      <c r="K88" t="s">
        <v>3517</v>
      </c>
      <c r="L88" t="s">
        <v>3518</v>
      </c>
      <c r="M88" s="3" t="str">
        <f>HYPERLINK(склад2въезд13192021[[#This Row],[RelativePath]])</f>
        <v>7 Площадка 2 бетонщики\K07156189_18_20251128T114231Z.jpg</v>
      </c>
    </row>
    <row r="89" spans="1:13" x14ac:dyDescent="0.25">
      <c r="A89" s="2" t="s">
        <v>17</v>
      </c>
      <c r="B89" s="4">
        <v>45989</v>
      </c>
      <c r="C89" s="5">
        <v>0.49788194444444445</v>
      </c>
      <c r="D89" t="s">
        <v>4209</v>
      </c>
      <c r="E89" t="s">
        <v>4210</v>
      </c>
      <c r="H89" t="s">
        <v>2936</v>
      </c>
      <c r="I89" t="s">
        <v>3519</v>
      </c>
      <c r="J89" t="s">
        <v>2984</v>
      </c>
      <c r="K89" t="s">
        <v>3520</v>
      </c>
      <c r="L89" t="s">
        <v>3521</v>
      </c>
      <c r="M89" s="3" t="str">
        <f>HYPERLINK(склад2въезд13192021[[#This Row],[RelativePath]])</f>
        <v>7 Площадка 2 бетонщики\K07156189_18_20251128T115657Z.jpg</v>
      </c>
    </row>
    <row r="90" spans="1:13" x14ac:dyDescent="0.25">
      <c r="A90" s="2" t="s">
        <v>17</v>
      </c>
      <c r="B90" s="4">
        <v>45989</v>
      </c>
      <c r="C90" s="5">
        <v>0.50599537037037035</v>
      </c>
      <c r="D90" t="s">
        <v>4209</v>
      </c>
      <c r="E90" t="s">
        <v>4210</v>
      </c>
      <c r="H90" t="s">
        <v>2936</v>
      </c>
      <c r="I90" t="s">
        <v>3522</v>
      </c>
      <c r="J90" t="s">
        <v>2984</v>
      </c>
      <c r="K90" t="s">
        <v>3523</v>
      </c>
      <c r="L90" t="s">
        <v>3524</v>
      </c>
      <c r="M90" s="3" t="str">
        <f>HYPERLINK(склад2въезд13192021[[#This Row],[RelativePath]])</f>
        <v>7 Площадка 2 бетонщики\K07156189_18_20251128T120838Z.jpg</v>
      </c>
    </row>
    <row r="91" spans="1:13" x14ac:dyDescent="0.25">
      <c r="A91" s="2" t="s">
        <v>17</v>
      </c>
      <c r="B91" s="4">
        <v>45989</v>
      </c>
      <c r="C91" s="5">
        <v>0.51993055555555556</v>
      </c>
      <c r="D91" t="s">
        <v>4209</v>
      </c>
      <c r="E91" t="s">
        <v>4210</v>
      </c>
      <c r="H91" t="s">
        <v>2936</v>
      </c>
      <c r="I91" t="s">
        <v>3525</v>
      </c>
      <c r="J91" t="s">
        <v>2984</v>
      </c>
      <c r="K91" t="s">
        <v>3526</v>
      </c>
      <c r="L91" t="s">
        <v>3527</v>
      </c>
      <c r="M91" s="3" t="str">
        <f>HYPERLINK(склад2въезд13192021[[#This Row],[RelativePath]])</f>
        <v>7 Площадка 2 бетонщики\K07156189_18_20251128T122842Z.jpg</v>
      </c>
    </row>
    <row r="92" spans="1:13" x14ac:dyDescent="0.25">
      <c r="A92" s="2" t="s">
        <v>17</v>
      </c>
      <c r="B92" s="4">
        <v>45989</v>
      </c>
      <c r="C92" s="5">
        <v>0.52930555555555558</v>
      </c>
      <c r="D92" t="s">
        <v>4209</v>
      </c>
      <c r="E92" t="s">
        <v>4210</v>
      </c>
      <c r="H92" t="s">
        <v>2936</v>
      </c>
      <c r="I92" t="s">
        <v>3528</v>
      </c>
      <c r="J92" t="s">
        <v>2984</v>
      </c>
      <c r="K92" t="s">
        <v>3529</v>
      </c>
      <c r="L92" t="s">
        <v>3530</v>
      </c>
      <c r="M92" s="3" t="str">
        <f>HYPERLINK(склад2въезд13192021[[#This Row],[RelativePath]])</f>
        <v>7 Площадка 2 бетонщики\K07156189_18_20251128T124212Z.jpg</v>
      </c>
    </row>
    <row r="93" spans="1:13" x14ac:dyDescent="0.25">
      <c r="A93" s="2" t="s">
        <v>17</v>
      </c>
      <c r="B93" s="4">
        <v>45989</v>
      </c>
      <c r="C93" s="5">
        <v>0.53519675925925925</v>
      </c>
      <c r="D93" t="s">
        <v>4209</v>
      </c>
      <c r="E93" t="s">
        <v>4210</v>
      </c>
      <c r="H93" t="s">
        <v>2936</v>
      </c>
      <c r="I93" t="s">
        <v>3531</v>
      </c>
      <c r="J93" t="s">
        <v>2984</v>
      </c>
      <c r="K93" t="s">
        <v>3532</v>
      </c>
      <c r="L93" t="s">
        <v>3533</v>
      </c>
      <c r="M93" s="3" t="str">
        <f>HYPERLINK(склад2въезд13192021[[#This Row],[RelativePath]])</f>
        <v>7 Площадка 2 бетонщики\K07156189_18_20251128T125041Z.jpg</v>
      </c>
    </row>
    <row r="94" spans="1:13" x14ac:dyDescent="0.25">
      <c r="A94" s="2" t="s">
        <v>17</v>
      </c>
      <c r="B94" s="4">
        <v>45989</v>
      </c>
      <c r="C94" s="5">
        <v>0.56806712962962957</v>
      </c>
      <c r="D94" t="s">
        <v>4209</v>
      </c>
      <c r="E94" t="s">
        <v>4210</v>
      </c>
      <c r="H94" t="s">
        <v>2936</v>
      </c>
      <c r="I94" t="s">
        <v>3534</v>
      </c>
      <c r="J94" t="s">
        <v>2984</v>
      </c>
      <c r="K94" t="s">
        <v>3535</v>
      </c>
      <c r="L94" t="s">
        <v>3536</v>
      </c>
      <c r="M94" s="3" t="str">
        <f>HYPERLINK(склад2въезд13192021[[#This Row],[RelativePath]])</f>
        <v>7 Площадка 2 бетонщики\K07156189_18_20251128T133801Z.jpg</v>
      </c>
    </row>
    <row r="95" spans="1:13" x14ac:dyDescent="0.25">
      <c r="A95" s="2" t="s">
        <v>17</v>
      </c>
      <c r="B95" s="4">
        <v>45989</v>
      </c>
      <c r="C95" s="5">
        <v>0.62028935185185186</v>
      </c>
      <c r="D95" t="s">
        <v>4209</v>
      </c>
      <c r="E95" t="s">
        <v>4210</v>
      </c>
      <c r="H95" t="s">
        <v>2936</v>
      </c>
      <c r="I95" t="s">
        <v>3537</v>
      </c>
      <c r="J95" t="s">
        <v>2984</v>
      </c>
      <c r="K95" t="s">
        <v>3538</v>
      </c>
      <c r="L95" t="s">
        <v>3539</v>
      </c>
      <c r="M95" s="3" t="str">
        <f>HYPERLINK(склад2въезд13192021[[#This Row],[RelativePath]])</f>
        <v>7 Площадка 2 бетонщики\K07156189_18_20251128T145313Z.jpg</v>
      </c>
    </row>
    <row r="96" spans="1:13" x14ac:dyDescent="0.25">
      <c r="A96" s="2" t="s">
        <v>17</v>
      </c>
      <c r="B96" s="4">
        <v>45989</v>
      </c>
      <c r="C96" s="5">
        <v>0.63500000000000001</v>
      </c>
      <c r="D96" t="s">
        <v>4216</v>
      </c>
      <c r="E96" t="s">
        <v>4211</v>
      </c>
      <c r="I96" t="s">
        <v>3540</v>
      </c>
      <c r="J96" t="s">
        <v>2984</v>
      </c>
      <c r="K96" t="s">
        <v>3541</v>
      </c>
      <c r="L96" t="s">
        <v>3542</v>
      </c>
      <c r="M96" s="3" t="str">
        <f>HYPERLINK(склад2въезд13192021[[#This Row],[RelativePath]])</f>
        <v>7 Площадка 2 бетонщики\K07156189_18_20251128T151424Z.jpg</v>
      </c>
    </row>
    <row r="97" spans="1:13" x14ac:dyDescent="0.25">
      <c r="A97" s="2" t="s">
        <v>17</v>
      </c>
      <c r="B97" s="4">
        <v>45989</v>
      </c>
      <c r="C97" s="5">
        <v>0.64194444444444443</v>
      </c>
      <c r="D97" t="s">
        <v>4216</v>
      </c>
      <c r="E97" t="s">
        <v>4211</v>
      </c>
      <c r="H97" t="s">
        <v>2936</v>
      </c>
      <c r="I97" t="s">
        <v>3543</v>
      </c>
      <c r="J97" t="s">
        <v>2984</v>
      </c>
      <c r="K97" t="s">
        <v>3544</v>
      </c>
      <c r="L97" t="s">
        <v>3545</v>
      </c>
      <c r="M97" s="3" t="str">
        <f>HYPERLINK(склад2въезд13192021[[#This Row],[RelativePath]])</f>
        <v>7 Площадка 2 бетонщики\K07156189_18_20251128T152424Z.jpg</v>
      </c>
    </row>
    <row r="98" spans="1:13" x14ac:dyDescent="0.25">
      <c r="A98" s="2" t="s">
        <v>17</v>
      </c>
      <c r="B98" s="4">
        <v>45989</v>
      </c>
      <c r="C98" s="5">
        <v>0.6592824074074074</v>
      </c>
      <c r="D98" t="s">
        <v>4216</v>
      </c>
      <c r="E98" t="s">
        <v>4211</v>
      </c>
      <c r="H98" t="s">
        <v>2936</v>
      </c>
      <c r="I98" t="s">
        <v>3546</v>
      </c>
      <c r="J98" t="s">
        <v>2984</v>
      </c>
      <c r="K98" t="s">
        <v>3547</v>
      </c>
      <c r="L98" t="s">
        <v>3548</v>
      </c>
      <c r="M98" s="3" t="str">
        <f>HYPERLINK(склад2въезд13192021[[#This Row],[RelativePath]])</f>
        <v>7 Площадка 2 бетонщики\K07156189_18_20251128T154922Z.jpg</v>
      </c>
    </row>
    <row r="99" spans="1:13" x14ac:dyDescent="0.25">
      <c r="A99" s="2" t="s">
        <v>17</v>
      </c>
      <c r="B99" s="4">
        <v>45989</v>
      </c>
      <c r="C99" s="5">
        <v>0.68663194444444442</v>
      </c>
      <c r="D99" t="s">
        <v>4216</v>
      </c>
      <c r="E99" t="s">
        <v>4211</v>
      </c>
      <c r="H99" t="s">
        <v>2936</v>
      </c>
      <c r="I99" t="s">
        <v>3549</v>
      </c>
      <c r="J99" t="s">
        <v>2984</v>
      </c>
      <c r="K99" t="s">
        <v>3550</v>
      </c>
      <c r="L99" t="s">
        <v>3551</v>
      </c>
      <c r="M99" s="3" t="str">
        <f>HYPERLINK(склад2въезд13192021[[#This Row],[RelativePath]])</f>
        <v>7 Площадка 2 бетонщики\K07156189_18_20251128T162845Z.jpg</v>
      </c>
    </row>
    <row r="100" spans="1:13" x14ac:dyDescent="0.25">
      <c r="A100" s="2" t="s">
        <v>17</v>
      </c>
      <c r="B100" s="4">
        <v>45989</v>
      </c>
      <c r="C100" s="5">
        <v>0.74079861111111112</v>
      </c>
      <c r="D100" t="s">
        <v>4216</v>
      </c>
      <c r="E100" t="s">
        <v>4211</v>
      </c>
      <c r="H100" t="s">
        <v>2936</v>
      </c>
      <c r="I100" t="s">
        <v>3552</v>
      </c>
      <c r="J100" t="s">
        <v>2984</v>
      </c>
      <c r="K100" t="s">
        <v>3553</v>
      </c>
      <c r="L100" t="s">
        <v>3554</v>
      </c>
      <c r="M100" s="3" t="str">
        <f>HYPERLINK(склад2въезд13192021[[#This Row],[RelativePath]])</f>
        <v>7 Площадка 2 бетонщики\K07156189_18_20251128T174645Z.jpg</v>
      </c>
    </row>
    <row r="101" spans="1:13" x14ac:dyDescent="0.25">
      <c r="A101" s="2" t="s">
        <v>17</v>
      </c>
      <c r="B101" s="4">
        <v>45989</v>
      </c>
      <c r="C101" s="5">
        <v>0.79236111111111107</v>
      </c>
      <c r="D101" t="s">
        <v>4216</v>
      </c>
      <c r="E101" t="s">
        <v>4211</v>
      </c>
      <c r="H101" t="s">
        <v>2936</v>
      </c>
      <c r="I101" t="s">
        <v>3555</v>
      </c>
      <c r="J101" t="s">
        <v>2984</v>
      </c>
      <c r="K101" t="s">
        <v>3556</v>
      </c>
      <c r="L101" t="s">
        <v>3557</v>
      </c>
      <c r="M101" s="3" t="str">
        <f>HYPERLINK(склад2въезд13192021[[#This Row],[RelativePath]])</f>
        <v>7 Площадка 2 бетонщики\K07156189_18_20251128T190100Z.jpg</v>
      </c>
    </row>
    <row r="102" spans="1:13" x14ac:dyDescent="0.25">
      <c r="A102" s="2" t="s">
        <v>18</v>
      </c>
      <c r="B102" s="4">
        <v>45990</v>
      </c>
      <c r="C102" s="5">
        <v>0.4181597222222222</v>
      </c>
      <c r="D102" t="s">
        <v>4</v>
      </c>
      <c r="E102" t="s">
        <v>8</v>
      </c>
      <c r="I102" t="s">
        <v>3558</v>
      </c>
      <c r="J102" t="s">
        <v>2984</v>
      </c>
      <c r="K102" t="s">
        <v>3559</v>
      </c>
      <c r="L102" t="s">
        <v>3560</v>
      </c>
      <c r="M102" s="3" t="str">
        <f>HYPERLINK(склад2въезд13192021[[#This Row],[RelativePath]])</f>
        <v>7 Площадка 2 бетонщики\K07156189_18_20251129T100209Z.jpg</v>
      </c>
    </row>
    <row r="103" spans="1:13" x14ac:dyDescent="0.25">
      <c r="A103" s="2" t="s">
        <v>18</v>
      </c>
      <c r="B103" s="4">
        <v>45990</v>
      </c>
      <c r="C103" s="5">
        <v>0.54023148148148148</v>
      </c>
      <c r="D103" t="s">
        <v>1606</v>
      </c>
      <c r="E103" t="s">
        <v>4194</v>
      </c>
      <c r="I103" t="s">
        <v>3561</v>
      </c>
      <c r="J103" t="s">
        <v>2984</v>
      </c>
      <c r="K103" t="s">
        <v>3562</v>
      </c>
      <c r="L103" t="s">
        <v>3563</v>
      </c>
      <c r="M103" s="3" t="str">
        <f>HYPERLINK(склад2въезд13192021[[#This Row],[RelativePath]])</f>
        <v>7 Площадка 2 бетонщики\K07156189_18_20251129T125756Z.jpg</v>
      </c>
    </row>
    <row r="104" spans="1:13" x14ac:dyDescent="0.25">
      <c r="A104" s="2" t="s">
        <v>18</v>
      </c>
      <c r="B104" s="4">
        <v>45990</v>
      </c>
      <c r="C104" s="5">
        <v>0.54586805555555551</v>
      </c>
      <c r="D104" t="s">
        <v>1606</v>
      </c>
      <c r="E104" t="s">
        <v>4217</v>
      </c>
      <c r="I104" t="s">
        <v>3564</v>
      </c>
      <c r="J104" t="s">
        <v>2984</v>
      </c>
      <c r="K104" t="s">
        <v>3565</v>
      </c>
      <c r="L104" t="s">
        <v>3566</v>
      </c>
      <c r="M104" s="3" t="str">
        <f>HYPERLINK(склад2въезд13192021[[#This Row],[RelativePath]])</f>
        <v>7 Площадка 2 бетонщики\K07156189_18_20251129T130603Z.jpg</v>
      </c>
    </row>
    <row r="105" spans="1:13" x14ac:dyDescent="0.25">
      <c r="A105" s="2" t="s">
        <v>18</v>
      </c>
      <c r="B105" s="4">
        <v>45990</v>
      </c>
      <c r="C105" s="5">
        <v>0.55248842592592595</v>
      </c>
      <c r="D105" t="s">
        <v>289</v>
      </c>
      <c r="E105" t="s">
        <v>4217</v>
      </c>
      <c r="F105" t="s">
        <v>4211</v>
      </c>
      <c r="I105" t="s">
        <v>3567</v>
      </c>
      <c r="J105" t="s">
        <v>2984</v>
      </c>
      <c r="K105" t="s">
        <v>3568</v>
      </c>
      <c r="L105" t="s">
        <v>3569</v>
      </c>
      <c r="M105" s="3" t="str">
        <f>HYPERLINK(склад2въезд13192021[[#This Row],[RelativePath]])</f>
        <v>7 Площадка 2 бетонщики\K07156189_18_20251129T131535Z.jpg</v>
      </c>
    </row>
    <row r="106" spans="1:13" x14ac:dyDescent="0.25">
      <c r="A106" s="2" t="s">
        <v>18</v>
      </c>
      <c r="B106" s="4">
        <v>45990</v>
      </c>
      <c r="C106" s="5">
        <v>0.55314814814814817</v>
      </c>
      <c r="D106" t="s">
        <v>289</v>
      </c>
      <c r="E106" t="s">
        <v>4217</v>
      </c>
      <c r="F106" t="s">
        <v>4211</v>
      </c>
      <c r="H106" t="s">
        <v>2936</v>
      </c>
      <c r="I106" t="s">
        <v>3570</v>
      </c>
      <c r="J106" t="s">
        <v>2984</v>
      </c>
      <c r="K106" t="s">
        <v>3571</v>
      </c>
      <c r="L106" t="s">
        <v>3572</v>
      </c>
      <c r="M106" s="3" t="str">
        <f>HYPERLINK(склад2въезд13192021[[#This Row],[RelativePath]])</f>
        <v>7 Площадка 2 бетонщики\K07156189_18_20251129T131632Z.jpg</v>
      </c>
    </row>
    <row r="107" spans="1:13" x14ac:dyDescent="0.25">
      <c r="A107" s="2" t="s">
        <v>18</v>
      </c>
      <c r="B107" s="4">
        <v>45990</v>
      </c>
      <c r="C107" s="5">
        <v>0.55888888888888888</v>
      </c>
      <c r="D107" t="s">
        <v>289</v>
      </c>
      <c r="E107" t="s">
        <v>4217</v>
      </c>
      <c r="F107" t="s">
        <v>4211</v>
      </c>
      <c r="H107" t="s">
        <v>2936</v>
      </c>
      <c r="I107" t="s">
        <v>3573</v>
      </c>
      <c r="J107" t="s">
        <v>2984</v>
      </c>
      <c r="K107" t="s">
        <v>3574</v>
      </c>
      <c r="L107" t="s">
        <v>3575</v>
      </c>
      <c r="M107" s="3" t="str">
        <f>HYPERLINK(склад2въезд13192021[[#This Row],[RelativePath]])</f>
        <v>7 Площадка 2 бетонщики\K07156189_18_20251129T132448Z.jpg</v>
      </c>
    </row>
    <row r="108" spans="1:13" x14ac:dyDescent="0.25">
      <c r="A108" s="2" t="s">
        <v>18</v>
      </c>
      <c r="B108" s="4">
        <v>45990</v>
      </c>
      <c r="C108" s="5">
        <v>0.5607523148148148</v>
      </c>
      <c r="D108" t="s">
        <v>289</v>
      </c>
      <c r="E108" t="s">
        <v>4217</v>
      </c>
      <c r="F108" t="s">
        <v>4211</v>
      </c>
      <c r="H108" t="s">
        <v>2936</v>
      </c>
      <c r="I108" t="s">
        <v>3576</v>
      </c>
      <c r="J108" t="s">
        <v>2984</v>
      </c>
      <c r="K108" t="s">
        <v>3577</v>
      </c>
      <c r="L108" t="s">
        <v>3578</v>
      </c>
      <c r="M108" s="3" t="str">
        <f>HYPERLINK(склад2въезд13192021[[#This Row],[RelativePath]])</f>
        <v>7 Площадка 2 бетонщики\K07156189_18_20251129T132729Z.jpg</v>
      </c>
    </row>
    <row r="109" spans="1:13" x14ac:dyDescent="0.25">
      <c r="A109" s="2" t="s">
        <v>18</v>
      </c>
      <c r="B109" s="4">
        <v>45990</v>
      </c>
      <c r="C109" s="5">
        <v>0.56593749999999998</v>
      </c>
      <c r="D109" t="s">
        <v>289</v>
      </c>
      <c r="E109" t="s">
        <v>4217</v>
      </c>
      <c r="F109" t="s">
        <v>4211</v>
      </c>
      <c r="H109" t="s">
        <v>2936</v>
      </c>
      <c r="I109" t="s">
        <v>3579</v>
      </c>
      <c r="J109" t="s">
        <v>2984</v>
      </c>
      <c r="K109" t="s">
        <v>3580</v>
      </c>
      <c r="L109" t="s">
        <v>3581</v>
      </c>
      <c r="M109" s="3" t="str">
        <f>HYPERLINK(склад2въезд13192021[[#This Row],[RelativePath]])</f>
        <v>7 Площадка 2 бетонщики\K07156189_18_20251129T133457Z.jpg</v>
      </c>
    </row>
    <row r="110" spans="1:13" x14ac:dyDescent="0.25">
      <c r="A110" s="2" t="s">
        <v>18</v>
      </c>
      <c r="B110" s="4">
        <v>45990</v>
      </c>
      <c r="C110" s="5">
        <v>0.56846064814814812</v>
      </c>
      <c r="D110" t="s">
        <v>289</v>
      </c>
      <c r="E110" t="s">
        <v>4217</v>
      </c>
      <c r="F110" t="s">
        <v>4211</v>
      </c>
      <c r="H110" t="s">
        <v>2936</v>
      </c>
      <c r="I110" t="s">
        <v>3582</v>
      </c>
      <c r="J110" t="s">
        <v>2984</v>
      </c>
      <c r="K110" t="s">
        <v>3583</v>
      </c>
      <c r="L110" t="s">
        <v>3584</v>
      </c>
      <c r="M110" s="3" t="str">
        <f>HYPERLINK(склад2въезд13192021[[#This Row],[RelativePath]])</f>
        <v>7 Площадка 2 бетонщики\K07156189_18_20251129T133835Z.jpg</v>
      </c>
    </row>
    <row r="111" spans="1:13" x14ac:dyDescent="0.25">
      <c r="A111" s="2" t="s">
        <v>18</v>
      </c>
      <c r="B111" s="4">
        <v>45990</v>
      </c>
      <c r="C111" s="5">
        <v>0.57168981481481485</v>
      </c>
      <c r="D111" t="s">
        <v>289</v>
      </c>
      <c r="E111" t="s">
        <v>4217</v>
      </c>
      <c r="F111" t="s">
        <v>4211</v>
      </c>
      <c r="H111" t="s">
        <v>2936</v>
      </c>
      <c r="I111" t="s">
        <v>3585</v>
      </c>
      <c r="J111" t="s">
        <v>2984</v>
      </c>
      <c r="K111" t="s">
        <v>3586</v>
      </c>
      <c r="L111" t="s">
        <v>3587</v>
      </c>
      <c r="M111" s="3" t="str">
        <f>HYPERLINK(склад2въезд13192021[[#This Row],[RelativePath]])</f>
        <v>7 Площадка 2 бетонщики\K07156189_18_20251129T134314Z.jpg</v>
      </c>
    </row>
    <row r="112" spans="1:13" x14ac:dyDescent="0.25">
      <c r="A112" s="2" t="s">
        <v>18</v>
      </c>
      <c r="B112" s="4">
        <v>45990</v>
      </c>
      <c r="C112" s="5">
        <v>0.57275462962962964</v>
      </c>
      <c r="D112" t="s">
        <v>289</v>
      </c>
      <c r="E112" t="s">
        <v>4217</v>
      </c>
      <c r="F112" t="s">
        <v>4211</v>
      </c>
      <c r="H112" t="s">
        <v>2936</v>
      </c>
      <c r="I112" t="s">
        <v>3588</v>
      </c>
      <c r="J112" t="s">
        <v>2984</v>
      </c>
      <c r="K112" t="s">
        <v>3589</v>
      </c>
      <c r="L112" t="s">
        <v>3590</v>
      </c>
      <c r="M112" s="3" t="str">
        <f>HYPERLINK(склад2въезд13192021[[#This Row],[RelativePath]])</f>
        <v>7 Площадка 2 бетонщики\K07156189_18_20251129T134446Z.jpg</v>
      </c>
    </row>
    <row r="113" spans="1:13" x14ac:dyDescent="0.25">
      <c r="A113" s="2" t="s">
        <v>18</v>
      </c>
      <c r="B113" s="4">
        <v>45990</v>
      </c>
      <c r="C113" s="5">
        <v>0.57449074074074069</v>
      </c>
      <c r="D113" t="s">
        <v>289</v>
      </c>
      <c r="E113" t="s">
        <v>4217</v>
      </c>
      <c r="F113" t="s">
        <v>4211</v>
      </c>
      <c r="H113" t="s">
        <v>2936</v>
      </c>
      <c r="I113" t="s">
        <v>3591</v>
      </c>
      <c r="J113" t="s">
        <v>2984</v>
      </c>
      <c r="K113" t="s">
        <v>3592</v>
      </c>
      <c r="L113" t="s">
        <v>3593</v>
      </c>
      <c r="M113" s="3" t="str">
        <f>HYPERLINK(склад2въезд13192021[[#This Row],[RelativePath]])</f>
        <v>7 Площадка 2 бетонщики\K07156189_18_20251129T134716Z.jpg</v>
      </c>
    </row>
    <row r="114" spans="1:13" x14ac:dyDescent="0.25">
      <c r="A114" s="2" t="s">
        <v>18</v>
      </c>
      <c r="B114" s="4">
        <v>45990</v>
      </c>
      <c r="C114" s="5">
        <v>0.57677083333333334</v>
      </c>
      <c r="D114" t="s">
        <v>289</v>
      </c>
      <c r="E114" t="s">
        <v>4217</v>
      </c>
      <c r="F114" t="s">
        <v>4211</v>
      </c>
      <c r="H114" t="s">
        <v>2936</v>
      </c>
      <c r="I114" t="s">
        <v>3594</v>
      </c>
      <c r="J114" t="s">
        <v>2984</v>
      </c>
      <c r="K114" t="s">
        <v>3595</v>
      </c>
      <c r="L114" t="s">
        <v>3596</v>
      </c>
      <c r="M114" s="3" t="str">
        <f>HYPERLINK(склад2въезд13192021[[#This Row],[RelativePath]])</f>
        <v>7 Площадка 2 бетонщики\K07156189_18_20251129T135033Z.jpg</v>
      </c>
    </row>
    <row r="115" spans="1:13" x14ac:dyDescent="0.25">
      <c r="A115" s="2" t="s">
        <v>18</v>
      </c>
      <c r="B115" s="4">
        <v>45990</v>
      </c>
      <c r="C115" s="5">
        <v>0.57995370370370369</v>
      </c>
      <c r="D115" t="s">
        <v>289</v>
      </c>
      <c r="E115" t="s">
        <v>4217</v>
      </c>
      <c r="F115" t="s">
        <v>4211</v>
      </c>
      <c r="H115" t="s">
        <v>2936</v>
      </c>
      <c r="I115" t="s">
        <v>3597</v>
      </c>
      <c r="J115" t="s">
        <v>2984</v>
      </c>
      <c r="K115" t="s">
        <v>3598</v>
      </c>
      <c r="L115" t="s">
        <v>3599</v>
      </c>
      <c r="M115" s="3" t="str">
        <f>HYPERLINK(склад2въезд13192021[[#This Row],[RelativePath]])</f>
        <v>7 Площадка 2 бетонщики\K07156189_18_20251129T135508Z.jpg</v>
      </c>
    </row>
    <row r="116" spans="1:13" x14ac:dyDescent="0.25">
      <c r="A116" s="2" t="s">
        <v>18</v>
      </c>
      <c r="B116" s="4">
        <v>45990</v>
      </c>
      <c r="C116" s="5">
        <v>0.58212962962962966</v>
      </c>
      <c r="D116" t="s">
        <v>289</v>
      </c>
      <c r="E116" t="s">
        <v>4217</v>
      </c>
      <c r="F116" t="s">
        <v>4211</v>
      </c>
      <c r="H116" t="s">
        <v>2936</v>
      </c>
      <c r="I116" t="s">
        <v>3600</v>
      </c>
      <c r="J116" t="s">
        <v>2984</v>
      </c>
      <c r="K116" t="s">
        <v>3601</v>
      </c>
      <c r="L116" t="s">
        <v>3602</v>
      </c>
      <c r="M116" s="3" t="str">
        <f>HYPERLINK(склад2въезд13192021[[#This Row],[RelativePath]])</f>
        <v>7 Площадка 2 бетонщики\K07156189_18_20251129T135816Z.jpg</v>
      </c>
    </row>
    <row r="117" spans="1:13" x14ac:dyDescent="0.25">
      <c r="A117" s="2" t="s">
        <v>18</v>
      </c>
      <c r="B117" s="4">
        <v>45990</v>
      </c>
      <c r="C117" s="5">
        <v>0.58278935185185188</v>
      </c>
      <c r="D117" t="s">
        <v>289</v>
      </c>
      <c r="E117" t="s">
        <v>4217</v>
      </c>
      <c r="F117" t="s">
        <v>4211</v>
      </c>
      <c r="H117" t="s">
        <v>2936</v>
      </c>
      <c r="I117" t="s">
        <v>3603</v>
      </c>
      <c r="J117" t="s">
        <v>2984</v>
      </c>
      <c r="K117" t="s">
        <v>3604</v>
      </c>
      <c r="L117" t="s">
        <v>3605</v>
      </c>
      <c r="M117" s="3" t="str">
        <f>HYPERLINK(склад2въезд13192021[[#This Row],[RelativePath]])</f>
        <v>7 Площадка 2 бетонщики\K07156189_18_20251129T135913Z.jpg</v>
      </c>
    </row>
    <row r="118" spans="1:13" x14ac:dyDescent="0.25">
      <c r="A118" s="2" t="s">
        <v>18</v>
      </c>
      <c r="B118" s="4">
        <v>45990</v>
      </c>
      <c r="C118" s="5">
        <v>0.58450231481481485</v>
      </c>
      <c r="D118" t="s">
        <v>289</v>
      </c>
      <c r="E118" t="s">
        <v>4217</v>
      </c>
      <c r="F118" t="s">
        <v>4211</v>
      </c>
      <c r="H118" t="s">
        <v>2936</v>
      </c>
      <c r="I118" t="s">
        <v>3606</v>
      </c>
      <c r="J118" t="s">
        <v>2984</v>
      </c>
      <c r="K118" t="s">
        <v>3607</v>
      </c>
      <c r="L118" t="s">
        <v>3608</v>
      </c>
      <c r="M118" s="3" t="str">
        <f>HYPERLINK(склад2въезд13192021[[#This Row],[RelativePath]])</f>
        <v>7 Площадка 2 бетонщики\K07156189_18_20251129T140141Z.jpg</v>
      </c>
    </row>
    <row r="119" spans="1:13" x14ac:dyDescent="0.25">
      <c r="A119" s="2" t="s">
        <v>18</v>
      </c>
      <c r="B119" s="4">
        <v>45990</v>
      </c>
      <c r="C119" s="5">
        <v>0.59234953703703708</v>
      </c>
      <c r="D119" t="s">
        <v>650</v>
      </c>
      <c r="E119" t="s">
        <v>4217</v>
      </c>
      <c r="F119" t="s">
        <v>4211</v>
      </c>
      <c r="H119" t="s">
        <v>4218</v>
      </c>
      <c r="I119" t="s">
        <v>3609</v>
      </c>
      <c r="J119" t="s">
        <v>2984</v>
      </c>
      <c r="K119" t="s">
        <v>3610</v>
      </c>
      <c r="L119" t="s">
        <v>3611</v>
      </c>
      <c r="M119" s="3" t="str">
        <f>HYPERLINK(склад2въезд13192021[[#This Row],[RelativePath]])</f>
        <v>7 Площадка 2 бетонщики\K07156189_18_20251129T141259Z.jpg</v>
      </c>
    </row>
    <row r="120" spans="1:13" x14ac:dyDescent="0.25">
      <c r="A120" s="2" t="s">
        <v>18</v>
      </c>
      <c r="B120" s="4">
        <v>45990</v>
      </c>
      <c r="C120" s="5">
        <v>0.61375000000000002</v>
      </c>
      <c r="D120" t="s">
        <v>289</v>
      </c>
      <c r="E120" t="s">
        <v>4194</v>
      </c>
      <c r="F120" t="s">
        <v>4211</v>
      </c>
      <c r="I120" t="s">
        <v>3612</v>
      </c>
      <c r="J120" t="s">
        <v>2984</v>
      </c>
      <c r="K120" t="s">
        <v>3613</v>
      </c>
      <c r="L120" t="s">
        <v>3614</v>
      </c>
      <c r="M120" s="3" t="str">
        <f>HYPERLINK(склад2въезд13192021[[#This Row],[RelativePath]])</f>
        <v>7 Площадка 2 бетонщики\K07156189_18_20251129T144348Z.jpg</v>
      </c>
    </row>
    <row r="121" spans="1:13" x14ac:dyDescent="0.25">
      <c r="A121" s="2" t="s">
        <v>18</v>
      </c>
      <c r="B121" s="4">
        <v>45990</v>
      </c>
      <c r="C121" s="5">
        <v>0.61790509259259263</v>
      </c>
      <c r="D121" t="s">
        <v>289</v>
      </c>
      <c r="E121" t="s">
        <v>4194</v>
      </c>
      <c r="F121" t="s">
        <v>4211</v>
      </c>
      <c r="H121" t="s">
        <v>2936</v>
      </c>
      <c r="I121" t="s">
        <v>3615</v>
      </c>
      <c r="J121" t="s">
        <v>2984</v>
      </c>
      <c r="K121" t="s">
        <v>3616</v>
      </c>
      <c r="L121" t="s">
        <v>3617</v>
      </c>
      <c r="M121" s="3" t="str">
        <f>HYPERLINK(склад2въезд13192021[[#This Row],[RelativePath]])</f>
        <v>7 Площадка 2 бетонщики\K07156189_18_20251129T144947Z.jpg</v>
      </c>
    </row>
    <row r="122" spans="1:13" x14ac:dyDescent="0.25">
      <c r="A122" s="2" t="s">
        <v>18</v>
      </c>
      <c r="B122" s="4">
        <v>45990</v>
      </c>
      <c r="C122" s="5">
        <v>0.61982638888888886</v>
      </c>
      <c r="D122" t="s">
        <v>289</v>
      </c>
      <c r="E122" t="s">
        <v>4194</v>
      </c>
      <c r="F122" t="s">
        <v>4211</v>
      </c>
      <c r="H122" t="s">
        <v>2936</v>
      </c>
      <c r="I122" t="s">
        <v>3618</v>
      </c>
      <c r="J122" t="s">
        <v>2984</v>
      </c>
      <c r="K122" t="s">
        <v>3619</v>
      </c>
      <c r="L122" t="s">
        <v>3620</v>
      </c>
      <c r="M122" s="3" t="str">
        <f>HYPERLINK(склад2въезд13192021[[#This Row],[RelativePath]])</f>
        <v>7 Площадка 2 бетонщики\K07156189_18_20251129T145233Z.jpg</v>
      </c>
    </row>
    <row r="123" spans="1:13" x14ac:dyDescent="0.25">
      <c r="A123" s="2" t="s">
        <v>18</v>
      </c>
      <c r="B123" s="4">
        <v>45990</v>
      </c>
      <c r="C123" s="5">
        <v>0.6216666666666667</v>
      </c>
      <c r="D123" t="s">
        <v>289</v>
      </c>
      <c r="E123" t="s">
        <v>4194</v>
      </c>
      <c r="F123" t="s">
        <v>4211</v>
      </c>
      <c r="H123" t="s">
        <v>2936</v>
      </c>
      <c r="I123" t="s">
        <v>3621</v>
      </c>
      <c r="J123" t="s">
        <v>2984</v>
      </c>
      <c r="K123" t="s">
        <v>3622</v>
      </c>
      <c r="L123" t="s">
        <v>3623</v>
      </c>
      <c r="M123" s="3" t="str">
        <f>HYPERLINK(склад2въезд13192021[[#This Row],[RelativePath]])</f>
        <v>7 Площадка 2 бетонщики\K07156189_18_20251129T145512Z.jpg</v>
      </c>
    </row>
    <row r="124" spans="1:13" x14ac:dyDescent="0.25">
      <c r="A124" s="2" t="s">
        <v>18</v>
      </c>
      <c r="B124" s="4">
        <v>45990</v>
      </c>
      <c r="C124" s="5">
        <v>0.62410879629629634</v>
      </c>
      <c r="D124" t="s">
        <v>289</v>
      </c>
      <c r="E124" t="s">
        <v>4194</v>
      </c>
      <c r="F124" t="s">
        <v>4211</v>
      </c>
      <c r="H124" t="s">
        <v>2936</v>
      </c>
      <c r="I124" t="s">
        <v>3624</v>
      </c>
      <c r="J124" t="s">
        <v>2984</v>
      </c>
      <c r="K124" t="s">
        <v>3625</v>
      </c>
      <c r="L124" t="s">
        <v>3626</v>
      </c>
      <c r="M124" s="3" t="str">
        <f>HYPERLINK(склад2въезд13192021[[#This Row],[RelativePath]])</f>
        <v>7 Площадка 2 бетонщики\K07156189_18_20251129T145843Z.jpg</v>
      </c>
    </row>
    <row r="125" spans="1:13" x14ac:dyDescent="0.25">
      <c r="A125" s="2" t="s">
        <v>18</v>
      </c>
      <c r="B125" s="4">
        <v>45990</v>
      </c>
      <c r="C125" s="5">
        <v>0.62604166666666672</v>
      </c>
      <c r="D125" t="s">
        <v>289</v>
      </c>
      <c r="E125" t="s">
        <v>4194</v>
      </c>
      <c r="F125" t="s">
        <v>4211</v>
      </c>
      <c r="H125" t="s">
        <v>2936</v>
      </c>
      <c r="I125" t="s">
        <v>3627</v>
      </c>
      <c r="J125" t="s">
        <v>2984</v>
      </c>
      <c r="K125" t="s">
        <v>3628</v>
      </c>
      <c r="L125" t="s">
        <v>3629</v>
      </c>
      <c r="M125" s="3" t="str">
        <f>HYPERLINK(склад2въезд13192021[[#This Row],[RelativePath]])</f>
        <v>7 Площадка 2 бетонщики\K07156189_18_20251129T150130Z.jpg</v>
      </c>
    </row>
    <row r="126" spans="1:13" x14ac:dyDescent="0.25">
      <c r="A126" s="2" t="s">
        <v>18</v>
      </c>
      <c r="B126" s="4">
        <v>45990</v>
      </c>
      <c r="C126" s="5">
        <v>0.63124999999999998</v>
      </c>
      <c r="D126" t="s">
        <v>289</v>
      </c>
      <c r="E126" t="s">
        <v>4194</v>
      </c>
      <c r="F126" t="s">
        <v>4211</v>
      </c>
      <c r="H126" t="s">
        <v>2936</v>
      </c>
      <c r="I126" t="s">
        <v>3630</v>
      </c>
      <c r="J126" t="s">
        <v>2984</v>
      </c>
      <c r="K126" t="s">
        <v>3631</v>
      </c>
      <c r="L126" t="s">
        <v>3632</v>
      </c>
      <c r="M126" s="3" t="str">
        <f>HYPERLINK(склад2въезд13192021[[#This Row],[RelativePath]])</f>
        <v>7 Площадка 2 бетонщики\K07156189_18_20251129T150900Z.jpg</v>
      </c>
    </row>
    <row r="127" spans="1:13" x14ac:dyDescent="0.25">
      <c r="A127" s="2" t="s">
        <v>18</v>
      </c>
      <c r="B127" s="4">
        <v>45990</v>
      </c>
      <c r="C127" s="5">
        <v>0.6338773148148148</v>
      </c>
      <c r="D127" t="s">
        <v>289</v>
      </c>
      <c r="E127" t="s">
        <v>4194</v>
      </c>
      <c r="F127" t="s">
        <v>4211</v>
      </c>
      <c r="H127" t="s">
        <v>2936</v>
      </c>
      <c r="I127" t="s">
        <v>3633</v>
      </c>
      <c r="J127" t="s">
        <v>2984</v>
      </c>
      <c r="K127" t="s">
        <v>3634</v>
      </c>
      <c r="L127" t="s">
        <v>3635</v>
      </c>
      <c r="M127" s="3" t="str">
        <f>HYPERLINK(склад2въезд13192021[[#This Row],[RelativePath]])</f>
        <v>7 Площадка 2 бетонщики\K07156189_18_20251129T151247Z.jpg</v>
      </c>
    </row>
    <row r="128" spans="1:13" x14ac:dyDescent="0.25">
      <c r="A128" s="2" t="s">
        <v>18</v>
      </c>
      <c r="B128" s="4">
        <v>45990</v>
      </c>
      <c r="C128" s="5">
        <v>0.63736111111111116</v>
      </c>
      <c r="D128" t="s">
        <v>289</v>
      </c>
      <c r="E128" t="s">
        <v>4194</v>
      </c>
      <c r="F128" t="s">
        <v>4211</v>
      </c>
      <c r="H128" t="s">
        <v>2936</v>
      </c>
      <c r="I128" t="s">
        <v>3636</v>
      </c>
      <c r="J128" t="s">
        <v>2984</v>
      </c>
      <c r="K128" t="s">
        <v>3637</v>
      </c>
      <c r="L128" t="s">
        <v>3638</v>
      </c>
      <c r="M128" s="3" t="str">
        <f>HYPERLINK(склад2въезд13192021[[#This Row],[RelativePath]])</f>
        <v>7 Площадка 2 бетонщики\K07156189_18_20251129T151748Z.jpg</v>
      </c>
    </row>
    <row r="129" spans="1:13" x14ac:dyDescent="0.25">
      <c r="A129" s="2" t="s">
        <v>18</v>
      </c>
      <c r="B129" s="4">
        <v>45990</v>
      </c>
      <c r="C129" s="5">
        <v>0.63914351851851847</v>
      </c>
      <c r="D129" t="s">
        <v>289</v>
      </c>
      <c r="E129" t="s">
        <v>4194</v>
      </c>
      <c r="F129" t="s">
        <v>4211</v>
      </c>
      <c r="H129" t="s">
        <v>2936</v>
      </c>
      <c r="I129" t="s">
        <v>3639</v>
      </c>
      <c r="J129" t="s">
        <v>2984</v>
      </c>
      <c r="K129" t="s">
        <v>3640</v>
      </c>
      <c r="L129" t="s">
        <v>3641</v>
      </c>
      <c r="M129" s="3" t="str">
        <f>HYPERLINK(склад2въезд13192021[[#This Row],[RelativePath]])</f>
        <v>7 Площадка 2 бетонщики\K07156189_18_20251129T152022Z.jpg</v>
      </c>
    </row>
    <row r="130" spans="1:13" x14ac:dyDescent="0.25">
      <c r="A130" s="2" t="s">
        <v>18</v>
      </c>
      <c r="B130" s="4">
        <v>45990</v>
      </c>
      <c r="C130" s="5">
        <v>0.64195601851851847</v>
      </c>
      <c r="D130" t="s">
        <v>289</v>
      </c>
      <c r="E130" t="s">
        <v>4194</v>
      </c>
      <c r="F130" t="s">
        <v>4211</v>
      </c>
      <c r="H130" t="s">
        <v>2936</v>
      </c>
      <c r="I130" t="s">
        <v>3642</v>
      </c>
      <c r="J130" t="s">
        <v>2984</v>
      </c>
      <c r="K130" t="s">
        <v>3643</v>
      </c>
      <c r="L130" t="s">
        <v>3644</v>
      </c>
      <c r="M130" s="3" t="str">
        <f>HYPERLINK(склад2въезд13192021[[#This Row],[RelativePath]])</f>
        <v>7 Площадка 2 бетонщики\K07156189_18_20251129T152425Z.jpg</v>
      </c>
    </row>
    <row r="131" spans="1:13" x14ac:dyDescent="0.25">
      <c r="A131" s="2" t="s">
        <v>18</v>
      </c>
      <c r="B131" s="4">
        <v>45990</v>
      </c>
      <c r="C131" s="5">
        <v>0.64386574074074077</v>
      </c>
      <c r="D131" t="s">
        <v>289</v>
      </c>
      <c r="E131" t="s">
        <v>4194</v>
      </c>
      <c r="F131" t="s">
        <v>87</v>
      </c>
      <c r="I131" t="s">
        <v>3645</v>
      </c>
      <c r="J131" t="s">
        <v>2984</v>
      </c>
      <c r="K131" t="s">
        <v>3646</v>
      </c>
      <c r="L131" t="s">
        <v>3647</v>
      </c>
      <c r="M131" s="3" t="str">
        <f>HYPERLINK(склад2въезд13192021[[#This Row],[RelativePath]])</f>
        <v>7 Площадка 2 бетонщики\K07156189_18_20251129T152710Z.jpg</v>
      </c>
    </row>
    <row r="132" spans="1:13" x14ac:dyDescent="0.25">
      <c r="A132" s="2" t="s">
        <v>18</v>
      </c>
      <c r="B132" s="4">
        <v>45990</v>
      </c>
      <c r="C132" s="5">
        <v>0.64961805555555552</v>
      </c>
      <c r="D132" t="s">
        <v>1606</v>
      </c>
      <c r="E132" t="s">
        <v>4195</v>
      </c>
      <c r="I132" t="s">
        <v>3648</v>
      </c>
      <c r="J132" t="s">
        <v>2984</v>
      </c>
      <c r="K132" t="s">
        <v>3649</v>
      </c>
      <c r="L132" t="s">
        <v>3377</v>
      </c>
      <c r="M132" s="3" t="str">
        <f>HYPERLINK(склад2въезд13192021[[#This Row],[RelativePath]])</f>
        <v>7 Площадка 2 бетонщики\K07156189_18_20251129T153527Z.jpg</v>
      </c>
    </row>
    <row r="133" spans="1:13" x14ac:dyDescent="0.25">
      <c r="A133" s="2" t="s">
        <v>18</v>
      </c>
      <c r="B133" s="4">
        <v>45990</v>
      </c>
      <c r="C133" s="5">
        <v>0.64981481481481485</v>
      </c>
      <c r="D133" t="s">
        <v>1606</v>
      </c>
      <c r="E133" t="s">
        <v>4195</v>
      </c>
      <c r="H133" t="s">
        <v>2936</v>
      </c>
      <c r="I133" t="s">
        <v>3650</v>
      </c>
      <c r="J133" t="s">
        <v>2984</v>
      </c>
      <c r="K133" t="s">
        <v>3651</v>
      </c>
      <c r="L133" t="s">
        <v>3652</v>
      </c>
      <c r="M133" s="3" t="str">
        <f>HYPERLINK(склад2въезд13192021[[#This Row],[RelativePath]])</f>
        <v>7 Площадка 2 бетонщики\K07156189_18_20251129T153544Z.jpg</v>
      </c>
    </row>
    <row r="134" spans="1:13" x14ac:dyDescent="0.25">
      <c r="A134" s="2" t="s">
        <v>18</v>
      </c>
      <c r="B134" s="4">
        <v>45990</v>
      </c>
      <c r="C134" s="5">
        <v>0.65312499999999996</v>
      </c>
      <c r="D134" t="s">
        <v>289</v>
      </c>
      <c r="E134" t="s">
        <v>4195</v>
      </c>
      <c r="F134" t="s">
        <v>4211</v>
      </c>
      <c r="I134" t="s">
        <v>3653</v>
      </c>
      <c r="J134" t="s">
        <v>2984</v>
      </c>
      <c r="K134" t="s">
        <v>3654</v>
      </c>
      <c r="L134" t="s">
        <v>3655</v>
      </c>
      <c r="M134" s="3" t="str">
        <f>HYPERLINK(склад2въезд13192021[[#This Row],[RelativePath]])</f>
        <v>7 Площадка 2 бетонщики\K07156189_18_20251129T154030Z.jpg</v>
      </c>
    </row>
    <row r="135" spans="1:13" x14ac:dyDescent="0.25">
      <c r="A135" s="2" t="s">
        <v>18</v>
      </c>
      <c r="B135" s="4">
        <v>45990</v>
      </c>
      <c r="C135" s="5">
        <v>0.65543981481481484</v>
      </c>
      <c r="D135" t="s">
        <v>289</v>
      </c>
      <c r="E135" t="s">
        <v>4195</v>
      </c>
      <c r="F135" t="s">
        <v>4211</v>
      </c>
      <c r="H135" t="s">
        <v>2936</v>
      </c>
      <c r="I135" t="s">
        <v>3656</v>
      </c>
      <c r="J135" t="s">
        <v>2984</v>
      </c>
      <c r="K135" t="s">
        <v>3657</v>
      </c>
      <c r="L135" t="s">
        <v>3658</v>
      </c>
      <c r="M135" s="3" t="str">
        <f>HYPERLINK(склад2въезд13192021[[#This Row],[RelativePath]])</f>
        <v>7 Площадка 2 бетонщики\K07156189_18_20251129T154350Z.jpg</v>
      </c>
    </row>
    <row r="136" spans="1:13" x14ac:dyDescent="0.25">
      <c r="A136" s="2" t="s">
        <v>18</v>
      </c>
      <c r="B136" s="4">
        <v>45990</v>
      </c>
      <c r="C136" s="5">
        <v>0.65699074074074071</v>
      </c>
      <c r="D136" t="s">
        <v>289</v>
      </c>
      <c r="E136" t="s">
        <v>4195</v>
      </c>
      <c r="F136" t="s">
        <v>4211</v>
      </c>
      <c r="H136" t="s">
        <v>2936</v>
      </c>
      <c r="I136" t="s">
        <v>3659</v>
      </c>
      <c r="J136" t="s">
        <v>2984</v>
      </c>
      <c r="K136" t="s">
        <v>3660</v>
      </c>
      <c r="L136" t="s">
        <v>3661</v>
      </c>
      <c r="M136" s="3" t="str">
        <f>HYPERLINK(склад2въезд13192021[[#This Row],[RelativePath]])</f>
        <v>7 Площадка 2 бетонщики\K07156189_18_20251129T154604Z.jpg</v>
      </c>
    </row>
    <row r="137" spans="1:13" x14ac:dyDescent="0.25">
      <c r="A137" s="2" t="s">
        <v>18</v>
      </c>
      <c r="B137" s="4">
        <v>45990</v>
      </c>
      <c r="C137" s="5">
        <v>0.65927083333333336</v>
      </c>
      <c r="D137" t="s">
        <v>289</v>
      </c>
      <c r="E137" t="s">
        <v>4195</v>
      </c>
      <c r="F137" t="s">
        <v>4211</v>
      </c>
      <c r="H137" t="s">
        <v>2936</v>
      </c>
      <c r="I137" t="s">
        <v>3662</v>
      </c>
      <c r="J137" t="s">
        <v>2984</v>
      </c>
      <c r="K137" t="s">
        <v>3663</v>
      </c>
      <c r="L137" t="s">
        <v>3664</v>
      </c>
      <c r="M137" s="3" t="str">
        <f>HYPERLINK(склад2въезд13192021[[#This Row],[RelativePath]])</f>
        <v>7 Площадка 2 бетонщики\K07156189_18_20251129T154921Z.jpg</v>
      </c>
    </row>
    <row r="138" spans="1:13" x14ac:dyDescent="0.25">
      <c r="A138" s="2" t="s">
        <v>18</v>
      </c>
      <c r="B138" s="4">
        <v>45990</v>
      </c>
      <c r="C138" s="5">
        <v>0.66106481481481483</v>
      </c>
      <c r="D138" t="s">
        <v>289</v>
      </c>
      <c r="E138" t="s">
        <v>4195</v>
      </c>
      <c r="F138" t="s">
        <v>4211</v>
      </c>
      <c r="H138" t="s">
        <v>2936</v>
      </c>
      <c r="I138" t="s">
        <v>3665</v>
      </c>
      <c r="J138" t="s">
        <v>2984</v>
      </c>
      <c r="K138" t="s">
        <v>3666</v>
      </c>
      <c r="L138" t="s">
        <v>3667</v>
      </c>
      <c r="M138" s="3" t="str">
        <f>HYPERLINK(склад2въезд13192021[[#This Row],[RelativePath]])</f>
        <v>7 Площадка 2 бетонщики\K07156189_18_20251129T155156Z.jpg</v>
      </c>
    </row>
    <row r="139" spans="1:13" x14ac:dyDescent="0.25">
      <c r="A139" s="2" t="s">
        <v>18</v>
      </c>
      <c r="B139" s="4">
        <v>45990</v>
      </c>
      <c r="C139" s="5">
        <v>0.66378472222222218</v>
      </c>
      <c r="D139" t="s">
        <v>289</v>
      </c>
      <c r="E139" t="s">
        <v>4195</v>
      </c>
      <c r="F139" t="s">
        <v>4211</v>
      </c>
      <c r="H139" t="s">
        <v>2936</v>
      </c>
      <c r="I139" t="s">
        <v>3668</v>
      </c>
      <c r="J139" t="s">
        <v>2984</v>
      </c>
      <c r="K139" t="s">
        <v>3669</v>
      </c>
      <c r="L139" t="s">
        <v>3670</v>
      </c>
      <c r="M139" s="3" t="str">
        <f>HYPERLINK(склад2въезд13192021[[#This Row],[RelativePath]])</f>
        <v>7 Площадка 2 бетонщики\K07156189_18_20251129T155551Z.jpg</v>
      </c>
    </row>
    <row r="140" spans="1:13" x14ac:dyDescent="0.25">
      <c r="A140" s="2" t="s">
        <v>18</v>
      </c>
      <c r="B140" s="4">
        <v>45990</v>
      </c>
      <c r="C140" s="5">
        <v>0.66733796296296299</v>
      </c>
      <c r="D140" t="s">
        <v>289</v>
      </c>
      <c r="E140" t="s">
        <v>4195</v>
      </c>
      <c r="F140" t="s">
        <v>4211</v>
      </c>
      <c r="H140" t="s">
        <v>2936</v>
      </c>
      <c r="I140" t="s">
        <v>3671</v>
      </c>
      <c r="J140" t="s">
        <v>2984</v>
      </c>
      <c r="K140" t="s">
        <v>3672</v>
      </c>
      <c r="L140" t="s">
        <v>3673</v>
      </c>
      <c r="M140" s="3" t="str">
        <f>HYPERLINK(склад2въезд13192021[[#This Row],[RelativePath]])</f>
        <v>7 Площадка 2 бетонщики\K07156189_18_20251129T160058Z.jpg</v>
      </c>
    </row>
    <row r="141" spans="1:13" x14ac:dyDescent="0.25">
      <c r="A141" s="2" t="s">
        <v>18</v>
      </c>
      <c r="B141" s="4">
        <v>45990</v>
      </c>
      <c r="C141" s="5">
        <v>0.66971064814814818</v>
      </c>
      <c r="D141" t="s">
        <v>289</v>
      </c>
      <c r="E141" t="s">
        <v>4195</v>
      </c>
      <c r="F141" t="s">
        <v>4211</v>
      </c>
      <c r="H141" t="s">
        <v>2936</v>
      </c>
      <c r="I141" t="s">
        <v>3674</v>
      </c>
      <c r="J141" t="s">
        <v>2984</v>
      </c>
      <c r="K141" t="s">
        <v>3675</v>
      </c>
      <c r="L141" t="s">
        <v>3676</v>
      </c>
      <c r="M141" s="3" t="str">
        <f>HYPERLINK(склад2въезд13192021[[#This Row],[RelativePath]])</f>
        <v>7 Площадка 2 бетонщики\K07156189_18_20251129T160423Z.jpg</v>
      </c>
    </row>
    <row r="142" spans="1:13" x14ac:dyDescent="0.25">
      <c r="A142" s="2" t="s">
        <v>18</v>
      </c>
      <c r="B142" s="4">
        <v>45990</v>
      </c>
      <c r="C142" s="5">
        <v>0.67155092592592591</v>
      </c>
      <c r="D142" t="s">
        <v>289</v>
      </c>
      <c r="E142" t="s">
        <v>4195</v>
      </c>
      <c r="F142" t="s">
        <v>4211</v>
      </c>
      <c r="H142" t="s">
        <v>2936</v>
      </c>
      <c r="I142" t="s">
        <v>3677</v>
      </c>
      <c r="J142" t="s">
        <v>2984</v>
      </c>
      <c r="K142" t="s">
        <v>3678</v>
      </c>
      <c r="L142" t="s">
        <v>3679</v>
      </c>
      <c r="M142" s="3" t="str">
        <f>HYPERLINK(склад2въезд13192021[[#This Row],[RelativePath]])</f>
        <v>7 Площадка 2 бетонщики\K07156189_18_20251129T160702Z.jpg</v>
      </c>
    </row>
    <row r="143" spans="1:13" x14ac:dyDescent="0.25">
      <c r="A143" s="2" t="s">
        <v>18</v>
      </c>
      <c r="B143" s="4">
        <v>45990</v>
      </c>
      <c r="C143" s="5">
        <v>0.67405092592592597</v>
      </c>
      <c r="D143" t="s">
        <v>289</v>
      </c>
      <c r="E143" t="s">
        <v>4195</v>
      </c>
      <c r="F143" t="s">
        <v>4211</v>
      </c>
      <c r="H143" t="s">
        <v>2936</v>
      </c>
      <c r="I143" t="s">
        <v>3680</v>
      </c>
      <c r="J143" t="s">
        <v>2984</v>
      </c>
      <c r="K143" t="s">
        <v>3681</v>
      </c>
      <c r="L143" t="s">
        <v>3682</v>
      </c>
      <c r="M143" s="3" t="str">
        <f>HYPERLINK(склад2въезд13192021[[#This Row],[RelativePath]])</f>
        <v>7 Площадка 2 бетонщики\K07156189_18_20251129T161038Z.jpg</v>
      </c>
    </row>
    <row r="144" spans="1:13" x14ac:dyDescent="0.25">
      <c r="A144" s="2" t="s">
        <v>18</v>
      </c>
      <c r="B144" s="4">
        <v>45990</v>
      </c>
      <c r="C144" s="5">
        <v>0.67570601851851853</v>
      </c>
      <c r="D144" t="s">
        <v>289</v>
      </c>
      <c r="E144" t="s">
        <v>4195</v>
      </c>
      <c r="F144" t="s">
        <v>4211</v>
      </c>
      <c r="H144" t="s">
        <v>2936</v>
      </c>
      <c r="I144" t="s">
        <v>3683</v>
      </c>
      <c r="J144" t="s">
        <v>2984</v>
      </c>
      <c r="K144" t="s">
        <v>3684</v>
      </c>
      <c r="L144" t="s">
        <v>3685</v>
      </c>
      <c r="M144" s="3" t="str">
        <f>HYPERLINK(склад2въезд13192021[[#This Row],[RelativePath]])</f>
        <v>7 Площадка 2 бетонщики\K07156189_18_20251129T161301Z.jpg</v>
      </c>
    </row>
    <row r="145" spans="1:13" x14ac:dyDescent="0.25">
      <c r="A145" s="2" t="s">
        <v>18</v>
      </c>
      <c r="B145" s="4">
        <v>45990</v>
      </c>
      <c r="C145" s="5">
        <v>0.67623842592592598</v>
      </c>
      <c r="D145" t="s">
        <v>289</v>
      </c>
      <c r="E145" t="s">
        <v>4195</v>
      </c>
      <c r="F145" t="s">
        <v>4211</v>
      </c>
      <c r="H145" t="s">
        <v>2936</v>
      </c>
      <c r="I145" t="s">
        <v>3686</v>
      </c>
      <c r="J145" t="s">
        <v>2984</v>
      </c>
      <c r="K145" t="s">
        <v>3687</v>
      </c>
      <c r="L145" t="s">
        <v>3688</v>
      </c>
      <c r="M145" s="3" t="str">
        <f>HYPERLINK(склад2въезд13192021[[#This Row],[RelativePath]])</f>
        <v>7 Площадка 2 бетонщики\K07156189_18_20251129T161347Z.jpg</v>
      </c>
    </row>
    <row r="146" spans="1:13" x14ac:dyDescent="0.25">
      <c r="A146" s="2" t="s">
        <v>18</v>
      </c>
      <c r="B146" s="4">
        <v>45990</v>
      </c>
      <c r="C146" s="5">
        <v>0.67753472222222222</v>
      </c>
      <c r="D146" t="s">
        <v>289</v>
      </c>
      <c r="E146" t="s">
        <v>4195</v>
      </c>
      <c r="F146" t="s">
        <v>4211</v>
      </c>
      <c r="H146" t="s">
        <v>2936</v>
      </c>
      <c r="I146" t="s">
        <v>3689</v>
      </c>
      <c r="J146" t="s">
        <v>2984</v>
      </c>
      <c r="K146" t="s">
        <v>3690</v>
      </c>
      <c r="L146" t="s">
        <v>3691</v>
      </c>
      <c r="M146" s="3" t="str">
        <f>HYPERLINK(склад2въезд13192021[[#This Row],[RelativePath]])</f>
        <v>7 Площадка 2 бетонщики\K07156189_18_20251129T161539Z.jpg</v>
      </c>
    </row>
    <row r="147" spans="1:13" x14ac:dyDescent="0.25">
      <c r="A147" s="2" t="s">
        <v>18</v>
      </c>
      <c r="B147" s="4">
        <v>45990</v>
      </c>
      <c r="C147" s="5">
        <v>0.68038194444444444</v>
      </c>
      <c r="D147" t="s">
        <v>289</v>
      </c>
      <c r="E147" t="s">
        <v>4195</v>
      </c>
      <c r="F147" t="s">
        <v>4211</v>
      </c>
      <c r="H147" t="s">
        <v>2936</v>
      </c>
      <c r="I147" t="s">
        <v>3692</v>
      </c>
      <c r="J147" t="s">
        <v>2984</v>
      </c>
      <c r="K147" t="s">
        <v>3693</v>
      </c>
      <c r="L147" t="s">
        <v>3694</v>
      </c>
      <c r="M147" s="3" t="str">
        <f>HYPERLINK(склад2въезд13192021[[#This Row],[RelativePath]])</f>
        <v>7 Площадка 2 бетонщики\K07156189_18_20251129T161945Z.jpg</v>
      </c>
    </row>
    <row r="148" spans="1:13" x14ac:dyDescent="0.25">
      <c r="A148" s="2" t="s">
        <v>18</v>
      </c>
      <c r="B148" s="4">
        <v>45990</v>
      </c>
      <c r="C148" s="5">
        <v>0.68329861111111112</v>
      </c>
      <c r="D148" t="s">
        <v>289</v>
      </c>
      <c r="E148" t="s">
        <v>4195</v>
      </c>
      <c r="F148" t="s">
        <v>4211</v>
      </c>
      <c r="H148" t="s">
        <v>2936</v>
      </c>
      <c r="I148" t="s">
        <v>3695</v>
      </c>
      <c r="J148" t="s">
        <v>2984</v>
      </c>
      <c r="K148" t="s">
        <v>3696</v>
      </c>
      <c r="L148" t="s">
        <v>3697</v>
      </c>
      <c r="M148" s="3" t="str">
        <f>HYPERLINK(склад2въезд13192021[[#This Row],[RelativePath]])</f>
        <v>7 Площадка 2 бетонщики\K07156189_18_20251129T162357Z.jpg</v>
      </c>
    </row>
    <row r="149" spans="1:13" x14ac:dyDescent="0.25">
      <c r="A149" s="2" t="s">
        <v>18</v>
      </c>
      <c r="B149" s="4">
        <v>45990</v>
      </c>
      <c r="C149" s="5">
        <v>0.68376157407407412</v>
      </c>
      <c r="D149" t="s">
        <v>289</v>
      </c>
      <c r="E149" t="s">
        <v>4195</v>
      </c>
      <c r="F149" t="s">
        <v>4211</v>
      </c>
      <c r="H149" t="s">
        <v>2936</v>
      </c>
      <c r="I149" t="s">
        <v>3698</v>
      </c>
      <c r="J149" t="s">
        <v>2984</v>
      </c>
      <c r="K149" t="s">
        <v>3699</v>
      </c>
      <c r="L149" t="s">
        <v>3700</v>
      </c>
      <c r="M149" s="3" t="str">
        <f>HYPERLINK(склад2въезд13192021[[#This Row],[RelativePath]])</f>
        <v>7 Площадка 2 бетонщики\K07156189_18_20251129T162437Z.jpg</v>
      </c>
    </row>
    <row r="150" spans="1:13" x14ac:dyDescent="0.25">
      <c r="A150" s="2" t="s">
        <v>18</v>
      </c>
      <c r="B150" s="4">
        <v>45990</v>
      </c>
      <c r="C150" s="5">
        <v>0.68625000000000003</v>
      </c>
      <c r="D150" t="s">
        <v>289</v>
      </c>
      <c r="E150" t="s">
        <v>4195</v>
      </c>
      <c r="F150" t="s">
        <v>4211</v>
      </c>
      <c r="H150" t="s">
        <v>2936</v>
      </c>
      <c r="I150" t="s">
        <v>3701</v>
      </c>
      <c r="J150" t="s">
        <v>2984</v>
      </c>
      <c r="K150" t="s">
        <v>3702</v>
      </c>
      <c r="L150" t="s">
        <v>3703</v>
      </c>
      <c r="M150" s="3" t="str">
        <f>HYPERLINK(склад2въезд13192021[[#This Row],[RelativePath]])</f>
        <v>7 Площадка 2 бетонщики\K07156189_18_20251129T162812Z.jpg</v>
      </c>
    </row>
    <row r="151" spans="1:13" x14ac:dyDescent="0.25">
      <c r="A151" s="2" t="s">
        <v>18</v>
      </c>
      <c r="B151" s="4">
        <v>45990</v>
      </c>
      <c r="C151" s="5">
        <v>0.68951388888888887</v>
      </c>
      <c r="D151" t="s">
        <v>289</v>
      </c>
      <c r="E151" t="s">
        <v>4195</v>
      </c>
      <c r="F151" t="s">
        <v>4211</v>
      </c>
      <c r="H151" t="s">
        <v>2936</v>
      </c>
      <c r="I151" t="s">
        <v>3704</v>
      </c>
      <c r="J151" t="s">
        <v>2984</v>
      </c>
      <c r="K151" t="s">
        <v>3705</v>
      </c>
      <c r="L151" t="s">
        <v>3706</v>
      </c>
      <c r="M151" s="3" t="str">
        <f>HYPERLINK(склад2въезд13192021[[#This Row],[RelativePath]])</f>
        <v>7 Площадка 2 бетонщики\K07156189_18_20251129T163254Z.jpg</v>
      </c>
    </row>
    <row r="152" spans="1:13" x14ac:dyDescent="0.25">
      <c r="A152" s="2" t="s">
        <v>18</v>
      </c>
      <c r="B152" s="4">
        <v>45990</v>
      </c>
      <c r="C152" s="5">
        <v>0.6917592592592593</v>
      </c>
      <c r="D152" t="s">
        <v>289</v>
      </c>
      <c r="E152" t="s">
        <v>4195</v>
      </c>
      <c r="F152" t="s">
        <v>4211</v>
      </c>
      <c r="H152" t="s">
        <v>2936</v>
      </c>
      <c r="I152" t="s">
        <v>3707</v>
      </c>
      <c r="J152" t="s">
        <v>2984</v>
      </c>
      <c r="K152" t="s">
        <v>3708</v>
      </c>
      <c r="L152" t="s">
        <v>3709</v>
      </c>
      <c r="M152" s="3" t="str">
        <f>HYPERLINK(склад2въезд13192021[[#This Row],[RelativePath]])</f>
        <v>7 Площадка 2 бетонщики\K07156189_18_20251129T163608Z.jpg</v>
      </c>
    </row>
    <row r="153" spans="1:13" x14ac:dyDescent="0.25">
      <c r="A153" s="2" t="s">
        <v>18</v>
      </c>
      <c r="B153" s="4">
        <v>45990</v>
      </c>
      <c r="C153" s="5">
        <v>0.69224537037037037</v>
      </c>
      <c r="D153" t="s">
        <v>289</v>
      </c>
      <c r="E153" t="s">
        <v>4195</v>
      </c>
      <c r="F153" t="s">
        <v>4211</v>
      </c>
      <c r="H153" t="s">
        <v>2936</v>
      </c>
      <c r="I153" t="s">
        <v>3710</v>
      </c>
      <c r="J153" t="s">
        <v>2984</v>
      </c>
      <c r="K153" t="s">
        <v>3711</v>
      </c>
      <c r="L153" t="s">
        <v>3712</v>
      </c>
      <c r="M153" s="3" t="str">
        <f>HYPERLINK(склад2въезд13192021[[#This Row],[RelativePath]])</f>
        <v>7 Площадка 2 бетонщики\K07156189_18_20251129T163650Z.jpg</v>
      </c>
    </row>
    <row r="154" spans="1:13" x14ac:dyDescent="0.25">
      <c r="A154" s="2" t="s">
        <v>18</v>
      </c>
      <c r="B154" s="4">
        <v>45990</v>
      </c>
      <c r="C154" s="5">
        <v>0.703587962962963</v>
      </c>
      <c r="D154" t="s">
        <v>471</v>
      </c>
      <c r="E154" t="s">
        <v>4195</v>
      </c>
      <c r="I154" t="s">
        <v>3713</v>
      </c>
      <c r="J154" t="s">
        <v>2984</v>
      </c>
      <c r="K154" t="s">
        <v>3714</v>
      </c>
      <c r="L154" t="s">
        <v>3715</v>
      </c>
      <c r="M154" s="3" t="str">
        <f>HYPERLINK(склад2въезд13192021[[#This Row],[RelativePath]])</f>
        <v>7 Площадка 2 бетонщики\K07156189_18_20251129T165310Z.jpg</v>
      </c>
    </row>
    <row r="155" spans="1:13" x14ac:dyDescent="0.25">
      <c r="A155" s="2" t="s">
        <v>18</v>
      </c>
      <c r="B155" s="4">
        <v>45990</v>
      </c>
      <c r="C155" s="5">
        <v>0.71069444444444441</v>
      </c>
      <c r="D155" t="s">
        <v>650</v>
      </c>
      <c r="E155" t="s">
        <v>4195</v>
      </c>
      <c r="F155" t="s">
        <v>4211</v>
      </c>
      <c r="H155" t="s">
        <v>4219</v>
      </c>
      <c r="I155" t="s">
        <v>3716</v>
      </c>
      <c r="J155" t="s">
        <v>2984</v>
      </c>
      <c r="K155" t="s">
        <v>3717</v>
      </c>
      <c r="L155" t="s">
        <v>3467</v>
      </c>
      <c r="M155" s="3" t="str">
        <f>HYPERLINK(склад2въезд13192021[[#This Row],[RelativePath]])</f>
        <v>7 Площадка 2 бетонщики\K07156189_18_20251129T170324Z.jpg</v>
      </c>
    </row>
    <row r="156" spans="1:13" x14ac:dyDescent="0.25">
      <c r="A156" s="2" t="s">
        <v>22</v>
      </c>
      <c r="B156" s="4">
        <v>45991</v>
      </c>
      <c r="C156" s="5">
        <v>0.71156249999999999</v>
      </c>
      <c r="D156" t="s">
        <v>4297</v>
      </c>
      <c r="E156" t="s">
        <v>55</v>
      </c>
      <c r="I156" t="s">
        <v>4276</v>
      </c>
      <c r="J156" t="s">
        <v>2984</v>
      </c>
      <c r="K156" t="s">
        <v>4277</v>
      </c>
      <c r="L156" t="s">
        <v>4278</v>
      </c>
      <c r="M156" s="3" t="str">
        <f>HYPERLINK(склад2въезд13192021[[#This Row],[RelativePath]])</f>
        <v>7 Площадка 2 бетонщики\K07156189_18_20251130T170439Z.jpg</v>
      </c>
    </row>
    <row r="157" spans="1:13" x14ac:dyDescent="0.25">
      <c r="A157" s="2" t="s">
        <v>13</v>
      </c>
      <c r="B157" s="4">
        <v>45992</v>
      </c>
      <c r="C157" s="5">
        <v>0.39802083333333332</v>
      </c>
      <c r="D157" t="s">
        <v>289</v>
      </c>
      <c r="E157" t="s">
        <v>86</v>
      </c>
      <c r="F157" t="s">
        <v>200</v>
      </c>
      <c r="I157" t="s">
        <v>4999</v>
      </c>
      <c r="J157" t="s">
        <v>2984</v>
      </c>
      <c r="K157" t="s">
        <v>5000</v>
      </c>
      <c r="L157" t="s">
        <v>5001</v>
      </c>
      <c r="M157" s="3" t="str">
        <f>HYPERLINK(склад2въезд13192021[[#This Row],[RelativePath]])</f>
        <v>7 Площадка 2 бетонщики\K07156189_18_20251201T093309Z.jpg</v>
      </c>
    </row>
    <row r="158" spans="1:13" x14ac:dyDescent="0.25">
      <c r="A158" s="2" t="s">
        <v>13</v>
      </c>
      <c r="B158" s="4">
        <v>45992</v>
      </c>
      <c r="C158" s="5">
        <v>0.39854166666666668</v>
      </c>
      <c r="D158" t="s">
        <v>289</v>
      </c>
      <c r="E158" t="s">
        <v>86</v>
      </c>
      <c r="F158" t="s">
        <v>200</v>
      </c>
      <c r="I158" t="s">
        <v>5002</v>
      </c>
      <c r="J158" t="s">
        <v>2984</v>
      </c>
      <c r="K158" t="s">
        <v>5003</v>
      </c>
      <c r="L158" t="s">
        <v>5004</v>
      </c>
      <c r="M158" s="3" t="str">
        <f>HYPERLINK(склад2въезд13192021[[#This Row],[RelativePath]])</f>
        <v>7 Площадка 2 бетонщики\K07156189_18_20251201T093354Z.jpg</v>
      </c>
    </row>
    <row r="159" spans="1:13" x14ac:dyDescent="0.25">
      <c r="A159" s="2" t="s">
        <v>13</v>
      </c>
      <c r="B159" s="4">
        <v>45992</v>
      </c>
      <c r="C159" s="5">
        <v>0.4012384259259259</v>
      </c>
      <c r="D159" t="s">
        <v>289</v>
      </c>
      <c r="E159" t="s">
        <v>86</v>
      </c>
      <c r="F159" t="s">
        <v>200</v>
      </c>
      <c r="I159" t="s">
        <v>5005</v>
      </c>
      <c r="J159" t="s">
        <v>2984</v>
      </c>
      <c r="K159" t="s">
        <v>5006</v>
      </c>
      <c r="L159" t="s">
        <v>5007</v>
      </c>
      <c r="M159" s="3" t="str">
        <f>HYPERLINK(склад2въезд13192021[[#This Row],[RelativePath]])</f>
        <v>7 Площадка 2 бетонщики\K07156189_18_20251201T093747Z.jpg</v>
      </c>
    </row>
    <row r="160" spans="1:13" x14ac:dyDescent="0.25">
      <c r="A160" s="2" t="s">
        <v>13</v>
      </c>
      <c r="B160" s="4">
        <v>45992</v>
      </c>
      <c r="C160" s="5">
        <v>0.40716435185185185</v>
      </c>
      <c r="D160" t="s">
        <v>1094</v>
      </c>
      <c r="E160" t="s">
        <v>4247</v>
      </c>
      <c r="F160" t="s">
        <v>58</v>
      </c>
      <c r="I160" t="s">
        <v>5008</v>
      </c>
      <c r="J160" t="s">
        <v>2984</v>
      </c>
      <c r="K160" t="s">
        <v>5009</v>
      </c>
      <c r="L160" t="s">
        <v>5010</v>
      </c>
      <c r="M160" s="3" t="str">
        <f>HYPERLINK(склад2въезд13192021[[#This Row],[RelativePath]])</f>
        <v>7 Площадка 2 бетонщики\K07156189_18_20251201T094619Z.jpg</v>
      </c>
    </row>
    <row r="161" spans="1:13" x14ac:dyDescent="0.25">
      <c r="A161" s="2" t="s">
        <v>13</v>
      </c>
      <c r="B161" s="4">
        <v>45992</v>
      </c>
      <c r="C161" s="5">
        <v>0.41233796296296299</v>
      </c>
      <c r="D161" t="s">
        <v>289</v>
      </c>
      <c r="E161" t="s">
        <v>86</v>
      </c>
      <c r="F161" t="s">
        <v>200</v>
      </c>
      <c r="I161" t="s">
        <v>5011</v>
      </c>
      <c r="J161" t="s">
        <v>2984</v>
      </c>
      <c r="K161" t="s">
        <v>5012</v>
      </c>
      <c r="L161" t="s">
        <v>5013</v>
      </c>
      <c r="M161" s="3" t="str">
        <f>HYPERLINK(склад2въезд13192021[[#This Row],[RelativePath]])</f>
        <v>7 Площадка 2 бетонщики\K07156189_18_20251201T095346Z.jpg</v>
      </c>
    </row>
    <row r="162" spans="1:13" x14ac:dyDescent="0.25">
      <c r="A162" s="2" t="s">
        <v>13</v>
      </c>
      <c r="B162" s="4">
        <v>45992</v>
      </c>
      <c r="C162" s="5">
        <v>0.41675925925925927</v>
      </c>
      <c r="D162" t="s">
        <v>1094</v>
      </c>
      <c r="E162" t="s">
        <v>4247</v>
      </c>
      <c r="F162" t="s">
        <v>58</v>
      </c>
      <c r="I162" t="s">
        <v>5014</v>
      </c>
      <c r="J162" t="s">
        <v>2984</v>
      </c>
      <c r="K162" t="s">
        <v>5015</v>
      </c>
      <c r="L162" t="s">
        <v>5016</v>
      </c>
      <c r="M162" s="3" t="str">
        <f>HYPERLINK(склад2въезд13192021[[#This Row],[RelativePath]])</f>
        <v>7 Площадка 2 бетонщики\K07156189_18_20251201T100008Z.jpg</v>
      </c>
    </row>
    <row r="163" spans="1:13" x14ac:dyDescent="0.25">
      <c r="A163" s="2" t="s">
        <v>13</v>
      </c>
      <c r="B163" s="4">
        <v>45992</v>
      </c>
      <c r="C163" s="5">
        <v>0.4213425925925926</v>
      </c>
      <c r="D163" t="s">
        <v>1094</v>
      </c>
      <c r="E163" t="s">
        <v>531</v>
      </c>
      <c r="F163" t="s">
        <v>58</v>
      </c>
      <c r="I163" t="s">
        <v>5017</v>
      </c>
      <c r="J163" t="s">
        <v>2984</v>
      </c>
      <c r="K163" t="s">
        <v>5018</v>
      </c>
      <c r="L163" t="s">
        <v>5019</v>
      </c>
      <c r="M163" s="3" t="str">
        <f>HYPERLINK(склад2въезд13192021[[#This Row],[RelativePath]])</f>
        <v>7 Площадка 2 бетонщики\K07156189_18_20251201T100644Z.jpg</v>
      </c>
    </row>
    <row r="164" spans="1:13" x14ac:dyDescent="0.25">
      <c r="A164" s="2" t="s">
        <v>13</v>
      </c>
      <c r="B164" s="4">
        <v>45992</v>
      </c>
      <c r="C164" s="5">
        <v>0.42820601851851853</v>
      </c>
      <c r="D164" t="s">
        <v>4</v>
      </c>
      <c r="E164" t="s">
        <v>8</v>
      </c>
      <c r="I164" t="s">
        <v>5020</v>
      </c>
      <c r="J164" t="s">
        <v>2984</v>
      </c>
      <c r="K164" t="s">
        <v>5021</v>
      </c>
      <c r="L164" t="s">
        <v>5022</v>
      </c>
      <c r="M164" s="3" t="str">
        <f>HYPERLINK(склад2въезд13192021[[#This Row],[RelativePath]])</f>
        <v>7 Площадка 2 бетонщики\K07156189_18_20251201T101637Z.jpg</v>
      </c>
    </row>
    <row r="165" spans="1:13" x14ac:dyDescent="0.25">
      <c r="A165" s="2" t="s">
        <v>13</v>
      </c>
      <c r="B165" s="4">
        <v>45992</v>
      </c>
      <c r="C165" s="5">
        <v>0.49869212962962961</v>
      </c>
      <c r="D165" t="s">
        <v>289</v>
      </c>
      <c r="E165" t="s">
        <v>86</v>
      </c>
      <c r="F165" t="s">
        <v>60</v>
      </c>
      <c r="I165" t="s">
        <v>5023</v>
      </c>
      <c r="J165" t="s">
        <v>2984</v>
      </c>
      <c r="K165" t="s">
        <v>5024</v>
      </c>
      <c r="L165" t="s">
        <v>5025</v>
      </c>
      <c r="M165" s="3" t="str">
        <f>HYPERLINK(склад2въезд13192021[[#This Row],[RelativePath]])</f>
        <v>7 Площадка 2 бетонщики\K07156189_18_20251201T115807Z.jpg</v>
      </c>
    </row>
    <row r="166" spans="1:13" x14ac:dyDescent="0.25">
      <c r="A166" s="2" t="s">
        <v>13</v>
      </c>
      <c r="B166" s="4">
        <v>45992</v>
      </c>
      <c r="C166" s="5">
        <v>0.50869212962962962</v>
      </c>
      <c r="D166" t="s">
        <v>289</v>
      </c>
      <c r="E166" t="s">
        <v>86</v>
      </c>
      <c r="F166" t="s">
        <v>60</v>
      </c>
      <c r="I166" t="s">
        <v>5026</v>
      </c>
      <c r="J166" t="s">
        <v>2984</v>
      </c>
      <c r="K166" t="s">
        <v>5027</v>
      </c>
      <c r="L166" t="s">
        <v>5028</v>
      </c>
      <c r="M166" s="3" t="str">
        <f>HYPERLINK(склад2въезд13192021[[#This Row],[RelativePath]])</f>
        <v>7 Площадка 2 бетонщики\K07156189_18_20251201T121231Z.jpg</v>
      </c>
    </row>
    <row r="167" spans="1:13" x14ac:dyDescent="0.25">
      <c r="A167" s="2" t="s">
        <v>13</v>
      </c>
      <c r="B167" s="4">
        <v>45992</v>
      </c>
      <c r="C167" s="5">
        <v>0.64046296296296301</v>
      </c>
      <c r="D167" t="s">
        <v>289</v>
      </c>
      <c r="E167" t="s">
        <v>86</v>
      </c>
      <c r="F167" t="s">
        <v>200</v>
      </c>
      <c r="I167" t="s">
        <v>5029</v>
      </c>
      <c r="J167" t="s">
        <v>2984</v>
      </c>
      <c r="K167" t="s">
        <v>5030</v>
      </c>
      <c r="L167" t="s">
        <v>5031</v>
      </c>
      <c r="M167" s="3" t="str">
        <f>HYPERLINK(склад2въезд13192021[[#This Row],[RelativePath]])</f>
        <v>7 Площадка 2 бетонщики\K07156189_18_20251201T152216Z.jpg</v>
      </c>
    </row>
    <row r="168" spans="1:13" x14ac:dyDescent="0.25">
      <c r="A168" s="2" t="s">
        <v>13</v>
      </c>
      <c r="B168" s="4">
        <v>45992</v>
      </c>
      <c r="C168" s="5">
        <v>0.66629629629629628</v>
      </c>
      <c r="D168" t="s">
        <v>4</v>
      </c>
      <c r="E168" t="s">
        <v>8</v>
      </c>
      <c r="I168" t="s">
        <v>5032</v>
      </c>
      <c r="J168" t="s">
        <v>2984</v>
      </c>
      <c r="K168" t="s">
        <v>5033</v>
      </c>
      <c r="L168" t="s">
        <v>5034</v>
      </c>
      <c r="M168" s="3" t="str">
        <f>HYPERLINK(склад2въезд13192021[[#This Row],[RelativePath]])</f>
        <v>7 Площадка 2 бетонщики\K07156189_18_20251201T155928Z.jpg</v>
      </c>
    </row>
    <row r="169" spans="1:13" x14ac:dyDescent="0.25">
      <c r="A169" s="2" t="s">
        <v>14</v>
      </c>
      <c r="B169" s="4">
        <v>45993</v>
      </c>
      <c r="C169" s="5">
        <v>0.51998842592592598</v>
      </c>
      <c r="D169" t="s">
        <v>289</v>
      </c>
      <c r="E169" t="s">
        <v>86</v>
      </c>
      <c r="F169" t="s">
        <v>60</v>
      </c>
      <c r="I169" t="s">
        <v>5035</v>
      </c>
      <c r="J169" t="s">
        <v>2984</v>
      </c>
      <c r="K169" t="s">
        <v>5036</v>
      </c>
      <c r="L169" t="s">
        <v>5037</v>
      </c>
      <c r="M169" s="3" t="str">
        <f>HYPERLINK(склад2въезд13192021[[#This Row],[RelativePath]])</f>
        <v>7 Площадка 2 бетонщики\K07156189_18_20251202T122847Z.jpg</v>
      </c>
    </row>
    <row r="170" spans="1:13" x14ac:dyDescent="0.25">
      <c r="A170" s="2" t="s">
        <v>14</v>
      </c>
      <c r="B170" s="4">
        <v>45993</v>
      </c>
      <c r="C170" s="5">
        <v>0.62709490740740736</v>
      </c>
      <c r="D170" t="s">
        <v>289</v>
      </c>
      <c r="E170" t="s">
        <v>86</v>
      </c>
      <c r="F170" t="s">
        <v>60</v>
      </c>
      <c r="I170" t="s">
        <v>5038</v>
      </c>
      <c r="J170" t="s">
        <v>2984</v>
      </c>
      <c r="K170" t="s">
        <v>5039</v>
      </c>
      <c r="L170" t="s">
        <v>5040</v>
      </c>
      <c r="M170" s="3" t="str">
        <f>HYPERLINK(склад2въезд13192021[[#This Row],[RelativePath]])</f>
        <v>7 Площадка 2 бетонщики\K07156189_18_20251202T150301Z.jpg</v>
      </c>
    </row>
    <row r="171" spans="1:13" x14ac:dyDescent="0.25">
      <c r="A171" s="2" t="s">
        <v>14</v>
      </c>
      <c r="B171" s="4">
        <v>45993</v>
      </c>
      <c r="C171" s="5">
        <v>0.64246527777777773</v>
      </c>
      <c r="D171" t="s">
        <v>4</v>
      </c>
      <c r="E171" t="s">
        <v>8</v>
      </c>
      <c r="I171" t="s">
        <v>5041</v>
      </c>
      <c r="J171" t="s">
        <v>2984</v>
      </c>
      <c r="K171" t="s">
        <v>5042</v>
      </c>
      <c r="L171" t="s">
        <v>5043</v>
      </c>
      <c r="M171" s="3" t="str">
        <f>HYPERLINK(склад2въезд13192021[[#This Row],[RelativePath]])</f>
        <v>7 Площадка 2 бетонщики\K07156189_18_20251202T152509Z.jpg</v>
      </c>
    </row>
    <row r="172" spans="1:13" x14ac:dyDescent="0.25">
      <c r="A172" s="2" t="s">
        <v>15</v>
      </c>
      <c r="B172" s="4">
        <v>45994</v>
      </c>
      <c r="C172" s="5">
        <v>0.48568287037037039</v>
      </c>
      <c r="D172" t="s">
        <v>1094</v>
      </c>
      <c r="E172" t="s">
        <v>4247</v>
      </c>
      <c r="F172" t="s">
        <v>60</v>
      </c>
      <c r="I172" t="s">
        <v>5116</v>
      </c>
      <c r="J172" t="s">
        <v>2984</v>
      </c>
      <c r="K172" t="s">
        <v>5117</v>
      </c>
      <c r="L172" t="s">
        <v>5118</v>
      </c>
      <c r="M172" s="3" t="str">
        <f>HYPERLINK(склад2въезд13192021[[#This Row],[RelativePath]])</f>
        <v>7 Площадка 2 бетонщики\K07156189_18_20251203T113923Z.jpg</v>
      </c>
    </row>
    <row r="173" spans="1:13" x14ac:dyDescent="0.25">
      <c r="A173" s="2" t="s">
        <v>15</v>
      </c>
      <c r="B173" s="4">
        <v>45994</v>
      </c>
      <c r="C173" s="5">
        <v>0.53263888888888888</v>
      </c>
      <c r="D173" t="s">
        <v>1094</v>
      </c>
      <c r="E173" t="s">
        <v>4247</v>
      </c>
      <c r="F173" t="s">
        <v>200</v>
      </c>
      <c r="I173" t="s">
        <v>5119</v>
      </c>
      <c r="J173" t="s">
        <v>2984</v>
      </c>
      <c r="K173" t="s">
        <v>5120</v>
      </c>
      <c r="L173" t="s">
        <v>5121</v>
      </c>
      <c r="M173" s="3" t="str">
        <f>HYPERLINK(склад2въезд13192021[[#This Row],[RelativePath]])</f>
        <v>7 Площадка 2 бетонщики\K07156189_18_20251203T124700Z.jpg</v>
      </c>
    </row>
    <row r="174" spans="1:13" x14ac:dyDescent="0.25">
      <c r="A174" s="2" t="s">
        <v>15</v>
      </c>
      <c r="B174" s="4">
        <v>45994</v>
      </c>
      <c r="C174" s="5">
        <v>0.53356481481481477</v>
      </c>
      <c r="D174" t="s">
        <v>1094</v>
      </c>
      <c r="E174" t="s">
        <v>4247</v>
      </c>
      <c r="F174" t="s">
        <v>200</v>
      </c>
      <c r="I174" t="s">
        <v>5122</v>
      </c>
      <c r="J174" t="s">
        <v>2984</v>
      </c>
      <c r="K174" t="s">
        <v>5123</v>
      </c>
      <c r="L174" t="s">
        <v>5124</v>
      </c>
      <c r="M174" s="3" t="str">
        <f>HYPERLINK(склад2въезд13192021[[#This Row],[RelativePath]])</f>
        <v>7 Площадка 2 бетонщики\K07156189_18_20251203T124820Z.jpg</v>
      </c>
    </row>
    <row r="175" spans="1:13" x14ac:dyDescent="0.25">
      <c r="A175" s="2" t="s">
        <v>15</v>
      </c>
      <c r="B175" s="4">
        <v>45994</v>
      </c>
      <c r="C175" s="5">
        <v>0.63846064814814818</v>
      </c>
      <c r="D175" t="s">
        <v>4</v>
      </c>
      <c r="E175" t="s">
        <v>8</v>
      </c>
      <c r="H175" t="s">
        <v>2936</v>
      </c>
      <c r="I175" t="s">
        <v>5125</v>
      </c>
      <c r="J175" t="s">
        <v>2984</v>
      </c>
      <c r="K175" t="s">
        <v>5126</v>
      </c>
      <c r="L175" t="s">
        <v>5127</v>
      </c>
      <c r="M175" s="3" t="str">
        <f>HYPERLINK(склад2въезд13192021[[#This Row],[RelativePath]])</f>
        <v>7 Площадка 2 бетонщики\K07156189_18_20251203T151923Z.jpg</v>
      </c>
    </row>
    <row r="176" spans="1:13" x14ac:dyDescent="0.25">
      <c r="A176" s="2" t="s">
        <v>15</v>
      </c>
      <c r="B176" s="4">
        <v>45994</v>
      </c>
      <c r="C176" s="5">
        <v>0.66462962962962968</v>
      </c>
      <c r="D176" t="s">
        <v>4</v>
      </c>
      <c r="E176" t="s">
        <v>8</v>
      </c>
      <c r="H176" t="s">
        <v>2936</v>
      </c>
      <c r="I176" t="s">
        <v>5128</v>
      </c>
      <c r="J176" t="s">
        <v>2984</v>
      </c>
      <c r="K176" t="s">
        <v>5129</v>
      </c>
      <c r="L176" t="s">
        <v>5130</v>
      </c>
      <c r="M176" s="3" t="str">
        <f>HYPERLINK(склад2въезд13192021[[#This Row],[RelativePath]])</f>
        <v>7 Площадка 2 бетонщики\K07156189_18_20251203T155704Z.jpg</v>
      </c>
    </row>
    <row r="177" spans="1:13" x14ac:dyDescent="0.25">
      <c r="A177" s="2" t="s">
        <v>15</v>
      </c>
      <c r="B177" s="4">
        <v>45994</v>
      </c>
      <c r="C177" s="5">
        <v>0.69067129629629631</v>
      </c>
      <c r="D177" t="s">
        <v>4</v>
      </c>
      <c r="E177" t="s">
        <v>8</v>
      </c>
      <c r="H177" t="s">
        <v>2936</v>
      </c>
      <c r="I177" t="s">
        <v>5131</v>
      </c>
      <c r="J177" t="s">
        <v>2984</v>
      </c>
      <c r="K177" t="s">
        <v>5132</v>
      </c>
      <c r="L177" t="s">
        <v>5133</v>
      </c>
      <c r="M177" s="3" t="str">
        <f>HYPERLINK(склад2въезд13192021[[#This Row],[RelativePath]])</f>
        <v>7 Площадка 2 бетонщики\K07156189_18_20251203T163434Z.jpg</v>
      </c>
    </row>
    <row r="178" spans="1:13" x14ac:dyDescent="0.25">
      <c r="A178" s="2" t="s">
        <v>16</v>
      </c>
      <c r="B178" s="4">
        <v>45995</v>
      </c>
      <c r="C178" s="5">
        <v>0.39061342592592591</v>
      </c>
      <c r="D178" t="s">
        <v>4</v>
      </c>
      <c r="E178" t="s">
        <v>8</v>
      </c>
      <c r="H178" t="s">
        <v>2936</v>
      </c>
      <c r="I178" t="s">
        <v>5044</v>
      </c>
      <c r="J178" t="s">
        <v>2984</v>
      </c>
      <c r="K178" t="s">
        <v>5045</v>
      </c>
      <c r="L178" t="s">
        <v>5046</v>
      </c>
      <c r="M178" s="3" t="str">
        <f>HYPERLINK(склад2въезд13192021[[#This Row],[RelativePath]])</f>
        <v>7 Площадка 2 бетонщики\K07156189_18_20251204T092229Z.jpg</v>
      </c>
    </row>
    <row r="179" spans="1:13" x14ac:dyDescent="0.25">
      <c r="A179" s="2" t="s">
        <v>16</v>
      </c>
      <c r="B179" s="4">
        <v>45995</v>
      </c>
      <c r="C179" s="5">
        <v>0.48304398148148148</v>
      </c>
      <c r="D179" t="s">
        <v>4</v>
      </c>
      <c r="E179" t="s">
        <v>8</v>
      </c>
      <c r="H179" t="s">
        <v>2936</v>
      </c>
      <c r="I179" t="s">
        <v>5047</v>
      </c>
      <c r="J179" t="s">
        <v>2984</v>
      </c>
      <c r="K179" t="s">
        <v>5048</v>
      </c>
      <c r="L179" t="s">
        <v>5049</v>
      </c>
      <c r="M179" s="3" t="str">
        <f>HYPERLINK(склад2въезд13192021[[#This Row],[RelativePath]])</f>
        <v>7 Площадка 2 бетонщики\K07156189_18_20251204T113535Z.jpg</v>
      </c>
    </row>
    <row r="180" spans="1:13" x14ac:dyDescent="0.25">
      <c r="A180" s="2" t="s">
        <v>16</v>
      </c>
      <c r="B180" s="4">
        <v>45995</v>
      </c>
      <c r="C180" s="5">
        <v>0.55384259259259261</v>
      </c>
      <c r="D180" t="s">
        <v>4</v>
      </c>
      <c r="E180" t="s">
        <v>8</v>
      </c>
      <c r="H180" t="s">
        <v>2936</v>
      </c>
      <c r="I180" t="s">
        <v>5050</v>
      </c>
      <c r="J180" t="s">
        <v>2984</v>
      </c>
      <c r="K180" t="s">
        <v>5051</v>
      </c>
      <c r="L180" t="s">
        <v>5052</v>
      </c>
      <c r="M180" s="3" t="str">
        <f>HYPERLINK(склад2въезд13192021[[#This Row],[RelativePath]])</f>
        <v>7 Площадка 2 бетонщики\K07156189_18_20251204T131732Z.jpg</v>
      </c>
    </row>
    <row r="181" spans="1:13" x14ac:dyDescent="0.25">
      <c r="A181" s="2" t="s">
        <v>17</v>
      </c>
      <c r="B181" s="4">
        <v>45996</v>
      </c>
      <c r="C181" s="5">
        <v>0.51432870370370365</v>
      </c>
      <c r="D181" t="s">
        <v>289</v>
      </c>
      <c r="E181" t="s">
        <v>86</v>
      </c>
      <c r="F181" t="s">
        <v>200</v>
      </c>
      <c r="I181" t="s">
        <v>5053</v>
      </c>
      <c r="J181" t="s">
        <v>2984</v>
      </c>
      <c r="K181" t="s">
        <v>5054</v>
      </c>
      <c r="L181" t="s">
        <v>5055</v>
      </c>
      <c r="M181" s="3" t="str">
        <f>HYPERLINK(склад2въезд13192021[[#This Row],[RelativePath]])</f>
        <v>7 Площадка 2 бетонщики\K07156189_18_20251205T122038Z.jpg</v>
      </c>
    </row>
    <row r="182" spans="1:13" x14ac:dyDescent="0.25">
      <c r="A182" s="2" t="s">
        <v>17</v>
      </c>
      <c r="B182" s="4">
        <v>45996</v>
      </c>
      <c r="C182" s="5">
        <v>0.52172453703703703</v>
      </c>
      <c r="D182" t="s">
        <v>289</v>
      </c>
      <c r="E182" t="s">
        <v>86</v>
      </c>
      <c r="F182" t="s">
        <v>200</v>
      </c>
      <c r="I182" t="s">
        <v>5056</v>
      </c>
      <c r="J182" t="s">
        <v>2984</v>
      </c>
      <c r="K182" t="s">
        <v>5057</v>
      </c>
      <c r="L182" t="s">
        <v>5058</v>
      </c>
      <c r="M182" s="3" t="str">
        <f>HYPERLINK(склад2въезд13192021[[#This Row],[RelativePath]])</f>
        <v>7 Площадка 2 бетонщики\K07156189_18_20251205T123117Z.jpg</v>
      </c>
    </row>
    <row r="183" spans="1:13" x14ac:dyDescent="0.25">
      <c r="A183" s="2" t="s">
        <v>17</v>
      </c>
      <c r="B183" s="4">
        <v>45996</v>
      </c>
      <c r="C183" s="5">
        <v>0.59886574074074073</v>
      </c>
      <c r="D183" t="s">
        <v>289</v>
      </c>
      <c r="E183" t="s">
        <v>86</v>
      </c>
      <c r="F183" t="s">
        <v>200</v>
      </c>
      <c r="I183" t="s">
        <v>5059</v>
      </c>
      <c r="J183" t="s">
        <v>2984</v>
      </c>
      <c r="K183" t="s">
        <v>5060</v>
      </c>
      <c r="L183" t="s">
        <v>5061</v>
      </c>
      <c r="M183" s="3" t="str">
        <f>HYPERLINK(склад2въезд13192021[[#This Row],[RelativePath]])</f>
        <v>7 Площадка 2 бетонщики\K07156189_18_20251205T142222Z.jpg</v>
      </c>
    </row>
    <row r="184" spans="1:13" x14ac:dyDescent="0.25">
      <c r="A184" s="2" t="s">
        <v>17</v>
      </c>
      <c r="B184" s="4">
        <v>45996</v>
      </c>
      <c r="C184" s="5">
        <v>0.60388888888888892</v>
      </c>
      <c r="D184" t="s">
        <v>289</v>
      </c>
      <c r="E184" t="s">
        <v>86</v>
      </c>
      <c r="F184" t="s">
        <v>200</v>
      </c>
      <c r="I184" t="s">
        <v>5062</v>
      </c>
      <c r="J184" t="s">
        <v>2984</v>
      </c>
      <c r="K184" t="s">
        <v>5063</v>
      </c>
      <c r="L184" t="s">
        <v>5064</v>
      </c>
      <c r="M184" s="3" t="str">
        <f>HYPERLINK(склад2въезд13192021[[#This Row],[RelativePath]])</f>
        <v>7 Площадка 2 бетонщики\K07156189_18_20251205T142936Z.jpg</v>
      </c>
    </row>
    <row r="185" spans="1:13" x14ac:dyDescent="0.25">
      <c r="A185" s="2" t="s">
        <v>17</v>
      </c>
      <c r="B185" s="4">
        <v>45996</v>
      </c>
      <c r="C185" s="5">
        <v>0.6116435185185185</v>
      </c>
      <c r="D185" t="s">
        <v>289</v>
      </c>
      <c r="E185" t="s">
        <v>86</v>
      </c>
      <c r="F185" t="s">
        <v>200</v>
      </c>
      <c r="I185" t="s">
        <v>5065</v>
      </c>
      <c r="J185" t="s">
        <v>2984</v>
      </c>
      <c r="K185" t="s">
        <v>5066</v>
      </c>
      <c r="L185" t="s">
        <v>5067</v>
      </c>
      <c r="M185" s="3" t="str">
        <f>HYPERLINK(склад2въезд13192021[[#This Row],[RelativePath]])</f>
        <v>7 Площадка 2 бетонщики\K07156189_18_20251205T144046Z.jpg</v>
      </c>
    </row>
    <row r="186" spans="1:13" x14ac:dyDescent="0.25">
      <c r="A186" s="2" t="s">
        <v>17</v>
      </c>
      <c r="B186" s="4">
        <v>45996</v>
      </c>
      <c r="C186" s="5">
        <v>0.61321759259259256</v>
      </c>
      <c r="D186" t="s">
        <v>5134</v>
      </c>
      <c r="I186" t="s">
        <v>5068</v>
      </c>
      <c r="J186" t="s">
        <v>2984</v>
      </c>
      <c r="K186" t="s">
        <v>5069</v>
      </c>
      <c r="L186" t="s">
        <v>5070</v>
      </c>
      <c r="M186" s="3" t="str">
        <f>HYPERLINK(склад2въезд13192021[[#This Row],[RelativePath]])</f>
        <v>7 Площадка 2 бетонщики\K07156189_18_20251205T144302Z.jpg</v>
      </c>
    </row>
    <row r="187" spans="1:13" x14ac:dyDescent="0.25">
      <c r="A187" s="2" t="s">
        <v>18</v>
      </c>
      <c r="B187" s="4">
        <v>45997</v>
      </c>
      <c r="C187" s="5">
        <v>0.68306712962962968</v>
      </c>
      <c r="D187" t="s">
        <v>2004</v>
      </c>
      <c r="I187" t="s">
        <v>5071</v>
      </c>
      <c r="J187" t="s">
        <v>2984</v>
      </c>
      <c r="K187" t="s">
        <v>5072</v>
      </c>
      <c r="L187" t="s">
        <v>5073</v>
      </c>
      <c r="M187" s="3" t="str">
        <f>HYPERLINK(склад2въезд13192021[[#This Row],[RelativePath]])</f>
        <v>7 Площадка 2 бетонщики\K07156189_18_20251206T162337Z.jpg</v>
      </c>
    </row>
    <row r="188" spans="1:13" x14ac:dyDescent="0.25">
      <c r="A188" s="2" t="s">
        <v>22</v>
      </c>
      <c r="B188" s="4">
        <v>45998</v>
      </c>
      <c r="C188" s="5">
        <v>0.64466435185185189</v>
      </c>
      <c r="D188" t="s">
        <v>2004</v>
      </c>
      <c r="I188" t="s">
        <v>5229</v>
      </c>
      <c r="J188" t="s">
        <v>2984</v>
      </c>
      <c r="K188" t="s">
        <v>5230</v>
      </c>
      <c r="L188" t="s">
        <v>5231</v>
      </c>
      <c r="M188" s="3" t="str">
        <f>HYPERLINK(склад2въезд13192021[[#This Row],[RelativePath]])</f>
        <v>7 Площадка 2 бетонщики\K07156189_18_20251207T152819Z.jpg</v>
      </c>
    </row>
    <row r="189" spans="1:13" x14ac:dyDescent="0.25">
      <c r="A189" s="2" t="s">
        <v>13</v>
      </c>
      <c r="B189" s="4">
        <v>45999</v>
      </c>
      <c r="C189" s="5">
        <v>0.51755787037037038</v>
      </c>
      <c r="D189" t="s">
        <v>4</v>
      </c>
      <c r="E189" t="s">
        <v>8</v>
      </c>
      <c r="I189" t="s">
        <v>5316</v>
      </c>
      <c r="J189" t="s">
        <v>2984</v>
      </c>
      <c r="K189" t="s">
        <v>5317</v>
      </c>
      <c r="L189" t="s">
        <v>5318</v>
      </c>
      <c r="M189" s="3" t="str">
        <f>HYPERLINK(склад2въезд13192021[[#This Row],[RelativePath]])</f>
        <v>7 Площадка 2 бетонщики\K07156189_18_20251208T122517Z.jpg</v>
      </c>
    </row>
    <row r="190" spans="1:13" x14ac:dyDescent="0.25">
      <c r="A190" s="2" t="s">
        <v>13</v>
      </c>
      <c r="B190" s="4">
        <v>45999</v>
      </c>
      <c r="C190" s="5">
        <v>0.63056712962962957</v>
      </c>
      <c r="D190" t="s">
        <v>289</v>
      </c>
      <c r="E190" t="s">
        <v>86</v>
      </c>
      <c r="F190" t="s">
        <v>200</v>
      </c>
      <c r="I190" t="s">
        <v>5319</v>
      </c>
      <c r="J190" t="s">
        <v>2984</v>
      </c>
      <c r="K190" t="s">
        <v>5320</v>
      </c>
      <c r="L190" t="s">
        <v>5321</v>
      </c>
      <c r="M190" s="3" t="str">
        <f>HYPERLINK(склад2въезд13192021[[#This Row],[RelativePath]])</f>
        <v>7 Площадка 2 бетонщики\K07156189_18_20251208T150801Z.jpg</v>
      </c>
    </row>
    <row r="191" spans="1:13" x14ac:dyDescent="0.25">
      <c r="A191" s="2" t="s">
        <v>13</v>
      </c>
      <c r="B191" s="4">
        <v>45999</v>
      </c>
      <c r="C191" s="5">
        <v>0.63185185185185189</v>
      </c>
      <c r="D191" t="s">
        <v>289</v>
      </c>
      <c r="E191" t="s">
        <v>86</v>
      </c>
      <c r="F191" t="s">
        <v>200</v>
      </c>
      <c r="I191" t="s">
        <v>5322</v>
      </c>
      <c r="J191" t="s">
        <v>2984</v>
      </c>
      <c r="K191" t="s">
        <v>5323</v>
      </c>
      <c r="L191" t="s">
        <v>5324</v>
      </c>
      <c r="M191" s="3" t="str">
        <f>HYPERLINK(склад2въезд13192021[[#This Row],[RelativePath]])</f>
        <v>7 Площадка 2 бетонщики\K07156189_18_20251208T150952Z.jpg</v>
      </c>
    </row>
    <row r="192" spans="1:13" x14ac:dyDescent="0.25">
      <c r="A192" s="2" t="s">
        <v>14</v>
      </c>
      <c r="B192" s="4">
        <v>46000</v>
      </c>
      <c r="C192" s="5">
        <v>0.73812500000000003</v>
      </c>
      <c r="D192" t="s">
        <v>2004</v>
      </c>
      <c r="E192" t="s">
        <v>8</v>
      </c>
      <c r="I192" t="s">
        <v>5548</v>
      </c>
      <c r="J192" t="s">
        <v>2984</v>
      </c>
      <c r="K192" t="s">
        <v>5550</v>
      </c>
      <c r="L192" t="s">
        <v>5551</v>
      </c>
      <c r="M192" s="3" t="str">
        <f>HYPERLINK(склад2въезд13192021[[#This Row],[RelativePath]])</f>
        <v>7 Площадка 2 бетонщики\K07156189_18_20251209T174254Z.jpg</v>
      </c>
    </row>
    <row r="193" spans="1:13" x14ac:dyDescent="0.25">
      <c r="A193" s="2" t="s">
        <v>14</v>
      </c>
      <c r="B193" s="4">
        <v>46000</v>
      </c>
      <c r="C193" s="5">
        <v>0.73812500000000003</v>
      </c>
      <c r="D193" t="s">
        <v>2004</v>
      </c>
      <c r="E193" t="s">
        <v>8</v>
      </c>
      <c r="I193" t="s">
        <v>5548</v>
      </c>
      <c r="J193" t="s">
        <v>5549</v>
      </c>
      <c r="K193" t="s">
        <v>5550</v>
      </c>
      <c r="L193" t="s">
        <v>5551</v>
      </c>
      <c r="M193" s="3" t="str">
        <f>HYPERLINK(склад2въезд13192021[[#This Row],[RelativePath]])</f>
        <v>7 Площадка 2 бетонщики\K07156189_18_20251209T174254Z.jpg</v>
      </c>
    </row>
    <row r="194" spans="1:13" x14ac:dyDescent="0.25">
      <c r="A194" s="2" t="s">
        <v>15</v>
      </c>
      <c r="B194" s="4">
        <v>46001</v>
      </c>
      <c r="C194" s="5">
        <v>0.68521990740740746</v>
      </c>
      <c r="D194" t="s">
        <v>2004</v>
      </c>
      <c r="E194" t="s">
        <v>8</v>
      </c>
      <c r="I194" t="s">
        <v>5552</v>
      </c>
      <c r="J194" t="s">
        <v>2984</v>
      </c>
      <c r="K194" t="s">
        <v>5553</v>
      </c>
      <c r="L194" t="s">
        <v>5554</v>
      </c>
      <c r="M194" s="3" t="str">
        <f>HYPERLINK(склад2въезд13192021[[#This Row],[RelativePath]])</f>
        <v>7 Площадка 2 бетонщики\K07156189_18_20251210T162643Z.jpg</v>
      </c>
    </row>
    <row r="195" spans="1:13" x14ac:dyDescent="0.25">
      <c r="A195" s="2" t="s">
        <v>15</v>
      </c>
      <c r="B195" s="4">
        <v>46001</v>
      </c>
      <c r="C195" s="5">
        <v>0.68521990740740746</v>
      </c>
      <c r="D195" t="s">
        <v>2004</v>
      </c>
      <c r="E195" t="s">
        <v>8</v>
      </c>
      <c r="I195" t="s">
        <v>5552</v>
      </c>
      <c r="J195" t="s">
        <v>5549</v>
      </c>
      <c r="K195" t="s">
        <v>5553</v>
      </c>
      <c r="L195" t="s">
        <v>5554</v>
      </c>
      <c r="M195" s="3" t="str">
        <f>HYPERLINK(склад2въезд13192021[[#This Row],[RelativePath]])</f>
        <v>7 Площадка 2 бетонщики\K07156189_18_20251210T162643Z.jpg</v>
      </c>
    </row>
    <row r="196" spans="1:13" x14ac:dyDescent="0.25">
      <c r="A196" s="2" t="s">
        <v>16</v>
      </c>
      <c r="B196" s="4">
        <v>46002</v>
      </c>
      <c r="C196" s="5">
        <v>0.60978009259259258</v>
      </c>
      <c r="D196" t="s">
        <v>2004</v>
      </c>
      <c r="E196" t="s">
        <v>8</v>
      </c>
      <c r="I196" t="s">
        <v>5555</v>
      </c>
      <c r="J196" t="s">
        <v>2984</v>
      </c>
      <c r="K196" t="s">
        <v>5556</v>
      </c>
      <c r="L196" t="s">
        <v>5557</v>
      </c>
      <c r="M196" s="3" t="str">
        <f>HYPERLINK(склад2въезд13192021[[#This Row],[RelativePath]])</f>
        <v>7 Площадка 2 бетонщики\K07156189_18_20251211T143805Z.jpg</v>
      </c>
    </row>
    <row r="197" spans="1:13" x14ac:dyDescent="0.25">
      <c r="A197" s="2" t="s">
        <v>16</v>
      </c>
      <c r="B197" s="4">
        <v>46002</v>
      </c>
      <c r="C197" s="5">
        <v>0.60978009259259258</v>
      </c>
      <c r="D197" t="s">
        <v>2004</v>
      </c>
      <c r="E197" t="s">
        <v>8</v>
      </c>
      <c r="I197" t="s">
        <v>5555</v>
      </c>
      <c r="J197" t="s">
        <v>5549</v>
      </c>
      <c r="K197" t="s">
        <v>5556</v>
      </c>
      <c r="L197" t="s">
        <v>5557</v>
      </c>
      <c r="M197" s="3" t="str">
        <f>HYPERLINK(склад2въезд13192021[[#This Row],[RelativePath]])</f>
        <v>7 Площадка 2 бетонщики\K07156189_18_20251211T143805Z.jpg</v>
      </c>
    </row>
  </sheetData>
  <conditionalFormatting sqref="E198:E211 D198:D208 D2:E197 G2:H197">
    <cfRule type="containsText" dxfId="442" priority="18" operator="containsText" text="Выезд с территории">
      <formula>NOT(ISERROR(SEARCH("Выезд с территории",D2)))</formula>
    </cfRule>
  </conditionalFormatting>
  <conditionalFormatting sqref="F2:F197">
    <cfRule type="notContainsText" dxfId="441" priority="17" operator="notContains" text="порожний">
      <formula>ISERROR(SEARCH("порожний",F2))</formula>
    </cfRule>
  </conditionalFormatting>
  <conditionalFormatting sqref="E2:E211">
    <cfRule type="containsText" dxfId="440" priority="15" operator="containsText" text="Газель базы">
      <formula>NOT(ISERROR(SEARCH("Газель базы",E2)))</formula>
    </cfRule>
    <cfRule type="containsText" dxfId="439" priority="16" operator="containsText" text="Погрузчик базы">
      <formula>NOT(ISERROR(SEARCH("Погрузчик базы",E2)))</formula>
    </cfRule>
  </conditionalFormatting>
  <conditionalFormatting sqref="E2:E211">
    <cfRule type="containsText" dxfId="438" priority="14" operator="containsText" text="Трактор базы">
      <formula>NOT(ISERROR(SEARCH("Трактор базы",E2)))</formula>
    </cfRule>
  </conditionalFormatting>
  <conditionalFormatting sqref="A2:C197">
    <cfRule type="expression" dxfId="437" priority="13">
      <formula>$A2="пн"</formula>
    </cfRule>
  </conditionalFormatting>
  <conditionalFormatting sqref="A2:C199">
    <cfRule type="expression" dxfId="436" priority="7">
      <formula>$A2="вс"</formula>
    </cfRule>
    <cfRule type="expression" dxfId="435" priority="8">
      <formula>$A2="сб"</formula>
    </cfRule>
    <cfRule type="expression" dxfId="434" priority="9">
      <formula>$A2="пт"</formula>
    </cfRule>
    <cfRule type="expression" dxfId="433" priority="10">
      <formula>$A2="чт"</formula>
    </cfRule>
    <cfRule type="expression" dxfId="432" priority="11">
      <formula>$A2="ср"</formula>
    </cfRule>
    <cfRule type="expression" dxfId="431" priority="12">
      <formula>$A2="вт"</formula>
    </cfRule>
  </conditionalFormatting>
  <conditionalFormatting sqref="D2:D208">
    <cfRule type="containsText" dxfId="430" priority="6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08">
    <cfRule type="containsText" dxfId="429" priority="5" operator="containsText" text="Выезд со второстепенной дороги">
      <formula>NOT(ISERROR(SEARCH("Выезд со второстепенной дороги",D2)))</formula>
    </cfRule>
  </conditionalFormatting>
  <conditionalFormatting sqref="D74">
    <cfRule type="containsText" dxfId="428" priority="1" operator="containsText" text="Камера не работала">
      <formula>NOT(ISERROR(SEARCH("Камера не работала",D74)))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082B-1C40-462A-9F65-646A7D1E45A4}">
  <sheetPr>
    <tabColor rgb="FFFFC000"/>
  </sheetPr>
  <dimension ref="A1:M128"/>
  <sheetViews>
    <sheetView zoomScale="90" zoomScaleNormal="90" workbookViewId="0">
      <pane ySplit="1" topLeftCell="A110" activePane="bottomLeft" state="frozen"/>
      <selection pane="bottomLeft" activeCell="F135" sqref="F135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30.42578125" bestFit="1" customWidth="1"/>
    <col min="5" max="5" width="30.28515625" bestFit="1" customWidth="1"/>
    <col min="6" max="6" width="18.7109375" bestFit="1" customWidth="1"/>
    <col min="7" max="7" width="7.28515625" bestFit="1" customWidth="1"/>
    <col min="8" max="8" width="18.42578125" bestFit="1" customWidth="1"/>
    <col min="9" max="9" width="35.42578125" hidden="1" customWidth="1"/>
    <col min="10" max="10" width="34.5703125" hidden="1" customWidth="1"/>
    <col min="11" max="11" width="45.5703125" hidden="1" customWidth="1"/>
    <col min="12" max="12" width="24.5703125" hidden="1" customWidth="1"/>
    <col min="13" max="13" width="45.5703125" bestFit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0.38630787037037034</v>
      </c>
      <c r="D2" t="s">
        <v>4</v>
      </c>
      <c r="E2" t="s">
        <v>9</v>
      </c>
      <c r="I2" t="s">
        <v>654</v>
      </c>
      <c r="J2" t="s">
        <v>2992</v>
      </c>
      <c r="K2" t="s">
        <v>655</v>
      </c>
      <c r="L2" t="s">
        <v>656</v>
      </c>
      <c r="M2" s="3" t="str">
        <f>HYPERLINK(склад2въезд1319202122[[#This Row],[RelativePath]])</f>
        <v>8 Рейсмус\E33149364_2_20251110T091617Z.jpg</v>
      </c>
    </row>
    <row r="3" spans="1:13" x14ac:dyDescent="0.25">
      <c r="A3" s="2" t="s">
        <v>13</v>
      </c>
      <c r="B3" s="4">
        <v>45971</v>
      </c>
      <c r="C3" s="5">
        <v>0.38763888888888887</v>
      </c>
      <c r="D3" t="s">
        <v>1092</v>
      </c>
      <c r="E3" t="s">
        <v>1093</v>
      </c>
      <c r="I3" t="s">
        <v>657</v>
      </c>
      <c r="J3" t="s">
        <v>2992</v>
      </c>
      <c r="K3" t="s">
        <v>658</v>
      </c>
      <c r="L3" t="s">
        <v>659</v>
      </c>
      <c r="M3" s="3" t="str">
        <f>HYPERLINK(склад2въезд1319202122[[#This Row],[RelativePath]])</f>
        <v>8 Рейсмус\E33149364_2_20251110T091812Z.jpg</v>
      </c>
    </row>
    <row r="4" spans="1:13" x14ac:dyDescent="0.25">
      <c r="A4" s="2" t="s">
        <v>13</v>
      </c>
      <c r="B4" s="4">
        <v>45971</v>
      </c>
      <c r="C4" s="5">
        <v>0.38777777777777778</v>
      </c>
      <c r="D4" t="s">
        <v>1092</v>
      </c>
      <c r="E4" t="s">
        <v>1093</v>
      </c>
      <c r="I4" t="s">
        <v>660</v>
      </c>
      <c r="J4" t="s">
        <v>2992</v>
      </c>
      <c r="K4" t="s">
        <v>661</v>
      </c>
      <c r="L4" t="s">
        <v>662</v>
      </c>
      <c r="M4" s="3" t="str">
        <f>HYPERLINK(склад2въезд1319202122[[#This Row],[RelativePath]])</f>
        <v>8 Рейсмус\E33149364_2_20251110T091824Z.jpg</v>
      </c>
    </row>
    <row r="5" spans="1:13" x14ac:dyDescent="0.25">
      <c r="A5" s="2" t="s">
        <v>13</v>
      </c>
      <c r="B5" s="4">
        <v>45971</v>
      </c>
      <c r="C5" s="5">
        <v>0.39273148148148146</v>
      </c>
      <c r="D5" t="s">
        <v>4</v>
      </c>
      <c r="E5" t="s">
        <v>792</v>
      </c>
      <c r="I5" t="s">
        <v>663</v>
      </c>
      <c r="J5" t="s">
        <v>2992</v>
      </c>
      <c r="K5" t="s">
        <v>664</v>
      </c>
      <c r="L5" t="s">
        <v>665</v>
      </c>
      <c r="M5" s="3" t="str">
        <f>HYPERLINK(склад2въезд1319202122[[#This Row],[RelativePath]])</f>
        <v>8 Рейсмус\E33149364_2_20251110T092532Z.jpg</v>
      </c>
    </row>
    <row r="6" spans="1:13" x14ac:dyDescent="0.25">
      <c r="A6" s="2" t="s">
        <v>13</v>
      </c>
      <c r="B6" s="4">
        <v>45971</v>
      </c>
      <c r="C6" s="5">
        <v>0.39909722222222221</v>
      </c>
      <c r="D6" t="s">
        <v>4</v>
      </c>
      <c r="E6" t="s">
        <v>9</v>
      </c>
      <c r="I6" t="s">
        <v>666</v>
      </c>
      <c r="J6" t="s">
        <v>2992</v>
      </c>
      <c r="K6" t="s">
        <v>667</v>
      </c>
      <c r="L6" t="s">
        <v>668</v>
      </c>
      <c r="M6" s="3" t="str">
        <f>HYPERLINK(склад2въезд1319202122[[#This Row],[RelativePath]])</f>
        <v>8 Рейсмус\E33149364_2_20251110T093442Z.jpg</v>
      </c>
    </row>
    <row r="7" spans="1:13" x14ac:dyDescent="0.25">
      <c r="A7" s="2" t="s">
        <v>13</v>
      </c>
      <c r="B7" s="4">
        <v>45971</v>
      </c>
      <c r="C7" s="5">
        <v>0.39928240740740739</v>
      </c>
      <c r="D7" t="s">
        <v>793</v>
      </c>
      <c r="E7" t="s">
        <v>531</v>
      </c>
      <c r="I7" t="s">
        <v>669</v>
      </c>
      <c r="J7" t="s">
        <v>2992</v>
      </c>
      <c r="K7" t="s">
        <v>670</v>
      </c>
      <c r="L7" t="s">
        <v>671</v>
      </c>
      <c r="M7" s="3" t="str">
        <f>HYPERLINK(склад2въезд1319202122[[#This Row],[RelativePath]])</f>
        <v>8 Рейсмус\E33149364_2_20251110T093458Z.jpg</v>
      </c>
    </row>
    <row r="8" spans="1:13" x14ac:dyDescent="0.25">
      <c r="A8" s="2" t="s">
        <v>13</v>
      </c>
      <c r="B8" s="4">
        <v>45971</v>
      </c>
      <c r="C8" s="5">
        <v>0.40165509259259258</v>
      </c>
      <c r="D8" t="s">
        <v>793</v>
      </c>
      <c r="E8" t="s">
        <v>531</v>
      </c>
      <c r="I8" t="s">
        <v>672</v>
      </c>
      <c r="J8" t="s">
        <v>2992</v>
      </c>
      <c r="K8" t="s">
        <v>673</v>
      </c>
      <c r="L8" t="s">
        <v>674</v>
      </c>
      <c r="M8" s="3" t="str">
        <f>HYPERLINK(склад2въезд1319202122[[#This Row],[RelativePath]])</f>
        <v>8 Рейсмус\E33149364_2_20251110T093823Z.jpg</v>
      </c>
    </row>
    <row r="9" spans="1:13" x14ac:dyDescent="0.25">
      <c r="A9" s="2" t="s">
        <v>13</v>
      </c>
      <c r="B9" s="4">
        <v>45971</v>
      </c>
      <c r="C9" s="5">
        <v>0.40336805555555555</v>
      </c>
      <c r="D9" t="s">
        <v>4</v>
      </c>
      <c r="E9" t="s">
        <v>9</v>
      </c>
      <c r="I9" t="s">
        <v>675</v>
      </c>
      <c r="J9" t="s">
        <v>2992</v>
      </c>
      <c r="K9" t="s">
        <v>676</v>
      </c>
      <c r="L9" t="s">
        <v>677</v>
      </c>
      <c r="M9" s="3" t="str">
        <f>HYPERLINK(склад2въезд1319202122[[#This Row],[RelativePath]])</f>
        <v>8 Рейсмус\E33149364_2_20251110T094051Z.jpg</v>
      </c>
    </row>
    <row r="10" spans="1:13" x14ac:dyDescent="0.25">
      <c r="A10" s="2" t="s">
        <v>13</v>
      </c>
      <c r="B10" s="4">
        <v>45971</v>
      </c>
      <c r="C10" s="5">
        <v>0.41108796296296296</v>
      </c>
      <c r="D10" t="s">
        <v>794</v>
      </c>
      <c r="I10" t="s">
        <v>678</v>
      </c>
      <c r="J10" t="s">
        <v>2992</v>
      </c>
      <c r="K10" t="s">
        <v>679</v>
      </c>
      <c r="L10" t="s">
        <v>680</v>
      </c>
      <c r="M10" s="3" t="str">
        <f>HYPERLINK(склад2въезд1319202122[[#This Row],[RelativePath]])</f>
        <v>8 Рейсмус\E33149364_2_20251110T095158Z.jpg</v>
      </c>
    </row>
    <row r="11" spans="1:13" x14ac:dyDescent="0.25">
      <c r="A11" s="2" t="s">
        <v>13</v>
      </c>
      <c r="B11" s="4">
        <v>45971</v>
      </c>
      <c r="C11" s="5">
        <v>0.41479166666666667</v>
      </c>
      <c r="D11" t="s">
        <v>1096</v>
      </c>
      <c r="E11" t="s">
        <v>531</v>
      </c>
      <c r="I11" t="s">
        <v>681</v>
      </c>
      <c r="J11" t="s">
        <v>2992</v>
      </c>
      <c r="K11" t="s">
        <v>682</v>
      </c>
      <c r="L11" t="s">
        <v>683</v>
      </c>
      <c r="M11" s="3" t="str">
        <f>HYPERLINK(склад2въезд1319202122[[#This Row],[RelativePath]])</f>
        <v>8 Рейсмус\E33149364_2_20251110T095718Z.jpg</v>
      </c>
    </row>
    <row r="12" spans="1:13" x14ac:dyDescent="0.25">
      <c r="A12" s="2" t="s">
        <v>13</v>
      </c>
      <c r="B12" s="4">
        <v>45971</v>
      </c>
      <c r="C12" s="5">
        <v>0.43128472222222225</v>
      </c>
      <c r="D12" t="s">
        <v>4</v>
      </c>
      <c r="E12" t="s">
        <v>9</v>
      </c>
      <c r="I12" t="s">
        <v>684</v>
      </c>
      <c r="J12" t="s">
        <v>2992</v>
      </c>
      <c r="K12" t="s">
        <v>685</v>
      </c>
      <c r="L12" t="s">
        <v>686</v>
      </c>
      <c r="M12" s="3" t="str">
        <f>HYPERLINK(склад2въезд1319202122[[#This Row],[RelativePath]])</f>
        <v>8 Рейсмус\E33149364_2_20251110T102103Z.jpg</v>
      </c>
    </row>
    <row r="13" spans="1:13" x14ac:dyDescent="0.25">
      <c r="A13" s="2" t="s">
        <v>13</v>
      </c>
      <c r="B13" s="4">
        <v>45971</v>
      </c>
      <c r="C13" s="5">
        <v>0.4430324074074074</v>
      </c>
      <c r="D13" t="s">
        <v>4</v>
      </c>
      <c r="E13" t="s">
        <v>9</v>
      </c>
      <c r="I13" t="s">
        <v>687</v>
      </c>
      <c r="J13" t="s">
        <v>2992</v>
      </c>
      <c r="K13" t="s">
        <v>688</v>
      </c>
      <c r="L13" t="s">
        <v>689</v>
      </c>
      <c r="M13" s="3" t="str">
        <f>HYPERLINK(склад2въезд1319202122[[#This Row],[RelativePath]])</f>
        <v>8 Рейсмус\E33149364_2_20251110T103758Z.jpg</v>
      </c>
    </row>
    <row r="14" spans="1:13" x14ac:dyDescent="0.25">
      <c r="A14" s="2" t="s">
        <v>13</v>
      </c>
      <c r="B14" s="4">
        <v>45971</v>
      </c>
      <c r="C14" s="5">
        <v>0.44513888888888886</v>
      </c>
      <c r="D14" t="s">
        <v>795</v>
      </c>
      <c r="E14" t="s">
        <v>796</v>
      </c>
      <c r="I14" t="s">
        <v>690</v>
      </c>
      <c r="J14" t="s">
        <v>2992</v>
      </c>
      <c r="K14" t="s">
        <v>691</v>
      </c>
      <c r="L14" t="s">
        <v>692</v>
      </c>
      <c r="M14" s="3" t="str">
        <f>HYPERLINK(склад2въезд1319202122[[#This Row],[RelativePath]])</f>
        <v>8 Рейсмус\E33149364_2_20251110T104100Z.jpg</v>
      </c>
    </row>
    <row r="15" spans="1:13" x14ac:dyDescent="0.25">
      <c r="A15" s="2" t="s">
        <v>13</v>
      </c>
      <c r="B15" s="4">
        <v>45971</v>
      </c>
      <c r="C15" s="5">
        <v>0.44547453703703704</v>
      </c>
      <c r="D15" t="s">
        <v>795</v>
      </c>
      <c r="E15" t="s">
        <v>796</v>
      </c>
      <c r="I15" t="s">
        <v>693</v>
      </c>
      <c r="J15" t="s">
        <v>2992</v>
      </c>
      <c r="K15" t="s">
        <v>694</v>
      </c>
      <c r="L15" t="s">
        <v>695</v>
      </c>
      <c r="M15" s="3" t="str">
        <f>HYPERLINK(склад2въезд1319202122[[#This Row],[RelativePath]])</f>
        <v>8 Рейсмус\E33149364_2_20251110T104129Z.jpg</v>
      </c>
    </row>
    <row r="16" spans="1:13" x14ac:dyDescent="0.25">
      <c r="A16" s="2" t="s">
        <v>13</v>
      </c>
      <c r="B16" s="4">
        <v>45971</v>
      </c>
      <c r="C16" s="5">
        <v>0.51064814814814818</v>
      </c>
      <c r="D16" t="s">
        <v>795</v>
      </c>
      <c r="E16" t="s">
        <v>796</v>
      </c>
      <c r="I16" t="s">
        <v>696</v>
      </c>
      <c r="J16" t="s">
        <v>2992</v>
      </c>
      <c r="K16" t="s">
        <v>697</v>
      </c>
      <c r="L16" t="s">
        <v>698</v>
      </c>
      <c r="M16" s="3" t="str">
        <f>HYPERLINK(склад2въезд1319202122[[#This Row],[RelativePath]])</f>
        <v>8 Рейсмус\E33149364_2_20251110T121520Z.jpg</v>
      </c>
    </row>
    <row r="17" spans="1:13" x14ac:dyDescent="0.25">
      <c r="A17" s="2" t="s">
        <v>13</v>
      </c>
      <c r="B17" s="4">
        <v>45971</v>
      </c>
      <c r="C17" s="5">
        <v>0.5201041666666667</v>
      </c>
      <c r="D17" t="s">
        <v>4</v>
      </c>
      <c r="E17" t="s">
        <v>9</v>
      </c>
      <c r="I17" t="s">
        <v>699</v>
      </c>
      <c r="J17" t="s">
        <v>2992</v>
      </c>
      <c r="K17" t="s">
        <v>700</v>
      </c>
      <c r="L17" t="s">
        <v>701</v>
      </c>
      <c r="M17" s="3" t="str">
        <f>HYPERLINK(склад2въезд1319202122[[#This Row],[RelativePath]])</f>
        <v>8 Рейсмус\E33149364_2_20251110T122857Z.jpg</v>
      </c>
    </row>
    <row r="18" spans="1:13" x14ac:dyDescent="0.25">
      <c r="A18" s="2" t="s">
        <v>13</v>
      </c>
      <c r="B18" s="4">
        <v>45971</v>
      </c>
      <c r="C18" s="5">
        <v>0.52864583333333337</v>
      </c>
      <c r="D18" t="s">
        <v>4</v>
      </c>
      <c r="E18" t="s">
        <v>9</v>
      </c>
      <c r="I18" t="s">
        <v>702</v>
      </c>
      <c r="J18" t="s">
        <v>2992</v>
      </c>
      <c r="K18" t="s">
        <v>703</v>
      </c>
      <c r="L18" t="s">
        <v>704</v>
      </c>
      <c r="M18" s="3" t="str">
        <f>HYPERLINK(склад2въезд1319202122[[#This Row],[RelativePath]])</f>
        <v>8 Рейсмус\E33149364_2_20251110T124115Z.jpg</v>
      </c>
    </row>
    <row r="19" spans="1:13" x14ac:dyDescent="0.25">
      <c r="A19" s="2" t="s">
        <v>13</v>
      </c>
      <c r="B19" s="4">
        <v>45971</v>
      </c>
      <c r="C19" s="5">
        <v>0.60958333333333337</v>
      </c>
      <c r="D19" t="s">
        <v>4</v>
      </c>
      <c r="E19" t="s">
        <v>9</v>
      </c>
      <c r="I19" t="s">
        <v>705</v>
      </c>
      <c r="J19" t="s">
        <v>2992</v>
      </c>
      <c r="K19" t="s">
        <v>706</v>
      </c>
      <c r="L19" t="s">
        <v>707</v>
      </c>
      <c r="M19" s="3" t="str">
        <f>HYPERLINK(склад2въезд1319202122[[#This Row],[RelativePath]])</f>
        <v>8 Рейсмус\E33149364_2_20251110T143748Z.jpg</v>
      </c>
    </row>
    <row r="20" spans="1:13" x14ac:dyDescent="0.25">
      <c r="A20" s="2" t="s">
        <v>13</v>
      </c>
      <c r="B20" s="4">
        <v>45971</v>
      </c>
      <c r="C20" s="5">
        <v>0.62804398148148144</v>
      </c>
      <c r="D20" t="s">
        <v>4</v>
      </c>
      <c r="E20" t="s">
        <v>9</v>
      </c>
      <c r="I20" t="s">
        <v>708</v>
      </c>
      <c r="J20" t="s">
        <v>2992</v>
      </c>
      <c r="K20" t="s">
        <v>709</v>
      </c>
      <c r="L20" t="s">
        <v>710</v>
      </c>
      <c r="M20" s="3" t="str">
        <f>HYPERLINK(склад2въезд1319202122[[#This Row],[RelativePath]])</f>
        <v>8 Рейсмус\E33149364_2_20251110T150423Z.jpg</v>
      </c>
    </row>
    <row r="21" spans="1:13" x14ac:dyDescent="0.25">
      <c r="A21" s="2" t="s">
        <v>13</v>
      </c>
      <c r="B21" s="4">
        <v>45971</v>
      </c>
      <c r="C21" s="5">
        <v>0.65113425925925927</v>
      </c>
      <c r="D21" t="s">
        <v>4</v>
      </c>
      <c r="E21" t="s">
        <v>9</v>
      </c>
      <c r="I21" t="s">
        <v>711</v>
      </c>
      <c r="J21" t="s">
        <v>2992</v>
      </c>
      <c r="K21" t="s">
        <v>712</v>
      </c>
      <c r="L21" t="s">
        <v>713</v>
      </c>
      <c r="M21" s="3" t="str">
        <f>HYPERLINK(склад2въезд1319202122[[#This Row],[RelativePath]])</f>
        <v>8 Рейсмус\E33149364_2_20251110T153738Z.jpg</v>
      </c>
    </row>
    <row r="22" spans="1:13" x14ac:dyDescent="0.25">
      <c r="A22" s="2" t="s">
        <v>14</v>
      </c>
      <c r="B22" s="4">
        <v>45972</v>
      </c>
      <c r="C22" s="5">
        <v>0.5983680555555555</v>
      </c>
      <c r="D22" t="s">
        <v>4</v>
      </c>
      <c r="E22" t="s">
        <v>9</v>
      </c>
      <c r="I22" t="s">
        <v>714</v>
      </c>
      <c r="J22" t="s">
        <v>2992</v>
      </c>
      <c r="K22" t="s">
        <v>715</v>
      </c>
      <c r="L22" t="s">
        <v>716</v>
      </c>
      <c r="M22" s="3" t="str">
        <f>HYPERLINK(склад2въезд1319202122[[#This Row],[RelativePath]])</f>
        <v>8 Рейсмус\E33149364_2_20251111T142139Z.jpg</v>
      </c>
    </row>
    <row r="23" spans="1:13" x14ac:dyDescent="0.25">
      <c r="A23" s="2" t="s">
        <v>14</v>
      </c>
      <c r="B23" s="4">
        <v>45972</v>
      </c>
      <c r="C23" s="5">
        <v>0.61909722222222219</v>
      </c>
      <c r="D23" t="s">
        <v>795</v>
      </c>
      <c r="E23" t="s">
        <v>796</v>
      </c>
      <c r="I23" t="s">
        <v>717</v>
      </c>
      <c r="J23" t="s">
        <v>2992</v>
      </c>
      <c r="K23" t="s">
        <v>718</v>
      </c>
      <c r="L23" t="s">
        <v>719</v>
      </c>
      <c r="M23" s="3" t="str">
        <f>HYPERLINK(склад2въезд1319202122[[#This Row],[RelativePath]])</f>
        <v>8 Рейсмус\E33149364_2_20251111T145130Z.jpg</v>
      </c>
    </row>
    <row r="24" spans="1:13" x14ac:dyDescent="0.25">
      <c r="A24" s="2" t="s">
        <v>14</v>
      </c>
      <c r="B24" s="4">
        <v>45972</v>
      </c>
      <c r="C24" s="5">
        <v>0.87284722222222222</v>
      </c>
      <c r="D24" t="s">
        <v>4</v>
      </c>
      <c r="E24" t="s">
        <v>9</v>
      </c>
      <c r="I24" t="s">
        <v>720</v>
      </c>
      <c r="J24" t="s">
        <v>2992</v>
      </c>
      <c r="K24" t="s">
        <v>721</v>
      </c>
      <c r="L24" t="s">
        <v>722</v>
      </c>
      <c r="M24" s="3" t="str">
        <f>HYPERLINK(склад2въезд1319202122[[#This Row],[RelativePath]])</f>
        <v>8 Рейсмус\E33149364_2_20251111T205654Z.jpg</v>
      </c>
    </row>
    <row r="25" spans="1:13" x14ac:dyDescent="0.25">
      <c r="A25" s="2" t="s">
        <v>14</v>
      </c>
      <c r="B25" s="4">
        <v>45972</v>
      </c>
      <c r="C25" s="5">
        <v>0.89824074074074078</v>
      </c>
      <c r="D25" t="s">
        <v>4</v>
      </c>
      <c r="E25" t="s">
        <v>9</v>
      </c>
      <c r="I25" t="s">
        <v>723</v>
      </c>
      <c r="J25" t="s">
        <v>2992</v>
      </c>
      <c r="K25" t="s">
        <v>724</v>
      </c>
      <c r="L25" t="s">
        <v>725</v>
      </c>
      <c r="M25" s="3" t="str">
        <f>HYPERLINK(склад2въезд1319202122[[#This Row],[RelativePath]])</f>
        <v>8 Рейсмус\E33149364_2_20251111T213328Z.jpg</v>
      </c>
    </row>
    <row r="26" spans="1:13" x14ac:dyDescent="0.25">
      <c r="A26" s="2" t="s">
        <v>15</v>
      </c>
      <c r="B26" s="4">
        <v>45973</v>
      </c>
      <c r="C26" s="5">
        <v>0.15965277777777778</v>
      </c>
      <c r="D26" t="s">
        <v>4</v>
      </c>
      <c r="E26" t="s">
        <v>9</v>
      </c>
      <c r="I26" t="s">
        <v>726</v>
      </c>
      <c r="J26" t="s">
        <v>2992</v>
      </c>
      <c r="K26" t="s">
        <v>727</v>
      </c>
      <c r="L26" t="s">
        <v>728</v>
      </c>
      <c r="M26" s="3" t="str">
        <f>HYPERLINK(склад2въезд1319202122[[#This Row],[RelativePath]])</f>
        <v>8 Рейсмус\E33149364_2_20251112T034954Z.jpg</v>
      </c>
    </row>
    <row r="27" spans="1:13" x14ac:dyDescent="0.25">
      <c r="A27" s="2" t="s">
        <v>15</v>
      </c>
      <c r="B27" s="4">
        <v>45973</v>
      </c>
      <c r="C27" s="5">
        <v>0.43035879629629631</v>
      </c>
      <c r="D27" t="s">
        <v>4</v>
      </c>
      <c r="E27" t="s">
        <v>9</v>
      </c>
      <c r="I27" t="s">
        <v>729</v>
      </c>
      <c r="J27" t="s">
        <v>2992</v>
      </c>
      <c r="K27" t="s">
        <v>730</v>
      </c>
      <c r="L27" t="s">
        <v>731</v>
      </c>
      <c r="M27" s="3" t="str">
        <f>HYPERLINK(склад2въезд1319202122[[#This Row],[RelativePath]])</f>
        <v>8 Рейсмус\E33149364_2_20251112T101943Z.jpg</v>
      </c>
    </row>
    <row r="28" spans="1:13" x14ac:dyDescent="0.25">
      <c r="A28" s="2" t="s">
        <v>15</v>
      </c>
      <c r="B28" s="4">
        <v>45973</v>
      </c>
      <c r="C28" s="5">
        <v>0.43611111111111112</v>
      </c>
      <c r="D28" t="s">
        <v>4</v>
      </c>
      <c r="E28" t="s">
        <v>9</v>
      </c>
      <c r="I28" t="s">
        <v>732</v>
      </c>
      <c r="J28" t="s">
        <v>2992</v>
      </c>
      <c r="K28" t="s">
        <v>733</v>
      </c>
      <c r="L28" t="s">
        <v>734</v>
      </c>
      <c r="M28" s="3" t="str">
        <f>HYPERLINK(склад2въезд1319202122[[#This Row],[RelativePath]])</f>
        <v>8 Рейсмус\E33149364_2_20251112T102800Z.jpg</v>
      </c>
    </row>
    <row r="29" spans="1:13" x14ac:dyDescent="0.25">
      <c r="A29" s="2" t="s">
        <v>15</v>
      </c>
      <c r="B29" s="4">
        <v>45973</v>
      </c>
      <c r="C29" s="5">
        <v>0.5944328703703704</v>
      </c>
      <c r="D29" t="s">
        <v>4</v>
      </c>
      <c r="E29" t="s">
        <v>9</v>
      </c>
      <c r="I29" t="s">
        <v>735</v>
      </c>
      <c r="J29" t="s">
        <v>2992</v>
      </c>
      <c r="K29" t="s">
        <v>736</v>
      </c>
      <c r="L29" t="s">
        <v>737</v>
      </c>
      <c r="M29" s="3" t="str">
        <f>HYPERLINK(склад2въезд1319202122[[#This Row],[RelativePath]])</f>
        <v>8 Рейсмус\E33149364_2_20251112T141559Z.jpg</v>
      </c>
    </row>
    <row r="30" spans="1:13" x14ac:dyDescent="0.25">
      <c r="A30" s="2" t="s">
        <v>15</v>
      </c>
      <c r="B30" s="4">
        <v>45973</v>
      </c>
      <c r="C30" s="5">
        <v>0.73126157407407411</v>
      </c>
      <c r="D30" t="s">
        <v>4</v>
      </c>
      <c r="E30" t="s">
        <v>9</v>
      </c>
      <c r="I30" t="s">
        <v>738</v>
      </c>
      <c r="J30" t="s">
        <v>2992</v>
      </c>
      <c r="K30" t="s">
        <v>739</v>
      </c>
      <c r="L30" t="s">
        <v>740</v>
      </c>
      <c r="M30" s="3" t="str">
        <f>HYPERLINK(склад2въезд1319202122[[#This Row],[RelativePath]])</f>
        <v>8 Рейсмус\E33149364_2_20251112T173301Z.jpg</v>
      </c>
    </row>
    <row r="31" spans="1:13" x14ac:dyDescent="0.25">
      <c r="A31" s="2" t="s">
        <v>15</v>
      </c>
      <c r="B31" s="4">
        <v>45973</v>
      </c>
      <c r="C31" s="5">
        <v>0.94906250000000003</v>
      </c>
      <c r="D31" t="s">
        <v>4</v>
      </c>
      <c r="E31" t="s">
        <v>9</v>
      </c>
      <c r="I31" t="s">
        <v>741</v>
      </c>
      <c r="J31" t="s">
        <v>2992</v>
      </c>
      <c r="K31" t="s">
        <v>742</v>
      </c>
      <c r="L31" t="s">
        <v>743</v>
      </c>
      <c r="M31" s="3" t="str">
        <f>HYPERLINK(склад2въезд1319202122[[#This Row],[RelativePath]])</f>
        <v>8 Рейсмус\E33149364_2_20251112T224639Z.jpg</v>
      </c>
    </row>
    <row r="32" spans="1:13" x14ac:dyDescent="0.25">
      <c r="A32" s="2" t="s">
        <v>15</v>
      </c>
      <c r="B32" s="4">
        <v>45973</v>
      </c>
      <c r="C32" s="5">
        <v>0.95269675925925923</v>
      </c>
      <c r="D32" t="s">
        <v>4</v>
      </c>
      <c r="E32" t="s">
        <v>9</v>
      </c>
      <c r="I32" t="s">
        <v>744</v>
      </c>
      <c r="J32" t="s">
        <v>2992</v>
      </c>
      <c r="K32" t="s">
        <v>745</v>
      </c>
      <c r="L32" t="s">
        <v>746</v>
      </c>
      <c r="M32" s="3" t="str">
        <f>HYPERLINK(склад2въезд1319202122[[#This Row],[RelativePath]])</f>
        <v>8 Рейсмус\E33149364_2_20251112T225153Z.jpg</v>
      </c>
    </row>
    <row r="33" spans="1:13" x14ac:dyDescent="0.25">
      <c r="A33" s="2" t="s">
        <v>15</v>
      </c>
      <c r="B33" s="4">
        <v>45973</v>
      </c>
      <c r="C33" s="5">
        <v>0.96589120370370374</v>
      </c>
      <c r="D33" t="s">
        <v>4</v>
      </c>
      <c r="E33" t="s">
        <v>9</v>
      </c>
      <c r="I33" t="s">
        <v>747</v>
      </c>
      <c r="J33" t="s">
        <v>2992</v>
      </c>
      <c r="K33" t="s">
        <v>748</v>
      </c>
      <c r="L33" t="s">
        <v>749</v>
      </c>
      <c r="M33" s="3" t="str">
        <f>HYPERLINK(склад2въезд1319202122[[#This Row],[RelativePath]])</f>
        <v>8 Рейсмус\E33149364_2_20251112T231053Z.jpg</v>
      </c>
    </row>
    <row r="34" spans="1:13" x14ac:dyDescent="0.25">
      <c r="A34" s="2" t="s">
        <v>16</v>
      </c>
      <c r="B34" s="4">
        <v>45974</v>
      </c>
      <c r="C34" s="5">
        <v>0.62966435185185188</v>
      </c>
      <c r="D34" t="s">
        <v>795</v>
      </c>
      <c r="E34" t="s">
        <v>796</v>
      </c>
      <c r="I34" t="s">
        <v>750</v>
      </c>
      <c r="J34" t="s">
        <v>2992</v>
      </c>
      <c r="K34" t="s">
        <v>751</v>
      </c>
      <c r="L34" t="s">
        <v>752</v>
      </c>
      <c r="M34" s="3" t="str">
        <f>HYPERLINK(склад2въезд1319202122[[#This Row],[RelativePath]])</f>
        <v>8 Рейсмус\E33149364_2_20251113T150643Z.jpg</v>
      </c>
    </row>
    <row r="35" spans="1:13" x14ac:dyDescent="0.25">
      <c r="A35" s="2" t="s">
        <v>16</v>
      </c>
      <c r="B35" s="4">
        <v>45974</v>
      </c>
      <c r="C35" s="5">
        <v>0.62993055555555555</v>
      </c>
      <c r="D35" t="s">
        <v>795</v>
      </c>
      <c r="E35" t="s">
        <v>796</v>
      </c>
      <c r="I35" t="s">
        <v>753</v>
      </c>
      <c r="J35" t="s">
        <v>2992</v>
      </c>
      <c r="K35" t="s">
        <v>754</v>
      </c>
      <c r="L35" t="s">
        <v>755</v>
      </c>
      <c r="M35" s="3" t="str">
        <f>HYPERLINK(склад2въезд1319202122[[#This Row],[RelativePath]])</f>
        <v>8 Рейсмус\E33149364_2_20251113T150706Z.jpg</v>
      </c>
    </row>
    <row r="36" spans="1:13" x14ac:dyDescent="0.25">
      <c r="A36" s="2" t="s">
        <v>16</v>
      </c>
      <c r="B36" s="4">
        <v>45974</v>
      </c>
      <c r="C36" s="5">
        <v>0.65113425925925927</v>
      </c>
      <c r="D36" t="s">
        <v>4</v>
      </c>
      <c r="E36" t="s">
        <v>9</v>
      </c>
      <c r="I36" t="s">
        <v>756</v>
      </c>
      <c r="J36" t="s">
        <v>2992</v>
      </c>
      <c r="K36" t="s">
        <v>757</v>
      </c>
      <c r="L36" t="s">
        <v>758</v>
      </c>
      <c r="M36" s="3" t="str">
        <f>HYPERLINK(склад2въезд1319202122[[#This Row],[RelativePath]])</f>
        <v>8 Рейсмус\E33149364_2_20251113T153738Z.jpg</v>
      </c>
    </row>
    <row r="37" spans="1:13" x14ac:dyDescent="0.25">
      <c r="A37" s="2" t="s">
        <v>17</v>
      </c>
      <c r="B37" s="4">
        <v>45975</v>
      </c>
      <c r="C37" s="5">
        <v>0.60239583333333335</v>
      </c>
      <c r="D37" t="s">
        <v>4</v>
      </c>
      <c r="E37" t="s">
        <v>9</v>
      </c>
      <c r="I37" t="s">
        <v>759</v>
      </c>
      <c r="J37" t="s">
        <v>2992</v>
      </c>
      <c r="K37" t="s">
        <v>760</v>
      </c>
      <c r="L37" t="s">
        <v>761</v>
      </c>
      <c r="M37" s="3" t="str">
        <f>HYPERLINK(склад2въезд1319202122[[#This Row],[RelativePath]])</f>
        <v>8 Рейсмус\E33149364_2_20251114T142727Z.jpg</v>
      </c>
    </row>
    <row r="38" spans="1:13" x14ac:dyDescent="0.25">
      <c r="A38" s="2" t="s">
        <v>17</v>
      </c>
      <c r="B38" s="4">
        <v>45975</v>
      </c>
      <c r="C38" s="5">
        <v>0.61465277777777783</v>
      </c>
      <c r="D38" t="s">
        <v>795</v>
      </c>
      <c r="E38" t="s">
        <v>796</v>
      </c>
      <c r="I38" t="s">
        <v>762</v>
      </c>
      <c r="J38" t="s">
        <v>2992</v>
      </c>
      <c r="K38" t="s">
        <v>763</v>
      </c>
      <c r="L38" t="s">
        <v>764</v>
      </c>
      <c r="M38" s="3" t="str">
        <f>HYPERLINK(склад2въезд1319202122[[#This Row],[RelativePath]])</f>
        <v>8 Рейсмус\E33149364_2_20251114T144506Z.jpg</v>
      </c>
    </row>
    <row r="39" spans="1:13" x14ac:dyDescent="0.25">
      <c r="A39" s="2" t="s">
        <v>17</v>
      </c>
      <c r="B39" s="4">
        <v>45975</v>
      </c>
      <c r="C39" s="5">
        <v>0.62283564814814818</v>
      </c>
      <c r="D39" t="s">
        <v>795</v>
      </c>
      <c r="E39" t="s">
        <v>796</v>
      </c>
      <c r="I39" t="s">
        <v>765</v>
      </c>
      <c r="J39" t="s">
        <v>2992</v>
      </c>
      <c r="K39" t="s">
        <v>766</v>
      </c>
      <c r="L39" t="s">
        <v>767</v>
      </c>
      <c r="M39" s="3" t="str">
        <f>HYPERLINK(склад2въезд1319202122[[#This Row],[RelativePath]])</f>
        <v>8 Рейсмус\E33149364_2_20251114T145653Z.jpg</v>
      </c>
    </row>
    <row r="40" spans="1:13" x14ac:dyDescent="0.25">
      <c r="A40" s="2" t="s">
        <v>17</v>
      </c>
      <c r="B40" s="4">
        <v>45975</v>
      </c>
      <c r="C40" s="5">
        <v>0.62613425925925925</v>
      </c>
      <c r="D40" t="s">
        <v>795</v>
      </c>
      <c r="E40" t="s">
        <v>796</v>
      </c>
      <c r="I40" t="s">
        <v>768</v>
      </c>
      <c r="J40" t="s">
        <v>2992</v>
      </c>
      <c r="K40" t="s">
        <v>769</v>
      </c>
      <c r="L40" t="s">
        <v>770</v>
      </c>
      <c r="M40" s="3" t="str">
        <f>HYPERLINK(склад2въезд1319202122[[#This Row],[RelativePath]])</f>
        <v>8 Рейсмус\E33149364_2_20251114T150138Z.jpg</v>
      </c>
    </row>
    <row r="41" spans="1:13" x14ac:dyDescent="0.25">
      <c r="A41" s="2" t="s">
        <v>17</v>
      </c>
      <c r="B41" s="4">
        <v>45975</v>
      </c>
      <c r="C41" s="5">
        <v>0.63078703703703709</v>
      </c>
      <c r="D41" t="s">
        <v>4</v>
      </c>
      <c r="E41" t="s">
        <v>9</v>
      </c>
      <c r="I41" t="s">
        <v>771</v>
      </c>
      <c r="J41" t="s">
        <v>2992</v>
      </c>
      <c r="K41" t="s">
        <v>772</v>
      </c>
      <c r="L41" t="s">
        <v>773</v>
      </c>
      <c r="M41" s="3" t="str">
        <f>HYPERLINK(склад2въезд1319202122[[#This Row],[RelativePath]])</f>
        <v>8 Рейсмус\E33149364_2_20251114T150820Z.jpg</v>
      </c>
    </row>
    <row r="42" spans="1:13" x14ac:dyDescent="0.25">
      <c r="A42" s="2" t="s">
        <v>17</v>
      </c>
      <c r="B42" s="4">
        <v>45975</v>
      </c>
      <c r="C42" s="5">
        <v>0.65038194444444442</v>
      </c>
      <c r="D42" t="s">
        <v>795</v>
      </c>
      <c r="E42" t="s">
        <v>796</v>
      </c>
      <c r="I42" t="s">
        <v>774</v>
      </c>
      <c r="J42" t="s">
        <v>2992</v>
      </c>
      <c r="K42" t="s">
        <v>775</v>
      </c>
      <c r="L42" t="s">
        <v>776</v>
      </c>
      <c r="M42" s="3" t="str">
        <f>HYPERLINK(склад2въезд1319202122[[#This Row],[RelativePath]])</f>
        <v>8 Рейсмус\E33149364_2_20251114T153633Z.jpg</v>
      </c>
    </row>
    <row r="43" spans="1:13" x14ac:dyDescent="0.25">
      <c r="A43" s="2" t="s">
        <v>17</v>
      </c>
      <c r="B43" s="4">
        <v>45975</v>
      </c>
      <c r="C43" s="5">
        <v>0.65563657407407405</v>
      </c>
      <c r="D43" t="s">
        <v>795</v>
      </c>
      <c r="E43" t="s">
        <v>796</v>
      </c>
      <c r="I43" t="s">
        <v>777</v>
      </c>
      <c r="J43" t="s">
        <v>2992</v>
      </c>
      <c r="K43" t="s">
        <v>778</v>
      </c>
      <c r="L43" t="s">
        <v>779</v>
      </c>
      <c r="M43" s="3" t="str">
        <f>HYPERLINK(склад2въезд1319202122[[#This Row],[RelativePath]])</f>
        <v>8 Рейсмус\E33149364_2_20251114T154407Z.jpg</v>
      </c>
    </row>
    <row r="44" spans="1:13" x14ac:dyDescent="0.25">
      <c r="A44" s="2" t="s">
        <v>17</v>
      </c>
      <c r="B44" s="4">
        <v>45975</v>
      </c>
      <c r="C44" s="5">
        <v>0.66194444444444445</v>
      </c>
      <c r="D44" t="s">
        <v>795</v>
      </c>
      <c r="E44" t="s">
        <v>796</v>
      </c>
      <c r="I44" t="s">
        <v>780</v>
      </c>
      <c r="J44" t="s">
        <v>2992</v>
      </c>
      <c r="K44" t="s">
        <v>781</v>
      </c>
      <c r="L44" t="s">
        <v>782</v>
      </c>
      <c r="M44" s="3" t="str">
        <f>HYPERLINK(склад2въезд1319202122[[#This Row],[RelativePath]])</f>
        <v>8 Рейсмус\E33149364_2_20251114T155312Z.jpg</v>
      </c>
    </row>
    <row r="45" spans="1:13" x14ac:dyDescent="0.25">
      <c r="A45" s="2" t="s">
        <v>17</v>
      </c>
      <c r="B45" s="4">
        <v>45975</v>
      </c>
      <c r="C45" s="5">
        <v>0.66549768518518515</v>
      </c>
      <c r="D45" t="s">
        <v>4</v>
      </c>
      <c r="E45" t="s">
        <v>9</v>
      </c>
      <c r="I45" t="s">
        <v>783</v>
      </c>
      <c r="J45" t="s">
        <v>2992</v>
      </c>
      <c r="K45" t="s">
        <v>784</v>
      </c>
      <c r="L45" t="s">
        <v>785</v>
      </c>
      <c r="M45" s="3" t="str">
        <f>HYPERLINK(склад2въезд1319202122[[#This Row],[RelativePath]])</f>
        <v>8 Рейсмус\E33149364_2_20251114T155819Z.jpg</v>
      </c>
    </row>
    <row r="46" spans="1:13" x14ac:dyDescent="0.25">
      <c r="A46" s="2" t="s">
        <v>17</v>
      </c>
      <c r="B46" s="4">
        <v>45975</v>
      </c>
      <c r="C46" s="5">
        <v>0.8056712962962963</v>
      </c>
      <c r="D46" t="s">
        <v>4</v>
      </c>
      <c r="E46" t="s">
        <v>9</v>
      </c>
      <c r="I46" t="s">
        <v>786</v>
      </c>
      <c r="J46" t="s">
        <v>2992</v>
      </c>
      <c r="K46" t="s">
        <v>787</v>
      </c>
      <c r="L46" t="s">
        <v>788</v>
      </c>
      <c r="M46" s="3" t="str">
        <f>HYPERLINK(склад2въезд1319202122[[#This Row],[RelativePath]])</f>
        <v>8 Рейсмус\E33149364_2_20251114T192010Z.jpg</v>
      </c>
    </row>
    <row r="47" spans="1:13" x14ac:dyDescent="0.25">
      <c r="A47" s="2" t="s">
        <v>17</v>
      </c>
      <c r="B47" s="4">
        <v>45975</v>
      </c>
      <c r="C47" s="5">
        <v>0.81442129629629634</v>
      </c>
      <c r="D47" t="s">
        <v>4</v>
      </c>
      <c r="E47" t="s">
        <v>9</v>
      </c>
      <c r="H47" t="s">
        <v>20</v>
      </c>
      <c r="I47" t="s">
        <v>789</v>
      </c>
      <c r="J47" t="s">
        <v>2992</v>
      </c>
      <c r="K47" t="s">
        <v>790</v>
      </c>
      <c r="L47" t="s">
        <v>791</v>
      </c>
      <c r="M47" s="3" t="str">
        <f>HYPERLINK(склад2въезд1319202122[[#This Row],[RelativePath]])</f>
        <v>8 Рейсмус\E33149364_2_20251114T193246Z.jpg</v>
      </c>
    </row>
    <row r="48" spans="1:13" x14ac:dyDescent="0.25">
      <c r="A48" s="2" t="s">
        <v>18</v>
      </c>
      <c r="B48" s="4">
        <v>45976</v>
      </c>
      <c r="C48" s="5">
        <v>0.42851851851851852</v>
      </c>
      <c r="D48" t="s">
        <v>4</v>
      </c>
      <c r="E48" t="s">
        <v>9</v>
      </c>
      <c r="I48" t="s">
        <v>1130</v>
      </c>
      <c r="J48" t="s">
        <v>2992</v>
      </c>
      <c r="K48" t="s">
        <v>1131</v>
      </c>
      <c r="L48" t="s">
        <v>1132</v>
      </c>
      <c r="M48" s="3" t="str">
        <f>HYPERLINK(склад2въезд1319202122[[#This Row],[RelativePath]])</f>
        <v>8 Рейсмус\E33149364_2_20251115T101704Z.jpg</v>
      </c>
    </row>
    <row r="49" spans="1:13" x14ac:dyDescent="0.25">
      <c r="A49" s="2" t="s">
        <v>18</v>
      </c>
      <c r="B49" s="4">
        <v>45976</v>
      </c>
      <c r="C49" s="5">
        <v>0.4327199074074074</v>
      </c>
      <c r="D49" t="s">
        <v>4</v>
      </c>
      <c r="E49" t="s">
        <v>9</v>
      </c>
      <c r="I49" t="s">
        <v>1133</v>
      </c>
      <c r="J49" t="s">
        <v>2992</v>
      </c>
      <c r="K49" t="s">
        <v>1134</v>
      </c>
      <c r="L49" t="s">
        <v>1135</v>
      </c>
      <c r="M49" s="3" t="str">
        <f>HYPERLINK(склад2въезд1319202122[[#This Row],[RelativePath]])</f>
        <v>8 Рейсмус\E33149364_2_20251115T102307Z.jpg</v>
      </c>
    </row>
    <row r="50" spans="1:13" x14ac:dyDescent="0.25">
      <c r="A50" s="2" t="s">
        <v>18</v>
      </c>
      <c r="B50" s="4">
        <v>45976</v>
      </c>
      <c r="C50" s="5">
        <v>0.44187500000000002</v>
      </c>
      <c r="D50" t="s">
        <v>4</v>
      </c>
      <c r="E50" t="s">
        <v>9</v>
      </c>
      <c r="I50" t="s">
        <v>1136</v>
      </c>
      <c r="J50" t="s">
        <v>2992</v>
      </c>
      <c r="K50" t="s">
        <v>1137</v>
      </c>
      <c r="L50" t="s">
        <v>1138</v>
      </c>
      <c r="M50" s="3" t="str">
        <f>HYPERLINK(склад2въезд1319202122[[#This Row],[RelativePath]])</f>
        <v>8 Рейсмус\E33149364_2_20251115T103618Z.jpg</v>
      </c>
    </row>
    <row r="51" spans="1:13" x14ac:dyDescent="0.25">
      <c r="A51" s="2" t="s">
        <v>18</v>
      </c>
      <c r="B51" s="4">
        <v>45976</v>
      </c>
      <c r="C51" s="5">
        <v>0.45770833333333333</v>
      </c>
      <c r="D51" t="s">
        <v>2024</v>
      </c>
      <c r="E51" t="s">
        <v>796</v>
      </c>
      <c r="I51" t="s">
        <v>1139</v>
      </c>
      <c r="J51" t="s">
        <v>2992</v>
      </c>
      <c r="K51" t="s">
        <v>1140</v>
      </c>
      <c r="L51" t="s">
        <v>1141</v>
      </c>
      <c r="M51" s="3" t="str">
        <f>HYPERLINK(склад2въезд1319202122[[#This Row],[RelativePath]])</f>
        <v>8 Рейсмус\E33149364_2_20251115T105906Z.jpg</v>
      </c>
    </row>
    <row r="52" spans="1:13" x14ac:dyDescent="0.25">
      <c r="A52" s="2" t="s">
        <v>18</v>
      </c>
      <c r="B52" s="4">
        <v>45976</v>
      </c>
      <c r="C52" s="5">
        <v>0.46019675925925924</v>
      </c>
      <c r="D52" t="s">
        <v>4</v>
      </c>
      <c r="E52" t="s">
        <v>9</v>
      </c>
      <c r="I52" t="s">
        <v>1142</v>
      </c>
      <c r="J52" t="s">
        <v>2992</v>
      </c>
      <c r="K52" t="s">
        <v>1143</v>
      </c>
      <c r="L52" t="s">
        <v>1144</v>
      </c>
      <c r="M52" s="3" t="str">
        <f>HYPERLINK(склад2въезд1319202122[[#This Row],[RelativePath]])</f>
        <v>8 Рейсмус\E33149364_2_20251115T110241Z.jpg</v>
      </c>
    </row>
    <row r="53" spans="1:13" x14ac:dyDescent="0.25">
      <c r="A53" s="2" t="s">
        <v>18</v>
      </c>
      <c r="B53" s="4">
        <v>45976</v>
      </c>
      <c r="C53" s="5">
        <v>0.57002314814814814</v>
      </c>
      <c r="D53" t="s">
        <v>2024</v>
      </c>
      <c r="E53" t="s">
        <v>796</v>
      </c>
      <c r="I53" t="s">
        <v>1145</v>
      </c>
      <c r="J53" t="s">
        <v>2992</v>
      </c>
      <c r="K53" t="s">
        <v>1146</v>
      </c>
      <c r="L53" t="s">
        <v>1147</v>
      </c>
      <c r="M53" s="3" t="str">
        <f>HYPERLINK(склад2въезд1319202122[[#This Row],[RelativePath]])</f>
        <v>8 Рейсмус\E33149364_2_20251115T134050Z.jpg</v>
      </c>
    </row>
    <row r="54" spans="1:13" x14ac:dyDescent="0.25">
      <c r="A54" s="2" t="s">
        <v>18</v>
      </c>
      <c r="B54" s="4">
        <v>45976</v>
      </c>
      <c r="C54" s="5">
        <v>0.5809375</v>
      </c>
      <c r="D54" t="s">
        <v>2024</v>
      </c>
      <c r="E54" t="s">
        <v>796</v>
      </c>
      <c r="I54" t="s">
        <v>1148</v>
      </c>
      <c r="J54" t="s">
        <v>2992</v>
      </c>
      <c r="K54" t="s">
        <v>1149</v>
      </c>
      <c r="L54" t="s">
        <v>1150</v>
      </c>
      <c r="M54" s="3" t="str">
        <f>HYPERLINK(склад2въезд1319202122[[#This Row],[RelativePath]])</f>
        <v>8 Рейсмус\E33149364_2_20251115T135633Z.jpg</v>
      </c>
    </row>
    <row r="55" spans="1:13" x14ac:dyDescent="0.25">
      <c r="A55" s="2" t="s">
        <v>18</v>
      </c>
      <c r="B55" s="4">
        <v>45976</v>
      </c>
      <c r="C55" s="5">
        <v>0.61282407407407402</v>
      </c>
      <c r="D55" t="s">
        <v>2024</v>
      </c>
      <c r="E55" t="s">
        <v>796</v>
      </c>
      <c r="I55" t="s">
        <v>1151</v>
      </c>
      <c r="J55" t="s">
        <v>2992</v>
      </c>
      <c r="K55" t="s">
        <v>1152</v>
      </c>
      <c r="L55" t="s">
        <v>1153</v>
      </c>
      <c r="M55" s="3" t="str">
        <f>HYPERLINK(склад2въезд1319202122[[#This Row],[RelativePath]])</f>
        <v>8 Рейсмус\E33149364_2_20251115T144228Z.jpg</v>
      </c>
    </row>
    <row r="56" spans="1:13" x14ac:dyDescent="0.25">
      <c r="A56" s="2" t="s">
        <v>18</v>
      </c>
      <c r="B56" s="4">
        <v>45976</v>
      </c>
      <c r="C56" s="5">
        <v>0.65748842592592593</v>
      </c>
      <c r="D56" t="s">
        <v>2024</v>
      </c>
      <c r="E56" t="s">
        <v>796</v>
      </c>
      <c r="I56" t="s">
        <v>1154</v>
      </c>
      <c r="J56" t="s">
        <v>2992</v>
      </c>
      <c r="K56" t="s">
        <v>1155</v>
      </c>
      <c r="L56" t="s">
        <v>1156</v>
      </c>
      <c r="M56" s="3" t="str">
        <f>HYPERLINK(склад2въезд1319202122[[#This Row],[RelativePath]])</f>
        <v>8 Рейсмус\E33149364_2_20251115T154647Z.jpg</v>
      </c>
    </row>
    <row r="57" spans="1:13" x14ac:dyDescent="0.25">
      <c r="A57" s="2" t="s">
        <v>18</v>
      </c>
      <c r="B57" s="4">
        <v>45976</v>
      </c>
      <c r="C57" s="5">
        <v>0.6594444444444445</v>
      </c>
      <c r="D57" t="s">
        <v>4</v>
      </c>
      <c r="E57" t="s">
        <v>9</v>
      </c>
      <c r="H57" t="s">
        <v>2936</v>
      </c>
      <c r="I57" t="s">
        <v>1157</v>
      </c>
      <c r="J57" t="s">
        <v>2992</v>
      </c>
      <c r="K57" t="s">
        <v>1158</v>
      </c>
      <c r="L57" t="s">
        <v>1159</v>
      </c>
      <c r="M57" s="3" t="str">
        <f>HYPERLINK(склад2въезд1319202122[[#This Row],[RelativePath]])</f>
        <v>8 Рейсмус\E33149364_2_20251115T154936Z.jpg</v>
      </c>
    </row>
    <row r="58" spans="1:13" x14ac:dyDescent="0.25">
      <c r="A58" s="2" t="s">
        <v>22</v>
      </c>
      <c r="B58" s="4">
        <v>45977</v>
      </c>
      <c r="C58" s="5">
        <v>0.72240740740740739</v>
      </c>
      <c r="D58" t="s">
        <v>4</v>
      </c>
      <c r="E58" t="s">
        <v>9</v>
      </c>
      <c r="H58" t="s">
        <v>2936</v>
      </c>
      <c r="I58" t="s">
        <v>1160</v>
      </c>
      <c r="J58" t="s">
        <v>2992</v>
      </c>
      <c r="K58" t="s">
        <v>1161</v>
      </c>
      <c r="L58" t="s">
        <v>1162</v>
      </c>
      <c r="M58" s="3" t="str">
        <f>HYPERLINK(склад2въезд1319202122[[#This Row],[RelativePath]])</f>
        <v>8 Рейсмус\E33149364_2_20251116T172016Z.jpg</v>
      </c>
    </row>
    <row r="59" spans="1:13" x14ac:dyDescent="0.25">
      <c r="A59" s="2" t="s">
        <v>22</v>
      </c>
      <c r="B59" s="4">
        <v>45977</v>
      </c>
      <c r="C59" s="5">
        <v>0.7446990740740741</v>
      </c>
      <c r="D59" t="s">
        <v>4</v>
      </c>
      <c r="E59" t="s">
        <v>9</v>
      </c>
      <c r="H59" t="s">
        <v>2936</v>
      </c>
      <c r="I59" t="s">
        <v>1163</v>
      </c>
      <c r="J59" t="s">
        <v>2992</v>
      </c>
      <c r="K59" t="s">
        <v>1164</v>
      </c>
      <c r="L59" t="s">
        <v>1165</v>
      </c>
      <c r="M59" s="3" t="str">
        <f>HYPERLINK(склад2въезд1319202122[[#This Row],[RelativePath]])</f>
        <v>8 Рейсмус\E33149364_2_20251116T175222Z.jpg</v>
      </c>
    </row>
    <row r="60" spans="1:13" x14ac:dyDescent="0.25">
      <c r="A60" s="2" t="s">
        <v>22</v>
      </c>
      <c r="B60" s="4">
        <v>45977</v>
      </c>
      <c r="C60" s="5">
        <v>0.8291087962962963</v>
      </c>
      <c r="D60" t="s">
        <v>4</v>
      </c>
      <c r="E60" t="s">
        <v>9</v>
      </c>
      <c r="H60" t="s">
        <v>2936</v>
      </c>
      <c r="I60" t="s">
        <v>1166</v>
      </c>
      <c r="J60" t="s">
        <v>2992</v>
      </c>
      <c r="K60" t="s">
        <v>1167</v>
      </c>
      <c r="L60" t="s">
        <v>1168</v>
      </c>
      <c r="M60" s="3" t="str">
        <f>HYPERLINK(склад2въезд1319202122[[#This Row],[RelativePath]])</f>
        <v>8 Рейсмус\E33149364_2_20251116T195355Z.jpg</v>
      </c>
    </row>
    <row r="61" spans="1:13" x14ac:dyDescent="0.25">
      <c r="A61" s="2" t="s">
        <v>22</v>
      </c>
      <c r="B61" s="4">
        <v>45977</v>
      </c>
      <c r="C61" s="5">
        <v>0.85422453703703705</v>
      </c>
      <c r="D61" t="s">
        <v>4</v>
      </c>
      <c r="E61" t="s">
        <v>9</v>
      </c>
      <c r="H61" t="s">
        <v>2936</v>
      </c>
      <c r="I61" t="s">
        <v>1169</v>
      </c>
      <c r="J61" t="s">
        <v>2992</v>
      </c>
      <c r="K61" t="s">
        <v>1170</v>
      </c>
      <c r="L61" t="s">
        <v>1171</v>
      </c>
      <c r="M61" s="3" t="str">
        <f>HYPERLINK(склад2въезд1319202122[[#This Row],[RelativePath]])</f>
        <v>8 Рейсмус\E33149364_2_20251116T203005Z.jpg</v>
      </c>
    </row>
    <row r="62" spans="1:13" x14ac:dyDescent="0.25">
      <c r="A62" s="2" t="s">
        <v>22</v>
      </c>
      <c r="B62" s="4">
        <v>45977</v>
      </c>
      <c r="C62" s="5">
        <v>0.86663194444444447</v>
      </c>
      <c r="D62" t="s">
        <v>4</v>
      </c>
      <c r="E62" t="s">
        <v>9</v>
      </c>
      <c r="H62" t="s">
        <v>2936</v>
      </c>
      <c r="I62" t="s">
        <v>1172</v>
      </c>
      <c r="J62" t="s">
        <v>2992</v>
      </c>
      <c r="K62" t="s">
        <v>1173</v>
      </c>
      <c r="L62" t="s">
        <v>1174</v>
      </c>
      <c r="M62" s="3" t="str">
        <f>HYPERLINK(склад2въезд1319202122[[#This Row],[RelativePath]])</f>
        <v>8 Рейсмус\E33149364_2_20251116T204757Z.jpg</v>
      </c>
    </row>
    <row r="63" spans="1:13" x14ac:dyDescent="0.25">
      <c r="A63" s="2" t="s">
        <v>22</v>
      </c>
      <c r="B63" s="4">
        <v>45977</v>
      </c>
      <c r="C63" s="5">
        <v>0.87561342592592595</v>
      </c>
      <c r="D63" t="s">
        <v>4</v>
      </c>
      <c r="E63" t="s">
        <v>9</v>
      </c>
      <c r="H63" t="s">
        <v>2936</v>
      </c>
      <c r="I63" t="s">
        <v>1175</v>
      </c>
      <c r="J63" t="s">
        <v>2992</v>
      </c>
      <c r="K63" t="s">
        <v>1176</v>
      </c>
      <c r="L63" t="s">
        <v>1177</v>
      </c>
      <c r="M63" s="3" t="str">
        <f>HYPERLINK(склад2въезд1319202122[[#This Row],[RelativePath]])</f>
        <v>8 Рейсмус\E33149364_2_20251116T210053Z.jpg</v>
      </c>
    </row>
    <row r="64" spans="1:13" x14ac:dyDescent="0.25">
      <c r="A64" s="2" t="s">
        <v>13</v>
      </c>
      <c r="B64" s="4">
        <v>45978</v>
      </c>
      <c r="C64" s="5">
        <v>0.40057870370370369</v>
      </c>
      <c r="D64" t="s">
        <v>4</v>
      </c>
      <c r="E64" t="s">
        <v>9</v>
      </c>
      <c r="H64" t="s">
        <v>2936</v>
      </c>
      <c r="I64" t="s">
        <v>2232</v>
      </c>
      <c r="J64" t="s">
        <v>2992</v>
      </c>
      <c r="K64" t="s">
        <v>2233</v>
      </c>
      <c r="L64" t="s">
        <v>2234</v>
      </c>
      <c r="M64" s="3" t="str">
        <f>HYPERLINK(склад2въезд1319202122[[#This Row],[RelativePath]])</f>
        <v>8 Рейсмус\E33149364_2_20251117T093650Z.jpg</v>
      </c>
    </row>
    <row r="65" spans="1:13" x14ac:dyDescent="0.25">
      <c r="A65" s="2" t="s">
        <v>13</v>
      </c>
      <c r="B65" s="4">
        <v>45978</v>
      </c>
      <c r="C65" s="5">
        <v>0.41606481481481483</v>
      </c>
      <c r="D65" t="s">
        <v>4</v>
      </c>
      <c r="E65" t="s">
        <v>9</v>
      </c>
      <c r="H65" t="s">
        <v>2936</v>
      </c>
      <c r="I65" t="s">
        <v>2235</v>
      </c>
      <c r="J65" t="s">
        <v>2992</v>
      </c>
      <c r="K65" t="s">
        <v>2236</v>
      </c>
      <c r="L65" t="s">
        <v>2237</v>
      </c>
      <c r="M65" s="3" t="str">
        <f>HYPERLINK(склад2въезд1319202122[[#This Row],[RelativePath]])</f>
        <v>8 Рейсмус\E33149364_2_20251117T095908Z.jpg</v>
      </c>
    </row>
    <row r="66" spans="1:13" x14ac:dyDescent="0.25">
      <c r="A66" s="2" t="s">
        <v>13</v>
      </c>
      <c r="B66" s="4">
        <v>45978</v>
      </c>
      <c r="C66" s="5">
        <v>0.4387152777777778</v>
      </c>
      <c r="D66" t="s">
        <v>4</v>
      </c>
      <c r="E66" t="s">
        <v>9</v>
      </c>
      <c r="H66" t="s">
        <v>2936</v>
      </c>
      <c r="I66" t="s">
        <v>2238</v>
      </c>
      <c r="J66" t="s">
        <v>2992</v>
      </c>
      <c r="K66" t="s">
        <v>2239</v>
      </c>
      <c r="L66" t="s">
        <v>2240</v>
      </c>
      <c r="M66" s="3" t="str">
        <f>HYPERLINK(склад2въезд1319202122[[#This Row],[RelativePath]])</f>
        <v>8 Рейсмус\E33149364_2_20251117T103145Z.jpg</v>
      </c>
    </row>
    <row r="67" spans="1:13" x14ac:dyDescent="0.25">
      <c r="A67" s="2" t="s">
        <v>13</v>
      </c>
      <c r="B67" s="4">
        <v>45978</v>
      </c>
      <c r="C67" s="5">
        <v>0.45379629629629631</v>
      </c>
      <c r="D67" t="s">
        <v>2024</v>
      </c>
      <c r="E67" t="s">
        <v>796</v>
      </c>
      <c r="I67" t="s">
        <v>2241</v>
      </c>
      <c r="J67" t="s">
        <v>2992</v>
      </c>
      <c r="K67" t="s">
        <v>2242</v>
      </c>
      <c r="L67" t="s">
        <v>2243</v>
      </c>
      <c r="M67" s="3" t="str">
        <f>HYPERLINK(склад2въезд1319202122[[#This Row],[RelativePath]])</f>
        <v>8 Рейсмус\E33149364_2_20251117T105328Z.jpg</v>
      </c>
    </row>
    <row r="68" spans="1:13" x14ac:dyDescent="0.25">
      <c r="A68" s="2" t="s">
        <v>13</v>
      </c>
      <c r="B68" s="4">
        <v>45978</v>
      </c>
      <c r="C68" s="5">
        <v>0.47343750000000001</v>
      </c>
      <c r="D68" t="s">
        <v>4</v>
      </c>
      <c r="E68" t="s">
        <v>9</v>
      </c>
      <c r="H68" t="s">
        <v>2936</v>
      </c>
      <c r="I68" t="s">
        <v>2244</v>
      </c>
      <c r="J68" t="s">
        <v>2992</v>
      </c>
      <c r="K68" t="s">
        <v>2245</v>
      </c>
      <c r="L68" t="s">
        <v>2246</v>
      </c>
      <c r="M68" s="3" t="str">
        <f>HYPERLINK(склад2въезд1319202122[[#This Row],[RelativePath]])</f>
        <v>8 Рейсмус\E33149364_2_20251117T112145Z.jpg</v>
      </c>
    </row>
    <row r="69" spans="1:13" x14ac:dyDescent="0.25">
      <c r="A69" s="2" t="s">
        <v>13</v>
      </c>
      <c r="B69" s="4">
        <v>45978</v>
      </c>
      <c r="C69" s="5">
        <v>0.50187499999999996</v>
      </c>
      <c r="D69" t="s">
        <v>4</v>
      </c>
      <c r="E69" t="s">
        <v>9</v>
      </c>
      <c r="H69" t="s">
        <v>2936</v>
      </c>
      <c r="I69" t="s">
        <v>2247</v>
      </c>
      <c r="J69" t="s">
        <v>2992</v>
      </c>
      <c r="K69" t="s">
        <v>2248</v>
      </c>
      <c r="L69" t="s">
        <v>2249</v>
      </c>
      <c r="M69" s="3" t="str">
        <f>HYPERLINK(склад2въезд1319202122[[#This Row],[RelativePath]])</f>
        <v>8 Рейсмус\E33149364_2_20251117T120242Z.jpg</v>
      </c>
    </row>
    <row r="70" spans="1:13" x14ac:dyDescent="0.25">
      <c r="A70" s="2" t="s">
        <v>13</v>
      </c>
      <c r="B70" s="4">
        <v>45978</v>
      </c>
      <c r="C70" s="5">
        <v>0.62127314814814816</v>
      </c>
      <c r="D70" t="s">
        <v>2024</v>
      </c>
      <c r="E70" t="s">
        <v>796</v>
      </c>
      <c r="I70" t="s">
        <v>2250</v>
      </c>
      <c r="J70" t="s">
        <v>2992</v>
      </c>
      <c r="K70" t="s">
        <v>2251</v>
      </c>
      <c r="L70" t="s">
        <v>2252</v>
      </c>
      <c r="M70" s="3" t="str">
        <f>HYPERLINK(склад2въезд1319202122[[#This Row],[RelativePath]])</f>
        <v>8 Рейсмус\E33149364_2_20251117T145438Z.jpg</v>
      </c>
    </row>
    <row r="71" spans="1:13" x14ac:dyDescent="0.25">
      <c r="A71" s="2" t="s">
        <v>13</v>
      </c>
      <c r="B71" s="4">
        <v>45978</v>
      </c>
      <c r="C71" s="5">
        <v>0.62615740740740744</v>
      </c>
      <c r="D71" t="s">
        <v>2024</v>
      </c>
      <c r="E71" t="s">
        <v>796</v>
      </c>
      <c r="I71" t="s">
        <v>2253</v>
      </c>
      <c r="J71" t="s">
        <v>2992</v>
      </c>
      <c r="K71" t="s">
        <v>2254</v>
      </c>
      <c r="L71" t="s">
        <v>2255</v>
      </c>
      <c r="M71" s="3" t="str">
        <f>HYPERLINK(склад2въезд1319202122[[#This Row],[RelativePath]])</f>
        <v>8 Рейсмус\E33149364_2_20251117T150140Z.jpg</v>
      </c>
    </row>
    <row r="72" spans="1:13" x14ac:dyDescent="0.25">
      <c r="A72" s="2" t="s">
        <v>13</v>
      </c>
      <c r="B72" s="4">
        <v>45978</v>
      </c>
      <c r="C72" s="5">
        <v>0.74898148148148147</v>
      </c>
      <c r="D72" t="s">
        <v>2024</v>
      </c>
      <c r="E72" t="s">
        <v>796</v>
      </c>
      <c r="I72" t="s">
        <v>2256</v>
      </c>
      <c r="J72" t="s">
        <v>2992</v>
      </c>
      <c r="K72" t="s">
        <v>2257</v>
      </c>
      <c r="L72" t="s">
        <v>2258</v>
      </c>
      <c r="M72" s="3" t="str">
        <f>HYPERLINK(склад2въезд1319202122[[#This Row],[RelativePath]])</f>
        <v>8 Рейсмус\E33149364_2_20251117T175832Z.jpg</v>
      </c>
    </row>
    <row r="73" spans="1:13" x14ac:dyDescent="0.25">
      <c r="A73" s="2" t="s">
        <v>13</v>
      </c>
      <c r="B73" s="4">
        <v>45978</v>
      </c>
      <c r="C73" s="5">
        <v>0.80407407407407405</v>
      </c>
      <c r="D73" t="s">
        <v>4</v>
      </c>
      <c r="E73" t="s">
        <v>9</v>
      </c>
      <c r="H73" t="s">
        <v>2936</v>
      </c>
      <c r="I73" t="s">
        <v>2259</v>
      </c>
      <c r="J73" t="s">
        <v>2992</v>
      </c>
      <c r="K73" t="s">
        <v>2260</v>
      </c>
      <c r="L73" t="s">
        <v>2261</v>
      </c>
      <c r="M73" s="3" t="str">
        <f>HYPERLINK(склад2въезд1319202122[[#This Row],[RelativePath]])</f>
        <v>8 Рейсмус\E33149364_2_20251117T191752Z.jpg</v>
      </c>
    </row>
    <row r="74" spans="1:13" x14ac:dyDescent="0.25">
      <c r="A74" s="2" t="s">
        <v>13</v>
      </c>
      <c r="B74" s="4">
        <v>45978</v>
      </c>
      <c r="C74" s="5">
        <v>0.82643518518518522</v>
      </c>
      <c r="D74" t="s">
        <v>4</v>
      </c>
      <c r="E74" t="s">
        <v>9</v>
      </c>
      <c r="H74" t="s">
        <v>2936</v>
      </c>
      <c r="I74" t="s">
        <v>2262</v>
      </c>
      <c r="J74" t="s">
        <v>2992</v>
      </c>
      <c r="K74" t="s">
        <v>2263</v>
      </c>
      <c r="L74" t="s">
        <v>2264</v>
      </c>
      <c r="M74" s="3" t="str">
        <f>HYPERLINK(склад2въезд1319202122[[#This Row],[RelativePath]])</f>
        <v>8 Рейсмус\E33149364_2_20251117T195004Z.jpg</v>
      </c>
    </row>
    <row r="75" spans="1:13" x14ac:dyDescent="0.25">
      <c r="A75" s="2" t="s">
        <v>13</v>
      </c>
      <c r="B75" s="4">
        <v>45978</v>
      </c>
      <c r="C75" s="5">
        <v>0.97628472222222218</v>
      </c>
      <c r="D75" t="s">
        <v>4</v>
      </c>
      <c r="E75" t="s">
        <v>9</v>
      </c>
      <c r="H75" t="s">
        <v>2936</v>
      </c>
      <c r="I75" t="s">
        <v>2265</v>
      </c>
      <c r="J75" t="s">
        <v>2992</v>
      </c>
      <c r="K75" t="s">
        <v>2266</v>
      </c>
      <c r="L75" t="s">
        <v>2267</v>
      </c>
      <c r="M75" s="3" t="str">
        <f>HYPERLINK(склад2въезд1319202122[[#This Row],[RelativePath]])</f>
        <v>8 Рейсмус\E33149364_2_20251117T232551Z.jpg</v>
      </c>
    </row>
    <row r="76" spans="1:13" x14ac:dyDescent="0.25">
      <c r="A76" s="2" t="s">
        <v>14</v>
      </c>
      <c r="B76" s="4">
        <v>45979</v>
      </c>
      <c r="C76" s="5">
        <v>0.7411226851851852</v>
      </c>
      <c r="D76" t="s">
        <v>4</v>
      </c>
      <c r="E76" t="s">
        <v>9</v>
      </c>
      <c r="H76" t="s">
        <v>2936</v>
      </c>
      <c r="I76" t="s">
        <v>2268</v>
      </c>
      <c r="J76" t="s">
        <v>2992</v>
      </c>
      <c r="K76" t="s">
        <v>2269</v>
      </c>
      <c r="L76" t="s">
        <v>2270</v>
      </c>
      <c r="M76" s="3" t="str">
        <f>HYPERLINK(склад2въезд1319202122[[#This Row],[RelativePath]])</f>
        <v>8 Рейсмус\E33149364_2_20251118T174713Z.jpg</v>
      </c>
    </row>
    <row r="77" spans="1:13" x14ac:dyDescent="0.25">
      <c r="A77" s="2" t="s">
        <v>14</v>
      </c>
      <c r="B77" s="4">
        <v>45979</v>
      </c>
      <c r="C77" s="5">
        <v>0.75446759259259255</v>
      </c>
      <c r="D77" t="s">
        <v>2024</v>
      </c>
      <c r="E77" t="s">
        <v>1304</v>
      </c>
      <c r="I77" t="s">
        <v>2271</v>
      </c>
      <c r="J77" t="s">
        <v>2992</v>
      </c>
      <c r="K77" t="s">
        <v>2272</v>
      </c>
      <c r="L77" t="s">
        <v>2273</v>
      </c>
      <c r="M77" s="3" t="str">
        <f>HYPERLINK(склад2въезд1319202122[[#This Row],[RelativePath]])</f>
        <v>8 Рейсмус\E33149364_2_20251118T180626Z.jpg</v>
      </c>
    </row>
    <row r="78" spans="1:13" x14ac:dyDescent="0.25">
      <c r="A78" s="2" t="s">
        <v>14</v>
      </c>
      <c r="B78" s="4">
        <v>45979</v>
      </c>
      <c r="C78" s="5">
        <v>0.82543981481481477</v>
      </c>
      <c r="D78" t="s">
        <v>4</v>
      </c>
      <c r="E78" t="s">
        <v>9</v>
      </c>
      <c r="H78" t="s">
        <v>2936</v>
      </c>
      <c r="I78" t="s">
        <v>2274</v>
      </c>
      <c r="J78" t="s">
        <v>2992</v>
      </c>
      <c r="K78" t="s">
        <v>2275</v>
      </c>
      <c r="L78" t="s">
        <v>2276</v>
      </c>
      <c r="M78" s="3" t="str">
        <f>HYPERLINK(склад2въезд1319202122[[#This Row],[RelativePath]])</f>
        <v>8 Рейсмус\E33149364_2_20251118T194838Z.jpg</v>
      </c>
    </row>
    <row r="79" spans="1:13" x14ac:dyDescent="0.25">
      <c r="A79" s="2" t="s">
        <v>14</v>
      </c>
      <c r="B79" s="4">
        <v>45979</v>
      </c>
      <c r="C79" s="5">
        <v>0.8402546296296296</v>
      </c>
      <c r="D79" t="s">
        <v>4</v>
      </c>
      <c r="E79" t="s">
        <v>9</v>
      </c>
      <c r="H79" t="s">
        <v>2936</v>
      </c>
      <c r="I79" t="s">
        <v>2277</v>
      </c>
      <c r="J79" t="s">
        <v>2992</v>
      </c>
      <c r="K79" t="s">
        <v>2278</v>
      </c>
      <c r="L79" t="s">
        <v>2279</v>
      </c>
      <c r="M79" s="3" t="str">
        <f>HYPERLINK(склад2въезд1319202122[[#This Row],[RelativePath]])</f>
        <v>8 Рейсмус\E33149364_2_20251118T200958Z.jpg</v>
      </c>
    </row>
    <row r="80" spans="1:13" x14ac:dyDescent="0.25">
      <c r="A80" s="2" t="s">
        <v>14</v>
      </c>
      <c r="B80" s="4">
        <v>45979</v>
      </c>
      <c r="C80" s="5">
        <v>0.84327546296296296</v>
      </c>
      <c r="D80" t="s">
        <v>2024</v>
      </c>
      <c r="E80" t="s">
        <v>1304</v>
      </c>
      <c r="I80" t="s">
        <v>2280</v>
      </c>
      <c r="J80" t="s">
        <v>2992</v>
      </c>
      <c r="K80" t="s">
        <v>2281</v>
      </c>
      <c r="L80" t="s">
        <v>2282</v>
      </c>
      <c r="M80" s="3" t="str">
        <f>HYPERLINK(склад2въезд1319202122[[#This Row],[RelativePath]])</f>
        <v>8 Рейсмус\E33149364_2_20251118T201419Z.jpg</v>
      </c>
    </row>
    <row r="81" spans="1:13" x14ac:dyDescent="0.25">
      <c r="A81" s="2" t="s">
        <v>14</v>
      </c>
      <c r="B81" s="4">
        <v>45979</v>
      </c>
      <c r="C81" s="5">
        <v>0.84695601851851854</v>
      </c>
      <c r="D81" t="s">
        <v>4</v>
      </c>
      <c r="E81" t="s">
        <v>9</v>
      </c>
      <c r="H81" t="s">
        <v>2936</v>
      </c>
      <c r="I81" t="s">
        <v>2283</v>
      </c>
      <c r="J81" t="s">
        <v>2992</v>
      </c>
      <c r="K81" t="s">
        <v>2284</v>
      </c>
      <c r="L81" t="s">
        <v>2285</v>
      </c>
      <c r="M81" s="3" t="str">
        <f>HYPERLINK(склад2въезд1319202122[[#This Row],[RelativePath]])</f>
        <v>8 Рейсмус\E33149364_2_20251118T201937Z.jpg</v>
      </c>
    </row>
    <row r="82" spans="1:13" x14ac:dyDescent="0.25">
      <c r="A82" s="2" t="s">
        <v>14</v>
      </c>
      <c r="B82" s="4">
        <v>45979</v>
      </c>
      <c r="C82" s="5">
        <v>0.89165509259259257</v>
      </c>
      <c r="D82" t="s">
        <v>4</v>
      </c>
      <c r="E82" t="s">
        <v>9</v>
      </c>
      <c r="H82" t="s">
        <v>2936</v>
      </c>
      <c r="I82" t="s">
        <v>2286</v>
      </c>
      <c r="J82" t="s">
        <v>2992</v>
      </c>
      <c r="K82" t="s">
        <v>2287</v>
      </c>
      <c r="L82" t="s">
        <v>2288</v>
      </c>
      <c r="M82" s="3" t="str">
        <f>HYPERLINK(склад2въезд1319202122[[#This Row],[RelativePath]])</f>
        <v>8 Рейсмус\E33149364_2_20251118T212359Z.jpg</v>
      </c>
    </row>
    <row r="83" spans="1:13" x14ac:dyDescent="0.25">
      <c r="A83" s="2" t="s">
        <v>15</v>
      </c>
      <c r="B83" s="4">
        <v>45980</v>
      </c>
      <c r="C83" s="5">
        <v>3.3912037037037039E-2</v>
      </c>
      <c r="D83" t="s">
        <v>4</v>
      </c>
      <c r="E83" t="s">
        <v>9</v>
      </c>
      <c r="H83" t="s">
        <v>2936</v>
      </c>
      <c r="I83" t="s">
        <v>2289</v>
      </c>
      <c r="J83" t="s">
        <v>2992</v>
      </c>
      <c r="K83" t="s">
        <v>2290</v>
      </c>
      <c r="L83" t="s">
        <v>2291</v>
      </c>
      <c r="M83" s="3" t="str">
        <f>HYPERLINK(склад2въезд1319202122[[#This Row],[RelativePath]])</f>
        <v>8 Рейсмус\E33149364_2_20251119T004850Z.jpg</v>
      </c>
    </row>
    <row r="84" spans="1:13" x14ac:dyDescent="0.25">
      <c r="A84" s="2" t="s">
        <v>15</v>
      </c>
      <c r="B84" s="4">
        <v>45980</v>
      </c>
      <c r="C84" s="5">
        <v>0.46322916666666669</v>
      </c>
      <c r="D84" t="s">
        <v>4</v>
      </c>
      <c r="E84" t="s">
        <v>9</v>
      </c>
      <c r="H84" t="s">
        <v>2936</v>
      </c>
      <c r="I84" t="s">
        <v>2292</v>
      </c>
      <c r="J84" t="s">
        <v>2992</v>
      </c>
      <c r="K84" t="s">
        <v>2293</v>
      </c>
      <c r="L84" t="s">
        <v>2294</v>
      </c>
      <c r="M84" s="3" t="str">
        <f>HYPERLINK(склад2въезд1319202122[[#This Row],[RelativePath]])</f>
        <v>8 Рейсмус\E33149364_2_20251119T110703Z.jpg</v>
      </c>
    </row>
    <row r="85" spans="1:13" x14ac:dyDescent="0.25">
      <c r="A85" s="2" t="s">
        <v>15</v>
      </c>
      <c r="B85" s="4">
        <v>45980</v>
      </c>
      <c r="C85" s="5">
        <v>0.47085648148148146</v>
      </c>
      <c r="D85" t="s">
        <v>4</v>
      </c>
      <c r="E85" t="s">
        <v>9</v>
      </c>
      <c r="H85" t="s">
        <v>2936</v>
      </c>
      <c r="I85" t="s">
        <v>2295</v>
      </c>
      <c r="J85" t="s">
        <v>2992</v>
      </c>
      <c r="K85" t="s">
        <v>2296</v>
      </c>
      <c r="L85" t="s">
        <v>2297</v>
      </c>
      <c r="M85" s="3" t="str">
        <f>HYPERLINK(склад2въезд1319202122[[#This Row],[RelativePath]])</f>
        <v>8 Рейсмус\E33149364_2_20251119T111802Z.jpg</v>
      </c>
    </row>
    <row r="86" spans="1:13" x14ac:dyDescent="0.25">
      <c r="A86" s="2" t="s">
        <v>15</v>
      </c>
      <c r="B86" s="4">
        <v>45980</v>
      </c>
      <c r="C86" s="5">
        <v>0.47964120370370372</v>
      </c>
      <c r="D86" t="s">
        <v>4</v>
      </c>
      <c r="E86" t="s">
        <v>9</v>
      </c>
      <c r="H86" t="s">
        <v>2936</v>
      </c>
      <c r="I86" t="s">
        <v>2298</v>
      </c>
      <c r="J86" t="s">
        <v>2992</v>
      </c>
      <c r="K86" t="s">
        <v>2299</v>
      </c>
      <c r="L86" t="s">
        <v>2300</v>
      </c>
      <c r="M86" s="3" t="str">
        <f>HYPERLINK(склад2въезд1319202122[[#This Row],[RelativePath]])</f>
        <v>8 Рейсмус\E33149364_2_20251119T113041Z.jpg</v>
      </c>
    </row>
    <row r="87" spans="1:13" x14ac:dyDescent="0.25">
      <c r="A87" s="2" t="s">
        <v>15</v>
      </c>
      <c r="B87" s="4">
        <v>45980</v>
      </c>
      <c r="C87" s="5">
        <v>0.53275462962962961</v>
      </c>
      <c r="D87" t="s">
        <v>4</v>
      </c>
      <c r="E87" t="s">
        <v>9</v>
      </c>
      <c r="H87" t="s">
        <v>2936</v>
      </c>
      <c r="I87" t="s">
        <v>2301</v>
      </c>
      <c r="J87" t="s">
        <v>2992</v>
      </c>
      <c r="K87" t="s">
        <v>2302</v>
      </c>
      <c r="L87" t="s">
        <v>2303</v>
      </c>
      <c r="M87" s="3" t="str">
        <f>HYPERLINK(склад2въезд1319202122[[#This Row],[RelativePath]])</f>
        <v>8 Рейсмус\E33149364_2_20251119T124710Z.jpg</v>
      </c>
    </row>
    <row r="88" spans="1:13" x14ac:dyDescent="0.25">
      <c r="A88" s="2" t="s">
        <v>15</v>
      </c>
      <c r="B88" s="4">
        <v>45980</v>
      </c>
      <c r="C88" s="5">
        <v>0.54168981481481482</v>
      </c>
      <c r="D88" t="s">
        <v>2024</v>
      </c>
      <c r="E88" t="s">
        <v>796</v>
      </c>
      <c r="I88" t="s">
        <v>2304</v>
      </c>
      <c r="J88" t="s">
        <v>2992</v>
      </c>
      <c r="K88" t="s">
        <v>2305</v>
      </c>
      <c r="L88" t="s">
        <v>2306</v>
      </c>
      <c r="M88" s="3" t="str">
        <f>HYPERLINK(склад2въезд1319202122[[#This Row],[RelativePath]])</f>
        <v>8 Рейсмус\E33149364_2_20251119T130002Z.jpg</v>
      </c>
    </row>
    <row r="89" spans="1:13" x14ac:dyDescent="0.25">
      <c r="A89" s="2" t="s">
        <v>15</v>
      </c>
      <c r="B89" s="4">
        <v>45980</v>
      </c>
      <c r="C89" s="5">
        <v>0.54248842592592594</v>
      </c>
      <c r="D89" t="s">
        <v>793</v>
      </c>
      <c r="E89" t="s">
        <v>531</v>
      </c>
      <c r="I89" t="s">
        <v>2307</v>
      </c>
      <c r="J89" t="s">
        <v>2992</v>
      </c>
      <c r="K89" t="s">
        <v>2308</v>
      </c>
      <c r="L89" t="s">
        <v>2309</v>
      </c>
      <c r="M89" s="3" t="str">
        <f>HYPERLINK(склад2въезд1319202122[[#This Row],[RelativePath]])</f>
        <v>8 Рейсмус\E33149364_2_20251119T130111Z.jpg</v>
      </c>
    </row>
    <row r="90" spans="1:13" x14ac:dyDescent="0.25">
      <c r="A90" s="2" t="s">
        <v>16</v>
      </c>
      <c r="B90" s="4">
        <v>45981</v>
      </c>
      <c r="C90" s="5">
        <v>0.50761574074074078</v>
      </c>
      <c r="D90" t="s">
        <v>2004</v>
      </c>
      <c r="E90" t="s">
        <v>8</v>
      </c>
      <c r="I90" t="s">
        <v>2310</v>
      </c>
      <c r="J90" t="s">
        <v>2992</v>
      </c>
      <c r="K90" t="s">
        <v>2311</v>
      </c>
      <c r="L90" t="s">
        <v>2312</v>
      </c>
      <c r="M90" s="3" t="str">
        <f>HYPERLINK(склад2въезд1319202122[[#This Row],[RelativePath]])</f>
        <v>8 Рейсмус\E33149364_2_20251120T121058Z.jpg</v>
      </c>
    </row>
    <row r="91" spans="1:13" x14ac:dyDescent="0.25">
      <c r="A91" s="2" t="s">
        <v>17</v>
      </c>
      <c r="B91" s="4">
        <v>45982</v>
      </c>
      <c r="C91" s="5">
        <v>0.40633101851851849</v>
      </c>
      <c r="D91" t="s">
        <v>4</v>
      </c>
      <c r="E91" t="s">
        <v>9</v>
      </c>
      <c r="H91" t="s">
        <v>2936</v>
      </c>
      <c r="I91" t="s">
        <v>2313</v>
      </c>
      <c r="J91" t="s">
        <v>2992</v>
      </c>
      <c r="K91" t="s">
        <v>2314</v>
      </c>
      <c r="L91" t="s">
        <v>2315</v>
      </c>
      <c r="M91" s="3" t="str">
        <f>HYPERLINK(склад2въезд1319202122[[#This Row],[RelativePath]])</f>
        <v>8 Рейсмус\E33149364_2_20251121T094507Z.jpg</v>
      </c>
    </row>
    <row r="92" spans="1:13" x14ac:dyDescent="0.25">
      <c r="A92" s="2" t="s">
        <v>17</v>
      </c>
      <c r="B92" s="4">
        <v>45982</v>
      </c>
      <c r="C92" s="5">
        <v>0.62581018518518516</v>
      </c>
      <c r="D92" t="s">
        <v>4</v>
      </c>
      <c r="E92" t="s">
        <v>9</v>
      </c>
      <c r="H92" t="s">
        <v>2936</v>
      </c>
      <c r="I92" t="s">
        <v>2316</v>
      </c>
      <c r="J92" t="s">
        <v>2992</v>
      </c>
      <c r="K92" t="s">
        <v>2317</v>
      </c>
      <c r="L92" t="s">
        <v>2318</v>
      </c>
      <c r="M92" s="3" t="str">
        <f>HYPERLINK(склад2въезд1319202122[[#This Row],[RelativePath]])</f>
        <v>8 Рейсмус\E33149364_2_20251121T150110Z.jpg</v>
      </c>
    </row>
    <row r="93" spans="1:13" x14ac:dyDescent="0.25">
      <c r="A93" s="2" t="s">
        <v>17</v>
      </c>
      <c r="B93" s="4">
        <v>45982</v>
      </c>
      <c r="C93" s="5">
        <v>0.63032407407407409</v>
      </c>
      <c r="D93" t="s">
        <v>4</v>
      </c>
      <c r="E93" t="s">
        <v>9</v>
      </c>
      <c r="H93" t="s">
        <v>2936</v>
      </c>
      <c r="I93" t="s">
        <v>2319</v>
      </c>
      <c r="J93" t="s">
        <v>2992</v>
      </c>
      <c r="K93" t="s">
        <v>2320</v>
      </c>
      <c r="L93" t="s">
        <v>2321</v>
      </c>
      <c r="M93" s="3" t="str">
        <f>HYPERLINK(склад2въезд1319202122[[#This Row],[RelativePath]])</f>
        <v>8 Рейсмус\E33149364_2_20251121T150740Z.jpg</v>
      </c>
    </row>
    <row r="94" spans="1:13" x14ac:dyDescent="0.25">
      <c r="A94" s="2" t="s">
        <v>17</v>
      </c>
      <c r="B94" s="4">
        <v>45982</v>
      </c>
      <c r="C94" s="5">
        <v>0.6578356481481481</v>
      </c>
      <c r="D94" t="s">
        <v>2024</v>
      </c>
      <c r="E94" t="s">
        <v>796</v>
      </c>
      <c r="I94" t="s">
        <v>2322</v>
      </c>
      <c r="J94" t="s">
        <v>2992</v>
      </c>
      <c r="K94" t="s">
        <v>2323</v>
      </c>
      <c r="L94" t="s">
        <v>2324</v>
      </c>
      <c r="M94" s="3" t="str">
        <f>HYPERLINK(склад2въезд1319202122[[#This Row],[RelativePath]])</f>
        <v>8 Рейсмус\E33149364_2_20251121T154717Z.jpg</v>
      </c>
    </row>
    <row r="95" spans="1:13" x14ac:dyDescent="0.25">
      <c r="A95" s="2" t="s">
        <v>17</v>
      </c>
      <c r="B95" s="4">
        <v>45982</v>
      </c>
      <c r="C95" s="5">
        <v>0.66348379629629628</v>
      </c>
      <c r="D95" t="s">
        <v>2937</v>
      </c>
      <c r="E95" t="s">
        <v>531</v>
      </c>
      <c r="F95" t="s">
        <v>2938</v>
      </c>
      <c r="I95" t="s">
        <v>2325</v>
      </c>
      <c r="J95" t="s">
        <v>2992</v>
      </c>
      <c r="K95" t="s">
        <v>2326</v>
      </c>
      <c r="L95" t="s">
        <v>2327</v>
      </c>
      <c r="M95" s="3" t="str">
        <f>HYPERLINK(склад2въезд1319202122[[#This Row],[RelativePath]])</f>
        <v>8 Рейсмус\E33149364_2_20251121T155525Z.jpg</v>
      </c>
    </row>
    <row r="96" spans="1:13" x14ac:dyDescent="0.25">
      <c r="A96" s="2" t="s">
        <v>17</v>
      </c>
      <c r="B96" s="4">
        <v>45982</v>
      </c>
      <c r="C96" s="5">
        <v>0.67273148148148143</v>
      </c>
      <c r="D96" t="s">
        <v>4</v>
      </c>
      <c r="E96" t="s">
        <v>9</v>
      </c>
      <c r="H96" t="s">
        <v>2936</v>
      </c>
      <c r="I96" t="s">
        <v>2328</v>
      </c>
      <c r="J96" t="s">
        <v>2992</v>
      </c>
      <c r="K96" t="s">
        <v>2329</v>
      </c>
      <c r="L96" t="s">
        <v>2330</v>
      </c>
      <c r="M96" s="3" t="str">
        <f>HYPERLINK(склад2въезд1319202122[[#This Row],[RelativePath]])</f>
        <v>8 Рейсмус\E33149364_2_20251121T160844Z.jpg</v>
      </c>
    </row>
    <row r="97" spans="1:13" x14ac:dyDescent="0.25">
      <c r="A97" s="2" t="s">
        <v>17</v>
      </c>
      <c r="B97" s="4">
        <v>45982</v>
      </c>
      <c r="C97" s="5">
        <v>0.67839120370370365</v>
      </c>
      <c r="D97" t="s">
        <v>4</v>
      </c>
      <c r="E97" t="s">
        <v>9</v>
      </c>
      <c r="H97" t="s">
        <v>2936</v>
      </c>
      <c r="I97" t="s">
        <v>2331</v>
      </c>
      <c r="J97" t="s">
        <v>2992</v>
      </c>
      <c r="K97" t="s">
        <v>2332</v>
      </c>
      <c r="L97" t="s">
        <v>2333</v>
      </c>
      <c r="M97" s="3" t="str">
        <f>HYPERLINK(склад2въезд1319202122[[#This Row],[RelativePath]])</f>
        <v>8 Рейсмус\E33149364_2_20251121T161653Z.jpg</v>
      </c>
    </row>
    <row r="98" spans="1:13" x14ac:dyDescent="0.25">
      <c r="A98" s="2" t="s">
        <v>18</v>
      </c>
      <c r="B98" s="4">
        <v>45983</v>
      </c>
      <c r="C98" s="5">
        <v>0.55412037037037032</v>
      </c>
      <c r="D98" t="s">
        <v>2004</v>
      </c>
      <c r="E98" t="s">
        <v>8</v>
      </c>
      <c r="I98" t="s">
        <v>2334</v>
      </c>
      <c r="J98" t="s">
        <v>2992</v>
      </c>
      <c r="K98" t="s">
        <v>2335</v>
      </c>
      <c r="L98" t="s">
        <v>2336</v>
      </c>
      <c r="M98" s="3" t="str">
        <f>HYPERLINK(склад2въезд1319202122[[#This Row],[RelativePath]])</f>
        <v>8 Рейсмус\E33149364_2_20251122T131756Z.jpg</v>
      </c>
    </row>
    <row r="99" spans="1:13" x14ac:dyDescent="0.25">
      <c r="A99" s="2" t="s">
        <v>22</v>
      </c>
      <c r="B99" s="4">
        <v>45984</v>
      </c>
      <c r="C99" s="5">
        <v>0.66503472222222226</v>
      </c>
      <c r="D99" t="s">
        <v>4</v>
      </c>
      <c r="E99" t="s">
        <v>9</v>
      </c>
      <c r="H99" t="s">
        <v>2004</v>
      </c>
      <c r="I99" t="s">
        <v>2337</v>
      </c>
      <c r="J99" t="s">
        <v>2992</v>
      </c>
      <c r="K99" t="s">
        <v>2338</v>
      </c>
      <c r="L99" t="s">
        <v>2339</v>
      </c>
      <c r="M99" s="3" t="str">
        <f>HYPERLINK(склад2въезд1319202122[[#This Row],[RelativePath]])</f>
        <v>8 Рейсмус\E33149364_2_20251123T155739Z.jpg</v>
      </c>
    </row>
    <row r="100" spans="1:13" x14ac:dyDescent="0.25">
      <c r="A100" s="2" t="s">
        <v>13</v>
      </c>
      <c r="B100" s="4">
        <v>45985</v>
      </c>
      <c r="C100" s="5">
        <v>0.38841435185185186</v>
      </c>
      <c r="D100" t="s">
        <v>2004</v>
      </c>
      <c r="E100" t="s">
        <v>8</v>
      </c>
      <c r="I100" t="s">
        <v>3718</v>
      </c>
      <c r="J100" t="s">
        <v>2992</v>
      </c>
      <c r="K100" t="s">
        <v>3719</v>
      </c>
      <c r="L100" t="s">
        <v>3720</v>
      </c>
      <c r="M100" s="3" t="str">
        <f>HYPERLINK(склад2въезд1319202122[[#This Row],[RelativePath]])</f>
        <v>8 Рейсмус\E33149364_2_20251124T091919Z.jpg</v>
      </c>
    </row>
    <row r="101" spans="1:13" x14ac:dyDescent="0.25">
      <c r="A101" s="2" t="s">
        <v>14</v>
      </c>
      <c r="B101" s="4">
        <v>45986</v>
      </c>
      <c r="C101" s="5">
        <v>0.41233796296296299</v>
      </c>
      <c r="D101" t="s">
        <v>2004</v>
      </c>
      <c r="E101" t="s">
        <v>8</v>
      </c>
      <c r="I101" t="s">
        <v>3721</v>
      </c>
      <c r="J101" t="s">
        <v>2992</v>
      </c>
      <c r="K101" t="s">
        <v>3722</v>
      </c>
      <c r="L101" t="s">
        <v>3723</v>
      </c>
      <c r="M101" s="3" t="str">
        <f>HYPERLINK(склад2въезд1319202122[[#This Row],[RelativePath]])</f>
        <v>8 Рейсмус\E33149364_2_20251125T095346Z.jpg</v>
      </c>
    </row>
    <row r="102" spans="1:13" x14ac:dyDescent="0.25">
      <c r="A102" s="2" t="s">
        <v>15</v>
      </c>
      <c r="B102" s="4">
        <v>45987</v>
      </c>
      <c r="C102" s="5">
        <v>0.52053240740740736</v>
      </c>
      <c r="D102" t="s">
        <v>2004</v>
      </c>
      <c r="E102" t="s">
        <v>8</v>
      </c>
      <c r="I102" t="s">
        <v>3724</v>
      </c>
      <c r="J102" t="s">
        <v>2992</v>
      </c>
      <c r="K102" t="s">
        <v>3725</v>
      </c>
      <c r="L102" t="s">
        <v>3726</v>
      </c>
      <c r="M102" s="3" t="str">
        <f>HYPERLINK(склад2въезд1319202122[[#This Row],[RelativePath]])</f>
        <v>8 Рейсмус\E33149364_2_20251126T122934Z.jpg</v>
      </c>
    </row>
    <row r="103" spans="1:13" x14ac:dyDescent="0.25">
      <c r="A103" s="2" t="s">
        <v>16</v>
      </c>
      <c r="B103" s="4">
        <v>45988</v>
      </c>
      <c r="C103" s="5">
        <v>0.3759837962962963</v>
      </c>
      <c r="D103" t="s">
        <v>2004</v>
      </c>
      <c r="E103" t="s">
        <v>8</v>
      </c>
      <c r="I103" t="s">
        <v>3727</v>
      </c>
      <c r="J103" t="s">
        <v>2992</v>
      </c>
      <c r="K103" t="s">
        <v>3728</v>
      </c>
      <c r="L103" t="s">
        <v>3729</v>
      </c>
      <c r="M103" s="3" t="str">
        <f>HYPERLINK(склад2въезд1319202122[[#This Row],[RelativePath]])</f>
        <v>8 Рейсмус\E33149364_2_20251127T090125Z.jpg</v>
      </c>
    </row>
    <row r="104" spans="1:13" x14ac:dyDescent="0.25">
      <c r="A104" s="2" t="s">
        <v>17</v>
      </c>
      <c r="B104" s="4">
        <v>45989</v>
      </c>
      <c r="C104" s="5">
        <v>0.67268518518518516</v>
      </c>
      <c r="D104" t="s">
        <v>2004</v>
      </c>
      <c r="E104" t="s">
        <v>8</v>
      </c>
      <c r="I104" t="s">
        <v>3730</v>
      </c>
      <c r="J104" t="s">
        <v>2992</v>
      </c>
      <c r="K104" t="s">
        <v>3731</v>
      </c>
      <c r="L104" t="s">
        <v>3732</v>
      </c>
      <c r="M104" s="3" t="str">
        <f>HYPERLINK(склад2въезд1319202122[[#This Row],[RelativePath]])</f>
        <v>8 Рейсмус\E33149364_2_20251128T160840Z.jpg</v>
      </c>
    </row>
    <row r="105" spans="1:13" x14ac:dyDescent="0.25">
      <c r="A105" s="2" t="s">
        <v>18</v>
      </c>
      <c r="B105" s="4">
        <v>45990</v>
      </c>
      <c r="C105" s="5">
        <v>0.64809027777777772</v>
      </c>
      <c r="D105" t="s">
        <v>1091</v>
      </c>
      <c r="E105" t="s">
        <v>4220</v>
      </c>
      <c r="F105" t="s">
        <v>1099</v>
      </c>
      <c r="G105">
        <v>4</v>
      </c>
      <c r="I105" t="s">
        <v>3733</v>
      </c>
      <c r="J105" t="s">
        <v>2992</v>
      </c>
      <c r="K105" t="s">
        <v>3734</v>
      </c>
      <c r="L105" t="s">
        <v>3735</v>
      </c>
      <c r="M105" s="3" t="str">
        <f>HYPERLINK(склад2въезд1319202122[[#This Row],[RelativePath]])</f>
        <v>8 Рейсмус\E33149364_2_20251129T153315Z.jpg</v>
      </c>
    </row>
    <row r="106" spans="1:13" x14ac:dyDescent="0.25">
      <c r="A106" s="2" t="s">
        <v>22</v>
      </c>
      <c r="B106" s="4">
        <v>45991</v>
      </c>
      <c r="C106" s="5">
        <v>0.53916666666666668</v>
      </c>
      <c r="D106" t="s">
        <v>2004</v>
      </c>
      <c r="E106" t="s">
        <v>8</v>
      </c>
      <c r="I106" t="s">
        <v>4279</v>
      </c>
      <c r="J106" t="s">
        <v>2992</v>
      </c>
      <c r="K106" t="s">
        <v>4280</v>
      </c>
      <c r="L106" t="s">
        <v>4281</v>
      </c>
      <c r="M106" s="3" t="str">
        <f>HYPERLINK(склад2въезд1319202122[[#This Row],[RelativePath]])</f>
        <v>8 Рейсмус\E33149364_2_20251130T125624Z.jpg</v>
      </c>
    </row>
    <row r="107" spans="1:13" x14ac:dyDescent="0.25">
      <c r="A107" s="2" t="s">
        <v>13</v>
      </c>
      <c r="B107" s="4">
        <v>45992</v>
      </c>
      <c r="C107" s="5">
        <v>0.50140046296296292</v>
      </c>
      <c r="D107" t="s">
        <v>4</v>
      </c>
      <c r="E107" t="s">
        <v>9</v>
      </c>
      <c r="I107" t="s">
        <v>4600</v>
      </c>
      <c r="J107" t="s">
        <v>2992</v>
      </c>
      <c r="K107" t="s">
        <v>4601</v>
      </c>
      <c r="L107" t="s">
        <v>4602</v>
      </c>
      <c r="M107" s="3" t="str">
        <f>HYPERLINK(склад2въезд1319202122[[#This Row],[RelativePath]])</f>
        <v>8 Рейсмус\E33149364_2_20251201T120201Z.jpg</v>
      </c>
    </row>
    <row r="108" spans="1:13" x14ac:dyDescent="0.25">
      <c r="A108" s="2" t="s">
        <v>13</v>
      </c>
      <c r="B108" s="4">
        <v>45992</v>
      </c>
      <c r="C108" s="5">
        <v>0.66497685185185185</v>
      </c>
      <c r="D108" t="s">
        <v>5136</v>
      </c>
      <c r="E108" t="s">
        <v>5135</v>
      </c>
      <c r="I108" t="s">
        <v>4603</v>
      </c>
      <c r="J108" t="s">
        <v>2992</v>
      </c>
      <c r="K108" t="s">
        <v>4604</v>
      </c>
      <c r="L108" t="s">
        <v>4605</v>
      </c>
      <c r="M108" s="3" t="str">
        <f>HYPERLINK(склад2въезд1319202122[[#This Row],[RelativePath]])</f>
        <v>8 Рейсмус\E33149364_2_20251201T155734Z.jpg</v>
      </c>
    </row>
    <row r="109" spans="1:13" x14ac:dyDescent="0.25">
      <c r="A109" s="2" t="s">
        <v>13</v>
      </c>
      <c r="B109" s="4">
        <v>45992</v>
      </c>
      <c r="C109" s="5">
        <v>0.80954861111111109</v>
      </c>
      <c r="D109" t="s">
        <v>4</v>
      </c>
      <c r="E109" t="s">
        <v>53</v>
      </c>
      <c r="I109" t="s">
        <v>4606</v>
      </c>
      <c r="J109" t="s">
        <v>2992</v>
      </c>
      <c r="K109" t="s">
        <v>4607</v>
      </c>
      <c r="L109" t="s">
        <v>4608</v>
      </c>
      <c r="M109" s="3" t="str">
        <f>HYPERLINK(склад2въезд1319202122[[#This Row],[RelativePath]])</f>
        <v>8 Рейсмус\E33149364_2_20251201T192545Z.jpg</v>
      </c>
    </row>
    <row r="110" spans="1:13" x14ac:dyDescent="0.25">
      <c r="A110" s="2" t="s">
        <v>14</v>
      </c>
      <c r="B110" s="4">
        <v>45993</v>
      </c>
      <c r="C110" s="5">
        <v>0.49702546296296296</v>
      </c>
      <c r="D110" t="s">
        <v>2004</v>
      </c>
      <c r="E110" t="s">
        <v>8</v>
      </c>
      <c r="I110" t="s">
        <v>4609</v>
      </c>
      <c r="J110" t="s">
        <v>2992</v>
      </c>
      <c r="K110" t="s">
        <v>4610</v>
      </c>
      <c r="L110" t="s">
        <v>4611</v>
      </c>
      <c r="M110" s="3" t="str">
        <f>HYPERLINK(склад2въезд1319202122[[#This Row],[RelativePath]])</f>
        <v>8 Рейсмус\E33149364_2_20251202T115543Z.jpg</v>
      </c>
    </row>
    <row r="111" spans="1:13" x14ac:dyDescent="0.25">
      <c r="A111" s="2" t="s">
        <v>15</v>
      </c>
      <c r="B111" s="4">
        <v>45994</v>
      </c>
      <c r="C111" s="5">
        <v>0.62565972222222221</v>
      </c>
      <c r="D111" t="s">
        <v>2004</v>
      </c>
      <c r="E111" t="s">
        <v>8</v>
      </c>
      <c r="I111" t="s">
        <v>4612</v>
      </c>
      <c r="J111" t="s">
        <v>2992</v>
      </c>
      <c r="K111" t="s">
        <v>4613</v>
      </c>
      <c r="L111" t="s">
        <v>4614</v>
      </c>
      <c r="M111" s="3" t="str">
        <f>HYPERLINK(склад2въезд1319202122[[#This Row],[RelativePath]])</f>
        <v>8 Рейсмус\E33149364_2_20251203T150057Z.jpg</v>
      </c>
    </row>
    <row r="112" spans="1:13" x14ac:dyDescent="0.25">
      <c r="A112" s="2" t="s">
        <v>16</v>
      </c>
      <c r="B112" s="4">
        <v>45995</v>
      </c>
      <c r="C112" s="5">
        <v>0.93508101851851855</v>
      </c>
      <c r="D112" t="s">
        <v>2024</v>
      </c>
      <c r="E112" t="s">
        <v>796</v>
      </c>
      <c r="I112" t="s">
        <v>4615</v>
      </c>
      <c r="J112" t="s">
        <v>2992</v>
      </c>
      <c r="K112" t="s">
        <v>4616</v>
      </c>
      <c r="L112" t="s">
        <v>4617</v>
      </c>
      <c r="M112" s="3" t="str">
        <f>HYPERLINK(склад2въезд1319202122[[#This Row],[RelativePath]])</f>
        <v>8 Рейсмус\E33149364_2_20251204T222631Z.jpg</v>
      </c>
    </row>
    <row r="113" spans="1:13" x14ac:dyDescent="0.25">
      <c r="A113" s="2" t="s">
        <v>16</v>
      </c>
      <c r="B113" s="4">
        <v>45995</v>
      </c>
      <c r="C113" s="5">
        <v>0.9412152777777778</v>
      </c>
      <c r="D113" t="s">
        <v>2024</v>
      </c>
      <c r="E113" t="s">
        <v>796</v>
      </c>
      <c r="I113" t="s">
        <v>4618</v>
      </c>
      <c r="J113" t="s">
        <v>2992</v>
      </c>
      <c r="K113" t="s">
        <v>4619</v>
      </c>
      <c r="L113" t="s">
        <v>4620</v>
      </c>
      <c r="M113" s="3" t="str">
        <f>HYPERLINK(склад2въезд1319202122[[#This Row],[RelativePath]])</f>
        <v>8 Рейсмус\E33149364_2_20251204T223521Z.jpg</v>
      </c>
    </row>
    <row r="114" spans="1:13" x14ac:dyDescent="0.25">
      <c r="A114" s="2" t="s">
        <v>17</v>
      </c>
      <c r="B114" s="4">
        <v>45996</v>
      </c>
      <c r="C114" s="5">
        <v>0.38364583333333335</v>
      </c>
      <c r="D114" t="s">
        <v>2004</v>
      </c>
      <c r="E114" t="s">
        <v>8</v>
      </c>
      <c r="I114" t="s">
        <v>4621</v>
      </c>
      <c r="J114" t="s">
        <v>2992</v>
      </c>
      <c r="K114" t="s">
        <v>4622</v>
      </c>
      <c r="L114" t="s">
        <v>4623</v>
      </c>
      <c r="M114" s="3" t="str">
        <f>HYPERLINK(склад2въезд1319202122[[#This Row],[RelativePath]])</f>
        <v>8 Рейсмус\E33149364_2_20251205T091227Z.jpg</v>
      </c>
    </row>
    <row r="115" spans="1:13" x14ac:dyDescent="0.25">
      <c r="A115" s="2" t="s">
        <v>18</v>
      </c>
      <c r="B115" s="4">
        <v>45997</v>
      </c>
      <c r="C115" s="5">
        <v>0.4513773148148148</v>
      </c>
      <c r="D115" t="s">
        <v>2004</v>
      </c>
      <c r="E115" t="s">
        <v>8</v>
      </c>
      <c r="I115" t="s">
        <v>4624</v>
      </c>
      <c r="J115" t="s">
        <v>2992</v>
      </c>
      <c r="K115" t="s">
        <v>4625</v>
      </c>
      <c r="L115" t="s">
        <v>4626</v>
      </c>
      <c r="M115" s="3" t="str">
        <f>HYPERLINK(склад2въезд1319202122[[#This Row],[RelativePath]])</f>
        <v>8 Рейсмус\E33149364_2_20251206T104959Z.jpg</v>
      </c>
    </row>
    <row r="116" spans="1:13" x14ac:dyDescent="0.25">
      <c r="A116" s="2" t="s">
        <v>22</v>
      </c>
      <c r="B116" s="4">
        <v>45998</v>
      </c>
      <c r="C116" s="5">
        <v>0.68356481481481479</v>
      </c>
      <c r="D116" t="s">
        <v>2004</v>
      </c>
      <c r="E116" t="s">
        <v>8</v>
      </c>
      <c r="I116" t="s">
        <v>5178</v>
      </c>
      <c r="J116" t="s">
        <v>2992</v>
      </c>
      <c r="K116" t="s">
        <v>5179</v>
      </c>
      <c r="L116" t="s">
        <v>5180</v>
      </c>
      <c r="M116" s="3" t="str">
        <f>HYPERLINK(склад2въезд1319202122[[#This Row],[RelativePath]])</f>
        <v>8 Рейсмус\E33149364_2_20251207T162420Z.jpg</v>
      </c>
    </row>
    <row r="117" spans="1:13" x14ac:dyDescent="0.25">
      <c r="A117" s="2" t="s">
        <v>13</v>
      </c>
      <c r="B117" s="4">
        <v>45999</v>
      </c>
      <c r="C117" s="5">
        <v>0.33769675925925924</v>
      </c>
      <c r="D117" t="s">
        <v>2004</v>
      </c>
      <c r="E117" t="s">
        <v>8</v>
      </c>
      <c r="I117" t="s">
        <v>5325</v>
      </c>
      <c r="J117" t="s">
        <v>2992</v>
      </c>
      <c r="K117" t="s">
        <v>5326</v>
      </c>
      <c r="L117" t="s">
        <v>5327</v>
      </c>
      <c r="M117" s="3" t="str">
        <f>HYPERLINK(склад2въезд1319202122[[#This Row],[RelativePath]])</f>
        <v>8 Рейсмус\E33149364_2_20251208T080617Z.jpg</v>
      </c>
    </row>
    <row r="118" spans="1:13" x14ac:dyDescent="0.25">
      <c r="A118" s="2" t="s">
        <v>14</v>
      </c>
      <c r="B118" s="4">
        <v>46000</v>
      </c>
      <c r="C118" s="5">
        <v>0.68513888888888885</v>
      </c>
      <c r="D118" t="s">
        <v>2004</v>
      </c>
      <c r="E118" t="s">
        <v>8</v>
      </c>
      <c r="I118" t="s">
        <v>5719</v>
      </c>
      <c r="J118" t="s">
        <v>2992</v>
      </c>
      <c r="K118" t="s">
        <v>5720</v>
      </c>
      <c r="L118" t="s">
        <v>5721</v>
      </c>
      <c r="M118" s="3" t="str">
        <f>HYPERLINK(склад2въезд1319202122[[#This Row],[RelativePath]])</f>
        <v>8 Рейсмус\E33149364_2_20251209T162636Z.jpg</v>
      </c>
    </row>
    <row r="119" spans="1:13" x14ac:dyDescent="0.25">
      <c r="A119" s="2" t="s">
        <v>15</v>
      </c>
      <c r="B119" s="4">
        <v>46001</v>
      </c>
      <c r="C119" s="5">
        <v>0.45646990740740739</v>
      </c>
      <c r="D119" t="s">
        <v>4</v>
      </c>
      <c r="E119" t="s">
        <v>9</v>
      </c>
      <c r="I119" t="s">
        <v>5722</v>
      </c>
      <c r="J119" t="s">
        <v>2992</v>
      </c>
      <c r="K119" t="s">
        <v>5723</v>
      </c>
      <c r="L119" t="s">
        <v>5724</v>
      </c>
      <c r="M119" s="3" t="str">
        <f>HYPERLINK(склад2въезд1319202122[[#This Row],[RelativePath]])</f>
        <v>8 Рейсмус\E33149364_2_20251210T105719Z.jpg</v>
      </c>
    </row>
    <row r="120" spans="1:13" x14ac:dyDescent="0.25">
      <c r="A120" s="2" t="s">
        <v>15</v>
      </c>
      <c r="B120" s="4">
        <v>46001</v>
      </c>
      <c r="C120" s="5">
        <v>0.61502314814814818</v>
      </c>
      <c r="D120" t="s">
        <v>5136</v>
      </c>
      <c r="I120" t="s">
        <v>5725</v>
      </c>
      <c r="J120" t="s">
        <v>2992</v>
      </c>
      <c r="K120" t="s">
        <v>5726</v>
      </c>
      <c r="L120" t="s">
        <v>5727</v>
      </c>
      <c r="M120" s="3" t="str">
        <f>HYPERLINK(склад2въезд1319202122[[#This Row],[RelativePath]])</f>
        <v>8 Рейсмус\E33149364_2_20251210T144538Z.jpg</v>
      </c>
    </row>
    <row r="121" spans="1:13" x14ac:dyDescent="0.25">
      <c r="A121" s="2" t="s">
        <v>15</v>
      </c>
      <c r="B121" s="4">
        <v>46001</v>
      </c>
      <c r="C121" s="5">
        <v>0.61506944444444445</v>
      </c>
      <c r="D121" t="s">
        <v>5136</v>
      </c>
      <c r="I121" t="s">
        <v>5728</v>
      </c>
      <c r="J121" t="s">
        <v>2992</v>
      </c>
      <c r="K121" t="s">
        <v>5729</v>
      </c>
      <c r="L121" t="s">
        <v>5730</v>
      </c>
      <c r="M121" s="3" t="str">
        <f>HYPERLINK(склад2въезд1319202122[[#This Row],[RelativePath]])</f>
        <v>8 Рейсмус\E33149364_2_20251210T144542Z.jpg</v>
      </c>
    </row>
    <row r="122" spans="1:13" x14ac:dyDescent="0.25">
      <c r="A122" s="2" t="s">
        <v>15</v>
      </c>
      <c r="B122" s="4">
        <v>46001</v>
      </c>
      <c r="C122" s="5">
        <v>0.61586805555555557</v>
      </c>
      <c r="D122" t="s">
        <v>793</v>
      </c>
      <c r="E122" t="s">
        <v>531</v>
      </c>
      <c r="I122" t="s">
        <v>5731</v>
      </c>
      <c r="J122" t="s">
        <v>2992</v>
      </c>
      <c r="K122" t="s">
        <v>5732</v>
      </c>
      <c r="L122" t="s">
        <v>5733</v>
      </c>
      <c r="M122" s="3" t="str">
        <f>HYPERLINK(склад2въезд1319202122[[#This Row],[RelativePath]])</f>
        <v>8 Рейсмус\E33149364_2_20251210T144651Z.jpg</v>
      </c>
    </row>
    <row r="123" spans="1:13" x14ac:dyDescent="0.25">
      <c r="A123" s="2" t="s">
        <v>15</v>
      </c>
      <c r="B123" s="4">
        <v>46001</v>
      </c>
      <c r="C123" s="5">
        <v>0.64564814814814819</v>
      </c>
      <c r="D123" t="s">
        <v>4</v>
      </c>
      <c r="E123" t="s">
        <v>9</v>
      </c>
      <c r="I123" t="s">
        <v>5734</v>
      </c>
      <c r="J123" t="s">
        <v>2992</v>
      </c>
      <c r="K123" t="s">
        <v>5735</v>
      </c>
      <c r="L123" t="s">
        <v>5736</v>
      </c>
      <c r="M123" s="3" t="str">
        <f>HYPERLINK(склад2въезд1319202122[[#This Row],[RelativePath]])</f>
        <v>8 Рейсмус\E33149364_2_20251210T152944Z.jpg</v>
      </c>
    </row>
    <row r="124" spans="1:13" x14ac:dyDescent="0.25">
      <c r="A124" s="2" t="s">
        <v>15</v>
      </c>
      <c r="B124" s="4">
        <v>46001</v>
      </c>
      <c r="C124" s="5">
        <v>0.66070601851851851</v>
      </c>
      <c r="D124" t="s">
        <v>4</v>
      </c>
      <c r="E124" t="s">
        <v>9</v>
      </c>
      <c r="H124" t="s">
        <v>2936</v>
      </c>
      <c r="I124" t="s">
        <v>5737</v>
      </c>
      <c r="J124" t="s">
        <v>2992</v>
      </c>
      <c r="K124" t="s">
        <v>5738</v>
      </c>
      <c r="L124" t="s">
        <v>5739</v>
      </c>
      <c r="M124" s="3" t="str">
        <f>HYPERLINK(склад2въезд1319202122[[#This Row],[RelativePath]])</f>
        <v>8 Рейсмус\E33149364_2_20251210T155125Z.jpg</v>
      </c>
    </row>
    <row r="125" spans="1:13" x14ac:dyDescent="0.25">
      <c r="A125" s="2" t="s">
        <v>15</v>
      </c>
      <c r="B125" s="4">
        <v>46001</v>
      </c>
      <c r="C125" s="5">
        <v>0.66422453703703699</v>
      </c>
      <c r="D125" t="s">
        <v>4</v>
      </c>
      <c r="E125" t="s">
        <v>9</v>
      </c>
      <c r="H125" t="s">
        <v>2936</v>
      </c>
      <c r="I125" t="s">
        <v>5740</v>
      </c>
      <c r="J125" t="s">
        <v>2992</v>
      </c>
      <c r="K125" t="s">
        <v>5741</v>
      </c>
      <c r="L125" t="s">
        <v>5742</v>
      </c>
      <c r="M125" s="3" t="str">
        <f>HYPERLINK(склад2въезд1319202122[[#This Row],[RelativePath]])</f>
        <v>8 Рейсмус\E33149364_2_20251210T155629Z.jpg</v>
      </c>
    </row>
    <row r="126" spans="1:13" x14ac:dyDescent="0.25">
      <c r="A126" s="2" t="s">
        <v>16</v>
      </c>
      <c r="B126" s="4">
        <v>46002</v>
      </c>
      <c r="C126" s="5">
        <v>0.98526620370370366</v>
      </c>
      <c r="D126" t="s">
        <v>2004</v>
      </c>
      <c r="E126" t="s">
        <v>8</v>
      </c>
      <c r="I126" t="s">
        <v>5743</v>
      </c>
      <c r="J126" t="s">
        <v>2992</v>
      </c>
      <c r="K126" t="s">
        <v>5744</v>
      </c>
      <c r="L126" t="s">
        <v>5745</v>
      </c>
      <c r="M126" s="3" t="str">
        <f>HYPERLINK(склад2въезд1319202122[[#This Row],[RelativePath]])</f>
        <v>8 Рейсмус\E33149364_2_20251211T233847Z.jpg</v>
      </c>
    </row>
    <row r="127" spans="1:13" x14ac:dyDescent="0.25">
      <c r="A127" s="2" t="s">
        <v>17</v>
      </c>
      <c r="B127" s="4">
        <v>46003</v>
      </c>
      <c r="C127" s="5">
        <v>0.51637731481481486</v>
      </c>
      <c r="D127" t="s">
        <v>2004</v>
      </c>
      <c r="E127" t="s">
        <v>8</v>
      </c>
      <c r="I127" t="s">
        <v>5878</v>
      </c>
      <c r="J127" t="s">
        <v>2992</v>
      </c>
      <c r="K127" t="s">
        <v>5879</v>
      </c>
      <c r="L127" t="s">
        <v>5880</v>
      </c>
      <c r="M127" s="3" t="str">
        <f>HYPERLINK(склад2въезд1319202122[[#This Row],[RelativePath]])</f>
        <v>8 Рейсмус\E33149364_2_20251212T122335Z.jpg</v>
      </c>
    </row>
    <row r="128" spans="1:13" x14ac:dyDescent="0.25">
      <c r="A128" s="2" t="s">
        <v>18</v>
      </c>
      <c r="B128" s="4">
        <v>46004</v>
      </c>
      <c r="C128" s="5">
        <v>0.47920138888888891</v>
      </c>
      <c r="D128" t="s">
        <v>2004</v>
      </c>
      <c r="E128" t="s">
        <v>8</v>
      </c>
      <c r="I128" t="s">
        <v>6082</v>
      </c>
      <c r="J128" t="s">
        <v>2992</v>
      </c>
      <c r="K128" t="s">
        <v>6083</v>
      </c>
      <c r="L128" t="s">
        <v>6084</v>
      </c>
      <c r="M128" s="3" t="str">
        <f>HYPERLINK(склад2въезд1319202122[[#This Row],[RelativePath]])</f>
        <v>8 Рейсмус\E33149364_2_20251213T113003Z.jpg</v>
      </c>
    </row>
  </sheetData>
  <conditionalFormatting sqref="D129:D139 E129:E142 G2:H128 D2:E128">
    <cfRule type="containsText" dxfId="417" priority="14" operator="containsText" text="Выезд с территории">
      <formula>NOT(ISERROR(SEARCH("Выезд с территории",D2)))</formula>
    </cfRule>
  </conditionalFormatting>
  <conditionalFormatting sqref="F2:F128">
    <cfRule type="notContainsText" dxfId="416" priority="13" operator="notContains" text="порожний">
      <formula>ISERROR(SEARCH("порожний",F2))</formula>
    </cfRule>
  </conditionalFormatting>
  <conditionalFormatting sqref="E2:E142">
    <cfRule type="containsText" dxfId="415" priority="11" operator="containsText" text="Газель базы">
      <formula>NOT(ISERROR(SEARCH("Газель базы",E2)))</formula>
    </cfRule>
    <cfRule type="containsText" dxfId="414" priority="12" operator="containsText" text="Погрузчик базы">
      <formula>NOT(ISERROR(SEARCH("Погрузчик базы",E2)))</formula>
    </cfRule>
  </conditionalFormatting>
  <conditionalFormatting sqref="E2:E142">
    <cfRule type="containsText" dxfId="413" priority="10" operator="containsText" text="Трактор базы">
      <formula>NOT(ISERROR(SEARCH("Трактор базы",E2)))</formula>
    </cfRule>
  </conditionalFormatting>
  <conditionalFormatting sqref="A2:C128">
    <cfRule type="expression" dxfId="412" priority="9">
      <formula>$A2="пн"</formula>
    </cfRule>
  </conditionalFormatting>
  <conditionalFormatting sqref="A2:C130">
    <cfRule type="expression" dxfId="411" priority="3">
      <formula>$A2="вс"</formula>
    </cfRule>
    <cfRule type="expression" dxfId="410" priority="4">
      <formula>$A2="сб"</formula>
    </cfRule>
    <cfRule type="expression" dxfId="409" priority="5">
      <formula>$A2="пт"</formula>
    </cfRule>
    <cfRule type="expression" dxfId="408" priority="6">
      <formula>$A2="чт"</formula>
    </cfRule>
    <cfRule type="expression" dxfId="407" priority="7">
      <formula>$A2="ср"</formula>
    </cfRule>
    <cfRule type="expression" dxfId="406" priority="8">
      <formula>$A2="вт"</formula>
    </cfRule>
  </conditionalFormatting>
  <conditionalFormatting sqref="D2:D139">
    <cfRule type="containsText" dxfId="405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139">
    <cfRule type="containsText" dxfId="404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D9F6-766B-445F-997D-85E8EEB44C05}">
  <sheetPr>
    <tabColor rgb="FFFFFF00"/>
  </sheetPr>
  <dimension ref="A1:M357"/>
  <sheetViews>
    <sheetView zoomScale="90" zoomScaleNormal="90" workbookViewId="0">
      <pane ySplit="1" topLeftCell="A335" activePane="bottomLeft" state="frozen"/>
      <selection pane="bottomLeft" activeCell="F360" sqref="F360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28.7109375" bestFit="1" customWidth="1"/>
    <col min="5" max="5" width="28.140625" bestFit="1" customWidth="1"/>
    <col min="6" max="6" width="18.7109375" bestFit="1" customWidth="1"/>
    <col min="7" max="7" width="7.28515625" bestFit="1" customWidth="1"/>
    <col min="8" max="8" width="30" bestFit="1" customWidth="1"/>
    <col min="9" max="9" width="35.42578125" hidden="1" customWidth="1"/>
    <col min="10" max="10" width="42.140625" hidden="1" customWidth="1"/>
    <col min="11" max="11" width="53.28515625" hidden="1" customWidth="1"/>
    <col min="12" max="12" width="24.5703125" hidden="1" customWidth="1"/>
    <col min="13" max="13" width="53.28515625" bestFit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0.36785879629629631</v>
      </c>
      <c r="D2" t="s">
        <v>4</v>
      </c>
      <c r="E2" t="s">
        <v>9</v>
      </c>
      <c r="I2" t="s">
        <v>797</v>
      </c>
      <c r="J2" t="s">
        <v>2993</v>
      </c>
      <c r="K2" t="s">
        <v>798</v>
      </c>
      <c r="L2" t="s">
        <v>799</v>
      </c>
      <c r="M2" s="3" t="str">
        <f>HYPERLINK(склад2въезд13192021222[[#This Row],[RelativePath]])</f>
        <v>9 Ангар пилорама\E33149364_1_20251110T084943Z.jpg</v>
      </c>
    </row>
    <row r="3" spans="1:13" x14ac:dyDescent="0.25">
      <c r="A3" s="2" t="s">
        <v>13</v>
      </c>
      <c r="B3" s="4">
        <v>45971</v>
      </c>
      <c r="C3" s="5">
        <v>0.38792824074074073</v>
      </c>
      <c r="D3" t="s">
        <v>1091</v>
      </c>
      <c r="E3" t="s">
        <v>1097</v>
      </c>
      <c r="I3" t="s">
        <v>800</v>
      </c>
      <c r="J3" t="s">
        <v>2993</v>
      </c>
      <c r="K3" t="s">
        <v>801</v>
      </c>
      <c r="L3" t="s">
        <v>802</v>
      </c>
      <c r="M3" s="3" t="str">
        <f>HYPERLINK(склад2въезд13192021222[[#This Row],[RelativePath]])</f>
        <v>9 Ангар пилорама\E33149364_1_20251110T091837Z.jpg</v>
      </c>
    </row>
    <row r="4" spans="1:13" x14ac:dyDescent="0.25">
      <c r="A4" s="2" t="s">
        <v>13</v>
      </c>
      <c r="B4" s="4">
        <v>45971</v>
      </c>
      <c r="C4" s="5">
        <v>0.39877314814814813</v>
      </c>
      <c r="D4" t="s">
        <v>793</v>
      </c>
      <c r="E4" t="s">
        <v>531</v>
      </c>
      <c r="I4" t="s">
        <v>803</v>
      </c>
      <c r="J4" t="s">
        <v>2993</v>
      </c>
      <c r="K4" t="s">
        <v>804</v>
      </c>
      <c r="L4" t="s">
        <v>805</v>
      </c>
      <c r="M4" s="3" t="str">
        <f>HYPERLINK(склад2въезд13192021222[[#This Row],[RelativePath]])</f>
        <v>9 Ангар пилорама\E33149364_1_20251110T093414Z.jpg</v>
      </c>
    </row>
    <row r="5" spans="1:13" x14ac:dyDescent="0.25">
      <c r="A5" s="2" t="s">
        <v>13</v>
      </c>
      <c r="B5" s="4">
        <v>45971</v>
      </c>
      <c r="C5" s="5">
        <v>0.40099537037037036</v>
      </c>
      <c r="D5" t="s">
        <v>793</v>
      </c>
      <c r="E5" t="s">
        <v>531</v>
      </c>
      <c r="I5" t="s">
        <v>806</v>
      </c>
      <c r="J5" t="s">
        <v>2993</v>
      </c>
      <c r="K5" t="s">
        <v>807</v>
      </c>
      <c r="L5" t="s">
        <v>808</v>
      </c>
      <c r="M5" s="3" t="str">
        <f>HYPERLINK(склад2въезд13192021222[[#This Row],[RelativePath]])</f>
        <v>9 Ангар пилорама\E33149364_1_20251110T093726Z.jpg</v>
      </c>
    </row>
    <row r="6" spans="1:13" x14ac:dyDescent="0.25">
      <c r="A6" s="2" t="s">
        <v>13</v>
      </c>
      <c r="B6" s="4">
        <v>45971</v>
      </c>
      <c r="C6" s="5">
        <v>0.41182870370370372</v>
      </c>
      <c r="D6" t="s">
        <v>4</v>
      </c>
      <c r="E6" t="s">
        <v>9</v>
      </c>
      <c r="I6" t="s">
        <v>809</v>
      </c>
      <c r="J6" t="s">
        <v>2993</v>
      </c>
      <c r="K6" t="s">
        <v>810</v>
      </c>
      <c r="L6" t="s">
        <v>811</v>
      </c>
      <c r="M6" s="3" t="str">
        <f>HYPERLINK(склад2въезд13192021222[[#This Row],[RelativePath]])</f>
        <v>9 Ангар пилорама\E33149364_1_20251110T095302Z.jpg</v>
      </c>
    </row>
    <row r="7" spans="1:13" x14ac:dyDescent="0.25">
      <c r="A7" s="2" t="s">
        <v>13</v>
      </c>
      <c r="B7" s="4">
        <v>45971</v>
      </c>
      <c r="C7" s="5">
        <v>0.41491898148148149</v>
      </c>
      <c r="D7" t="s">
        <v>1098</v>
      </c>
      <c r="E7" t="s">
        <v>531</v>
      </c>
      <c r="I7" t="s">
        <v>812</v>
      </c>
      <c r="J7" t="s">
        <v>2993</v>
      </c>
      <c r="K7" t="s">
        <v>813</v>
      </c>
      <c r="L7" t="s">
        <v>814</v>
      </c>
      <c r="M7" s="3" t="str">
        <f>HYPERLINK(склад2въезд13192021222[[#This Row],[RelativePath]])</f>
        <v>9 Ангар пилорама\E33149364_1_20251110T095729Z.jpg</v>
      </c>
    </row>
    <row r="8" spans="1:13" x14ac:dyDescent="0.25">
      <c r="A8" s="2" t="s">
        <v>13</v>
      </c>
      <c r="B8" s="4">
        <v>45971</v>
      </c>
      <c r="C8" s="5">
        <v>0.42128472222222224</v>
      </c>
      <c r="D8" t="s">
        <v>289</v>
      </c>
      <c r="E8" t="s">
        <v>1099</v>
      </c>
      <c r="I8" t="s">
        <v>815</v>
      </c>
      <c r="J8" t="s">
        <v>2993</v>
      </c>
      <c r="K8" t="s">
        <v>816</v>
      </c>
      <c r="L8" t="s">
        <v>817</v>
      </c>
      <c r="M8" s="3" t="str">
        <f>HYPERLINK(склад2въезд13192021222[[#This Row],[RelativePath]])</f>
        <v>9 Ангар пилорама\E33149364_1_20251110T100639Z.jpg</v>
      </c>
    </row>
    <row r="9" spans="1:13" x14ac:dyDescent="0.25">
      <c r="A9" s="2" t="s">
        <v>13</v>
      </c>
      <c r="B9" s="4">
        <v>45971</v>
      </c>
      <c r="C9" s="5">
        <v>0.43697916666666664</v>
      </c>
      <c r="D9" t="s">
        <v>4</v>
      </c>
      <c r="E9" t="s">
        <v>9</v>
      </c>
      <c r="I9" t="s">
        <v>818</v>
      </c>
      <c r="J9" t="s">
        <v>2993</v>
      </c>
      <c r="K9" t="s">
        <v>819</v>
      </c>
      <c r="L9" t="s">
        <v>820</v>
      </c>
      <c r="M9" s="3" t="str">
        <f>HYPERLINK(склад2въезд13192021222[[#This Row],[RelativePath]])</f>
        <v>9 Ангар пилорама\E33149364_1_20251110T102915Z.jpg</v>
      </c>
    </row>
    <row r="10" spans="1:13" x14ac:dyDescent="0.25">
      <c r="A10" s="2" t="s">
        <v>13</v>
      </c>
      <c r="B10" s="4">
        <v>45971</v>
      </c>
      <c r="C10" s="5">
        <v>0.44604166666666667</v>
      </c>
      <c r="D10" t="s">
        <v>4</v>
      </c>
      <c r="E10" t="s">
        <v>9</v>
      </c>
      <c r="I10" t="s">
        <v>821</v>
      </c>
      <c r="J10" t="s">
        <v>2993</v>
      </c>
      <c r="K10" t="s">
        <v>822</v>
      </c>
      <c r="L10" t="s">
        <v>823</v>
      </c>
      <c r="M10" s="3" t="str">
        <f>HYPERLINK(склад2въезд13192021222[[#This Row],[RelativePath]])</f>
        <v>9 Ангар пилорама\E33149364_1_20251110T104218Z.jpg</v>
      </c>
    </row>
    <row r="11" spans="1:13" x14ac:dyDescent="0.25">
      <c r="A11" s="2" t="s">
        <v>13</v>
      </c>
      <c r="B11" s="4">
        <v>45971</v>
      </c>
      <c r="C11" s="5">
        <v>0.46214120370370371</v>
      </c>
      <c r="D11" t="s">
        <v>4</v>
      </c>
      <c r="E11" t="s">
        <v>9</v>
      </c>
      <c r="I11" t="s">
        <v>824</v>
      </c>
      <c r="J11" t="s">
        <v>2993</v>
      </c>
      <c r="K11" t="s">
        <v>825</v>
      </c>
      <c r="L11" t="s">
        <v>826</v>
      </c>
      <c r="M11" s="3" t="str">
        <f>HYPERLINK(склад2въезд13192021222[[#This Row],[RelativePath]])</f>
        <v>9 Ангар пилорама\E33149364_1_20251110T110529Z.jpg</v>
      </c>
    </row>
    <row r="12" spans="1:13" x14ac:dyDescent="0.25">
      <c r="A12" s="2" t="s">
        <v>13</v>
      </c>
      <c r="B12" s="4">
        <v>45971</v>
      </c>
      <c r="C12" s="5">
        <v>0.46668981481481481</v>
      </c>
      <c r="D12" t="s">
        <v>2024</v>
      </c>
      <c r="E12" t="s">
        <v>1304</v>
      </c>
      <c r="I12" t="s">
        <v>827</v>
      </c>
      <c r="J12" t="s">
        <v>2993</v>
      </c>
      <c r="K12" t="s">
        <v>828</v>
      </c>
      <c r="L12" t="s">
        <v>829</v>
      </c>
      <c r="M12" s="3" t="str">
        <f>HYPERLINK(склад2въезд13192021222[[#This Row],[RelativePath]])</f>
        <v>9 Ангар пилорама\E33149364_1_20251110T111202Z.jpg</v>
      </c>
    </row>
    <row r="13" spans="1:13" x14ac:dyDescent="0.25">
      <c r="A13" s="2" t="s">
        <v>13</v>
      </c>
      <c r="B13" s="4">
        <v>45971</v>
      </c>
      <c r="C13" s="5">
        <v>0.47001157407407407</v>
      </c>
      <c r="D13" t="s">
        <v>4</v>
      </c>
      <c r="E13" t="s">
        <v>9</v>
      </c>
      <c r="I13" t="s">
        <v>830</v>
      </c>
      <c r="J13" t="s">
        <v>2993</v>
      </c>
      <c r="K13" t="s">
        <v>831</v>
      </c>
      <c r="L13" t="s">
        <v>832</v>
      </c>
      <c r="M13" s="3" t="str">
        <f>HYPERLINK(склад2въезд13192021222[[#This Row],[RelativePath]])</f>
        <v>9 Ангар пилорама\E33149364_1_20251110T111649Z.jpg</v>
      </c>
    </row>
    <row r="14" spans="1:13" x14ac:dyDescent="0.25">
      <c r="A14" s="2" t="s">
        <v>13</v>
      </c>
      <c r="B14" s="4">
        <v>45971</v>
      </c>
      <c r="C14" s="5">
        <v>0.49998842592592591</v>
      </c>
      <c r="D14" t="s">
        <v>4</v>
      </c>
      <c r="E14" t="s">
        <v>9</v>
      </c>
      <c r="I14" t="s">
        <v>833</v>
      </c>
      <c r="J14" t="s">
        <v>2993</v>
      </c>
      <c r="K14" t="s">
        <v>834</v>
      </c>
      <c r="L14" t="s">
        <v>835</v>
      </c>
      <c r="M14" s="3" t="str">
        <f>HYPERLINK(склад2въезд13192021222[[#This Row],[RelativePath]])</f>
        <v>9 Ангар пилорама\E33149364_1_20251110T115959Z.jpg</v>
      </c>
    </row>
    <row r="15" spans="1:13" x14ac:dyDescent="0.25">
      <c r="A15" s="2" t="s">
        <v>13</v>
      </c>
      <c r="B15" s="4">
        <v>45971</v>
      </c>
      <c r="C15" s="5">
        <v>0.51606481481481481</v>
      </c>
      <c r="D15" t="s">
        <v>4</v>
      </c>
      <c r="E15" t="s">
        <v>9</v>
      </c>
      <c r="I15" t="s">
        <v>836</v>
      </c>
      <c r="J15" t="s">
        <v>2993</v>
      </c>
      <c r="K15" t="s">
        <v>837</v>
      </c>
      <c r="L15" t="s">
        <v>838</v>
      </c>
      <c r="M15" s="3" t="str">
        <f>HYPERLINK(склад2въезд13192021222[[#This Row],[RelativePath]])</f>
        <v>9 Ангар пилорама\E33149364_1_20251110T122308Z.jpg</v>
      </c>
    </row>
    <row r="16" spans="1:13" x14ac:dyDescent="0.25">
      <c r="A16" s="2" t="s">
        <v>13</v>
      </c>
      <c r="B16" s="4">
        <v>45971</v>
      </c>
      <c r="C16" s="5">
        <v>0.51613425925925926</v>
      </c>
      <c r="D16" t="s">
        <v>4</v>
      </c>
      <c r="E16" t="s">
        <v>9</v>
      </c>
      <c r="I16" t="s">
        <v>839</v>
      </c>
      <c r="J16" t="s">
        <v>2993</v>
      </c>
      <c r="K16" t="s">
        <v>840</v>
      </c>
      <c r="L16" t="s">
        <v>841</v>
      </c>
      <c r="M16" s="3" t="str">
        <f>HYPERLINK(склад2въезд13192021222[[#This Row],[RelativePath]])</f>
        <v>9 Ангар пилорама\E33149364_1_20251110T122314Z.jpg</v>
      </c>
    </row>
    <row r="17" spans="1:13" x14ac:dyDescent="0.25">
      <c r="A17" s="2" t="s">
        <v>13</v>
      </c>
      <c r="B17" s="4">
        <v>45971</v>
      </c>
      <c r="C17" s="5">
        <v>0.5231365740740741</v>
      </c>
      <c r="D17" t="s">
        <v>4</v>
      </c>
      <c r="E17" t="s">
        <v>9</v>
      </c>
      <c r="I17" t="s">
        <v>842</v>
      </c>
      <c r="J17" t="s">
        <v>2993</v>
      </c>
      <c r="K17" t="s">
        <v>843</v>
      </c>
      <c r="L17" t="s">
        <v>844</v>
      </c>
      <c r="M17" s="3" t="str">
        <f>HYPERLINK(склад2въезд13192021222[[#This Row],[RelativePath]])</f>
        <v>9 Ангар пилорама\E33149364_1_20251110T123319Z.jpg</v>
      </c>
    </row>
    <row r="18" spans="1:13" x14ac:dyDescent="0.25">
      <c r="A18" s="2" t="s">
        <v>13</v>
      </c>
      <c r="B18" s="4">
        <v>45971</v>
      </c>
      <c r="C18" s="5">
        <v>0.53162037037037035</v>
      </c>
      <c r="D18" t="s">
        <v>4</v>
      </c>
      <c r="E18" t="s">
        <v>9</v>
      </c>
      <c r="I18" t="s">
        <v>845</v>
      </c>
      <c r="J18" t="s">
        <v>2993</v>
      </c>
      <c r="K18" t="s">
        <v>846</v>
      </c>
      <c r="L18" t="s">
        <v>847</v>
      </c>
      <c r="M18" s="3" t="str">
        <f>HYPERLINK(склад2въезд13192021222[[#This Row],[RelativePath]])</f>
        <v>9 Ангар пилорама\E33149364_1_20251110T124532Z.jpg</v>
      </c>
    </row>
    <row r="19" spans="1:13" x14ac:dyDescent="0.25">
      <c r="A19" s="2" t="s">
        <v>13</v>
      </c>
      <c r="B19" s="4">
        <v>45971</v>
      </c>
      <c r="C19" s="5">
        <v>0.5470949074074074</v>
      </c>
      <c r="D19" t="s">
        <v>4</v>
      </c>
      <c r="E19" t="s">
        <v>9</v>
      </c>
      <c r="I19" t="s">
        <v>848</v>
      </c>
      <c r="J19" t="s">
        <v>2993</v>
      </c>
      <c r="K19" t="s">
        <v>849</v>
      </c>
      <c r="L19" t="s">
        <v>850</v>
      </c>
      <c r="M19" s="3" t="str">
        <f>HYPERLINK(склад2въезд13192021222[[#This Row],[RelativePath]])</f>
        <v>9 Ангар пилорама\E33149364_1_20251110T130749Z.jpg</v>
      </c>
    </row>
    <row r="20" spans="1:13" x14ac:dyDescent="0.25">
      <c r="A20" s="2" t="s">
        <v>13</v>
      </c>
      <c r="B20" s="4">
        <v>45971</v>
      </c>
      <c r="C20" s="5">
        <v>0.56427083333333339</v>
      </c>
      <c r="D20" t="s">
        <v>4</v>
      </c>
      <c r="E20" t="s">
        <v>9</v>
      </c>
      <c r="I20" t="s">
        <v>851</v>
      </c>
      <c r="J20" t="s">
        <v>2993</v>
      </c>
      <c r="K20" t="s">
        <v>852</v>
      </c>
      <c r="L20" t="s">
        <v>853</v>
      </c>
      <c r="M20" s="3" t="str">
        <f>HYPERLINK(склад2въезд13192021222[[#This Row],[RelativePath]])</f>
        <v>9 Ангар пилорама\E33149364_1_20251110T133233Z.jpg</v>
      </c>
    </row>
    <row r="21" spans="1:13" x14ac:dyDescent="0.25">
      <c r="A21" s="2" t="s">
        <v>13</v>
      </c>
      <c r="B21" s="4">
        <v>45971</v>
      </c>
      <c r="C21" s="5">
        <v>0.58810185185185182</v>
      </c>
      <c r="D21" t="s">
        <v>4</v>
      </c>
      <c r="E21" t="s">
        <v>9</v>
      </c>
      <c r="I21" t="s">
        <v>854</v>
      </c>
      <c r="J21" t="s">
        <v>2993</v>
      </c>
      <c r="K21" t="s">
        <v>855</v>
      </c>
      <c r="L21" t="s">
        <v>856</v>
      </c>
      <c r="M21" s="3" t="str">
        <f>HYPERLINK(склад2въезд13192021222[[#This Row],[RelativePath]])</f>
        <v>9 Ангар пилорама\E33149364_1_20251110T140652Z.jpg</v>
      </c>
    </row>
    <row r="22" spans="1:13" x14ac:dyDescent="0.25">
      <c r="A22" s="2" t="s">
        <v>13</v>
      </c>
      <c r="B22" s="4">
        <v>45971</v>
      </c>
      <c r="C22" s="5">
        <v>0.5915393518518518</v>
      </c>
      <c r="D22" t="s">
        <v>4</v>
      </c>
      <c r="E22" t="s">
        <v>9</v>
      </c>
      <c r="I22" t="s">
        <v>857</v>
      </c>
      <c r="J22" t="s">
        <v>2993</v>
      </c>
      <c r="K22" t="s">
        <v>858</v>
      </c>
      <c r="L22" t="s">
        <v>859</v>
      </c>
      <c r="M22" s="3" t="str">
        <f>HYPERLINK(склад2въезд13192021222[[#This Row],[RelativePath]])</f>
        <v>9 Ангар пилорама\E33149364_1_20251110T141149Z.jpg</v>
      </c>
    </row>
    <row r="23" spans="1:13" x14ac:dyDescent="0.25">
      <c r="A23" s="2" t="s">
        <v>13</v>
      </c>
      <c r="B23" s="4">
        <v>45971</v>
      </c>
      <c r="C23" s="5">
        <v>0.59615740740740741</v>
      </c>
      <c r="D23" t="s">
        <v>4</v>
      </c>
      <c r="E23" t="s">
        <v>9</v>
      </c>
      <c r="I23" t="s">
        <v>860</v>
      </c>
      <c r="J23" t="s">
        <v>2993</v>
      </c>
      <c r="K23" t="s">
        <v>861</v>
      </c>
      <c r="L23" t="s">
        <v>862</v>
      </c>
      <c r="M23" s="3" t="str">
        <f>HYPERLINK(склад2въезд13192021222[[#This Row],[RelativePath]])</f>
        <v>9 Ангар пилорама\E33149364_1_20251110T141828Z.jpg</v>
      </c>
    </row>
    <row r="24" spans="1:13" x14ac:dyDescent="0.25">
      <c r="A24" s="2" t="s">
        <v>13</v>
      </c>
      <c r="B24" s="4">
        <v>45971</v>
      </c>
      <c r="C24" s="5">
        <v>0.59619212962962964</v>
      </c>
      <c r="D24" t="s">
        <v>4</v>
      </c>
      <c r="E24" t="s">
        <v>9</v>
      </c>
      <c r="I24" t="s">
        <v>863</v>
      </c>
      <c r="J24" t="s">
        <v>2993</v>
      </c>
      <c r="K24" t="s">
        <v>864</v>
      </c>
      <c r="L24" t="s">
        <v>865</v>
      </c>
      <c r="M24" s="3" t="str">
        <f>HYPERLINK(склад2въезд13192021222[[#This Row],[RelativePath]])</f>
        <v>9 Ангар пилорама\E33149364_1_20251110T141831Z.jpg</v>
      </c>
    </row>
    <row r="25" spans="1:13" x14ac:dyDescent="0.25">
      <c r="A25" s="2" t="s">
        <v>13</v>
      </c>
      <c r="B25" s="4">
        <v>45971</v>
      </c>
      <c r="C25" s="5">
        <v>0.59624999999999995</v>
      </c>
      <c r="D25" t="s">
        <v>4</v>
      </c>
      <c r="E25" t="s">
        <v>9</v>
      </c>
      <c r="I25" t="s">
        <v>866</v>
      </c>
      <c r="J25" t="s">
        <v>2993</v>
      </c>
      <c r="K25" t="s">
        <v>867</v>
      </c>
      <c r="L25" t="s">
        <v>868</v>
      </c>
      <c r="M25" s="3" t="str">
        <f>HYPERLINK(склад2въезд13192021222[[#This Row],[RelativePath]])</f>
        <v>9 Ангар пилорама\E33149364_1_20251110T141836Z.jpg</v>
      </c>
    </row>
    <row r="26" spans="1:13" x14ac:dyDescent="0.25">
      <c r="A26" s="2" t="s">
        <v>13</v>
      </c>
      <c r="B26" s="4">
        <v>45971</v>
      </c>
      <c r="C26" s="5">
        <v>0.6050578703703704</v>
      </c>
      <c r="D26" t="s">
        <v>4</v>
      </c>
      <c r="E26" t="s">
        <v>9</v>
      </c>
      <c r="I26" t="s">
        <v>869</v>
      </c>
      <c r="J26" t="s">
        <v>2993</v>
      </c>
      <c r="K26" t="s">
        <v>870</v>
      </c>
      <c r="L26" t="s">
        <v>871</v>
      </c>
      <c r="M26" s="3" t="str">
        <f>HYPERLINK(склад2въезд13192021222[[#This Row],[RelativePath]])</f>
        <v>9 Ангар пилорама\E33149364_1_20251110T143117Z.jpg</v>
      </c>
    </row>
    <row r="27" spans="1:13" x14ac:dyDescent="0.25">
      <c r="A27" s="2" t="s">
        <v>13</v>
      </c>
      <c r="B27" s="4">
        <v>45971</v>
      </c>
      <c r="C27" s="5">
        <v>0.61002314814814818</v>
      </c>
      <c r="D27" t="s">
        <v>4</v>
      </c>
      <c r="E27" t="s">
        <v>9</v>
      </c>
      <c r="I27" t="s">
        <v>872</v>
      </c>
      <c r="J27" t="s">
        <v>2993</v>
      </c>
      <c r="K27" t="s">
        <v>873</v>
      </c>
      <c r="L27" t="s">
        <v>874</v>
      </c>
      <c r="M27" s="3" t="str">
        <f>HYPERLINK(склад2въезд13192021222[[#This Row],[RelativePath]])</f>
        <v>9 Ангар пилорама\E33149364_1_20251110T143826Z.jpg</v>
      </c>
    </row>
    <row r="28" spans="1:13" x14ac:dyDescent="0.25">
      <c r="A28" s="2" t="s">
        <v>13</v>
      </c>
      <c r="B28" s="4">
        <v>45971</v>
      </c>
      <c r="C28" s="5">
        <v>0.61850694444444443</v>
      </c>
      <c r="D28" t="s">
        <v>4</v>
      </c>
      <c r="E28" t="s">
        <v>9</v>
      </c>
      <c r="I28" t="s">
        <v>875</v>
      </c>
      <c r="J28" t="s">
        <v>2993</v>
      </c>
      <c r="K28" t="s">
        <v>876</v>
      </c>
      <c r="L28" t="s">
        <v>877</v>
      </c>
      <c r="M28" s="3" t="str">
        <f>HYPERLINK(склад2въезд13192021222[[#This Row],[RelativePath]])</f>
        <v>9 Ангар пилорама\E33149364_1_20251110T145039Z.jpg</v>
      </c>
    </row>
    <row r="29" spans="1:13" x14ac:dyDescent="0.25">
      <c r="A29" s="2" t="s">
        <v>13</v>
      </c>
      <c r="B29" s="4">
        <v>45971</v>
      </c>
      <c r="C29" s="5">
        <v>0.63565972222222222</v>
      </c>
      <c r="D29" t="s">
        <v>2024</v>
      </c>
      <c r="E29" t="s">
        <v>1304</v>
      </c>
      <c r="I29" t="s">
        <v>878</v>
      </c>
      <c r="J29" t="s">
        <v>2993</v>
      </c>
      <c r="K29" t="s">
        <v>879</v>
      </c>
      <c r="L29" t="s">
        <v>880</v>
      </c>
      <c r="M29" s="3" t="str">
        <f>HYPERLINK(склад2въезд13192021222[[#This Row],[RelativePath]])</f>
        <v>9 Ангар пилорама\E33149364_1_20251110T151521Z.jpg</v>
      </c>
    </row>
    <row r="30" spans="1:13" x14ac:dyDescent="0.25">
      <c r="A30" s="2" t="s">
        <v>13</v>
      </c>
      <c r="B30" s="4">
        <v>45971</v>
      </c>
      <c r="C30" s="5">
        <v>0.65209490740740739</v>
      </c>
      <c r="D30" t="s">
        <v>2024</v>
      </c>
      <c r="E30" t="s">
        <v>1304</v>
      </c>
      <c r="I30" t="s">
        <v>881</v>
      </c>
      <c r="J30" t="s">
        <v>2993</v>
      </c>
      <c r="K30" t="s">
        <v>882</v>
      </c>
      <c r="L30" t="s">
        <v>883</v>
      </c>
      <c r="M30" s="3" t="str">
        <f>HYPERLINK(склад2въезд13192021222[[#This Row],[RelativePath]])</f>
        <v>9 Ангар пилорама\E33149364_1_20251110T153901Z.jpg</v>
      </c>
    </row>
    <row r="31" spans="1:13" x14ac:dyDescent="0.25">
      <c r="A31" s="2" t="s">
        <v>13</v>
      </c>
      <c r="B31" s="4">
        <v>45971</v>
      </c>
      <c r="C31" s="5">
        <v>0.65309027777777773</v>
      </c>
      <c r="D31" t="s">
        <v>2024</v>
      </c>
      <c r="E31" t="s">
        <v>1304</v>
      </c>
      <c r="I31" t="s">
        <v>884</v>
      </c>
      <c r="J31" t="s">
        <v>2993</v>
      </c>
      <c r="K31" t="s">
        <v>885</v>
      </c>
      <c r="L31" t="s">
        <v>886</v>
      </c>
      <c r="M31" s="3" t="str">
        <f>HYPERLINK(склад2въезд13192021222[[#This Row],[RelativePath]])</f>
        <v>9 Ангар пилорама\E33149364_1_20251110T154027Z.jpg</v>
      </c>
    </row>
    <row r="32" spans="1:13" x14ac:dyDescent="0.25">
      <c r="A32" s="2" t="s">
        <v>13</v>
      </c>
      <c r="B32" s="4">
        <v>45971</v>
      </c>
      <c r="C32" s="5">
        <v>0.65831018518518514</v>
      </c>
      <c r="D32" t="s">
        <v>4</v>
      </c>
      <c r="E32" t="s">
        <v>9</v>
      </c>
      <c r="I32" t="s">
        <v>887</v>
      </c>
      <c r="J32" t="s">
        <v>2993</v>
      </c>
      <c r="K32" t="s">
        <v>888</v>
      </c>
      <c r="L32" t="s">
        <v>889</v>
      </c>
      <c r="M32" s="3" t="str">
        <f>HYPERLINK(склад2въезд13192021222[[#This Row],[RelativePath]])</f>
        <v>9 Ангар пилорама\E33149364_1_20251110T154758Z.jpg</v>
      </c>
    </row>
    <row r="33" spans="1:13" x14ac:dyDescent="0.25">
      <c r="A33" s="2" t="s">
        <v>13</v>
      </c>
      <c r="B33" s="4">
        <v>45971</v>
      </c>
      <c r="C33" s="5">
        <v>0.66753472222222221</v>
      </c>
      <c r="D33" t="s">
        <v>4</v>
      </c>
      <c r="E33" t="s">
        <v>9</v>
      </c>
      <c r="I33" t="s">
        <v>890</v>
      </c>
      <c r="J33" t="s">
        <v>2993</v>
      </c>
      <c r="K33" t="s">
        <v>891</v>
      </c>
      <c r="L33" t="s">
        <v>892</v>
      </c>
      <c r="M33" s="3" t="str">
        <f>HYPERLINK(склад2въезд13192021222[[#This Row],[RelativePath]])</f>
        <v>9 Ангар пилорама\E33149364_1_20251110T160115Z.jpg</v>
      </c>
    </row>
    <row r="34" spans="1:13" x14ac:dyDescent="0.25">
      <c r="A34" s="2" t="s">
        <v>13</v>
      </c>
      <c r="B34" s="4">
        <v>45971</v>
      </c>
      <c r="C34" s="5">
        <v>0.69762731481481477</v>
      </c>
      <c r="D34" t="s">
        <v>4</v>
      </c>
      <c r="E34" t="s">
        <v>9</v>
      </c>
      <c r="I34" t="s">
        <v>893</v>
      </c>
      <c r="J34" t="s">
        <v>2993</v>
      </c>
      <c r="K34" t="s">
        <v>894</v>
      </c>
      <c r="L34" t="s">
        <v>895</v>
      </c>
      <c r="M34" s="3" t="str">
        <f>HYPERLINK(склад2въезд13192021222[[#This Row],[RelativePath]])</f>
        <v>9 Ангар пилорама\E33149364_1_20251110T164435Z.jpg</v>
      </c>
    </row>
    <row r="35" spans="1:13" x14ac:dyDescent="0.25">
      <c r="A35" s="2" t="s">
        <v>13</v>
      </c>
      <c r="B35" s="4">
        <v>45971</v>
      </c>
      <c r="C35" s="5">
        <v>0.90027777777777773</v>
      </c>
      <c r="D35" t="s">
        <v>4</v>
      </c>
      <c r="E35" t="s">
        <v>9</v>
      </c>
      <c r="I35" t="s">
        <v>896</v>
      </c>
      <c r="J35" t="s">
        <v>2993</v>
      </c>
      <c r="K35" t="s">
        <v>897</v>
      </c>
      <c r="L35" t="s">
        <v>898</v>
      </c>
      <c r="M35" s="3" t="str">
        <f>HYPERLINK(склад2въезд13192021222[[#This Row],[RelativePath]])</f>
        <v>9 Ангар пилорама\E33149364_1_20251110T213624Z.jpg</v>
      </c>
    </row>
    <row r="36" spans="1:13" x14ac:dyDescent="0.25">
      <c r="A36" s="2" t="s">
        <v>13</v>
      </c>
      <c r="B36" s="4">
        <v>45971</v>
      </c>
      <c r="C36" s="5">
        <v>0.90642361111111114</v>
      </c>
      <c r="D36" t="s">
        <v>2024</v>
      </c>
      <c r="E36" t="s">
        <v>1304</v>
      </c>
      <c r="I36" t="s">
        <v>899</v>
      </c>
      <c r="J36" t="s">
        <v>2993</v>
      </c>
      <c r="K36" t="s">
        <v>900</v>
      </c>
      <c r="L36" t="s">
        <v>901</v>
      </c>
      <c r="M36" s="3" t="str">
        <f>HYPERLINK(склад2въезд13192021222[[#This Row],[RelativePath]])</f>
        <v>9 Ангар пилорама\E33149364_1_20251110T214515Z.jpg</v>
      </c>
    </row>
    <row r="37" spans="1:13" x14ac:dyDescent="0.25">
      <c r="A37" s="2" t="s">
        <v>13</v>
      </c>
      <c r="B37" s="4">
        <v>45971</v>
      </c>
      <c r="C37" s="5">
        <v>0.9537268518518518</v>
      </c>
      <c r="D37" t="s">
        <v>4</v>
      </c>
      <c r="E37" t="s">
        <v>9</v>
      </c>
      <c r="I37" t="s">
        <v>902</v>
      </c>
      <c r="J37" t="s">
        <v>2993</v>
      </c>
      <c r="K37" t="s">
        <v>903</v>
      </c>
      <c r="L37" t="s">
        <v>904</v>
      </c>
      <c r="M37" s="3" t="str">
        <f>HYPERLINK(склад2въезд13192021222[[#This Row],[RelativePath]])</f>
        <v>9 Ангар пилорама\E33149364_1_20251110T225322Z.jpg</v>
      </c>
    </row>
    <row r="38" spans="1:13" x14ac:dyDescent="0.25">
      <c r="A38" s="2" t="s">
        <v>14</v>
      </c>
      <c r="B38" s="4">
        <v>45972</v>
      </c>
      <c r="C38" s="5">
        <v>0.24751157407407406</v>
      </c>
      <c r="D38" t="s">
        <v>795</v>
      </c>
      <c r="E38" t="s">
        <v>1304</v>
      </c>
      <c r="I38" t="s">
        <v>905</v>
      </c>
      <c r="J38" t="s">
        <v>2993</v>
      </c>
      <c r="K38" t="s">
        <v>906</v>
      </c>
      <c r="L38" t="s">
        <v>907</v>
      </c>
      <c r="M38" s="3" t="str">
        <f>HYPERLINK(склад2въезд13192021222[[#This Row],[RelativePath]])</f>
        <v>9 Ангар пилорама\E33149364_1_20251111T055625Z.jpg</v>
      </c>
    </row>
    <row r="39" spans="1:13" x14ac:dyDescent="0.25">
      <c r="A39" s="2" t="s">
        <v>14</v>
      </c>
      <c r="B39" s="4">
        <v>45972</v>
      </c>
      <c r="C39" s="5">
        <v>0.25670138888888888</v>
      </c>
      <c r="D39" t="s">
        <v>4</v>
      </c>
      <c r="E39" t="s">
        <v>9</v>
      </c>
      <c r="I39" t="s">
        <v>908</v>
      </c>
      <c r="J39" t="s">
        <v>2993</v>
      </c>
      <c r="K39" t="s">
        <v>909</v>
      </c>
      <c r="L39" t="s">
        <v>910</v>
      </c>
      <c r="M39" s="3" t="str">
        <f>HYPERLINK(склад2въезд13192021222[[#This Row],[RelativePath]])</f>
        <v>9 Ангар пилорама\E33149364_1_20251111T060939Z.jpg</v>
      </c>
    </row>
    <row r="40" spans="1:13" x14ac:dyDescent="0.25">
      <c r="A40" s="2" t="s">
        <v>14</v>
      </c>
      <c r="B40" s="4">
        <v>45972</v>
      </c>
      <c r="C40" s="5">
        <v>0.31418981481481484</v>
      </c>
      <c r="D40" t="s">
        <v>4</v>
      </c>
      <c r="E40" t="s">
        <v>9</v>
      </c>
      <c r="I40" t="s">
        <v>911</v>
      </c>
      <c r="J40" t="s">
        <v>2993</v>
      </c>
      <c r="K40" t="s">
        <v>912</v>
      </c>
      <c r="L40" t="s">
        <v>913</v>
      </c>
      <c r="M40" s="3" t="str">
        <f>HYPERLINK(склад2въезд13192021222[[#This Row],[RelativePath]])</f>
        <v>9 Ангар пилорама\E33149364_1_20251111T073226Z.jpg</v>
      </c>
    </row>
    <row r="41" spans="1:13" x14ac:dyDescent="0.25">
      <c r="A41" s="2" t="s">
        <v>14</v>
      </c>
      <c r="B41" s="4">
        <v>45972</v>
      </c>
      <c r="C41" s="5">
        <v>0.37362268518518521</v>
      </c>
      <c r="D41" t="s">
        <v>4</v>
      </c>
      <c r="E41" t="s">
        <v>9</v>
      </c>
      <c r="I41" t="s">
        <v>914</v>
      </c>
      <c r="J41" t="s">
        <v>2993</v>
      </c>
      <c r="K41" t="s">
        <v>915</v>
      </c>
      <c r="L41" t="s">
        <v>916</v>
      </c>
      <c r="M41" s="3" t="str">
        <f>HYPERLINK(склад2въезд13192021222[[#This Row],[RelativePath]])</f>
        <v>9 Ангар пилорама\E33149364_1_20251111T085801Z.jpg</v>
      </c>
    </row>
    <row r="42" spans="1:13" x14ac:dyDescent="0.25">
      <c r="A42" s="2" t="s">
        <v>14</v>
      </c>
      <c r="B42" s="4">
        <v>45972</v>
      </c>
      <c r="C42" s="5">
        <v>0.39842592592592591</v>
      </c>
      <c r="D42" t="s">
        <v>4</v>
      </c>
      <c r="E42" t="s">
        <v>9</v>
      </c>
      <c r="I42" t="s">
        <v>917</v>
      </c>
      <c r="J42" t="s">
        <v>2993</v>
      </c>
      <c r="K42" t="s">
        <v>918</v>
      </c>
      <c r="L42" t="s">
        <v>919</v>
      </c>
      <c r="M42" s="3" t="str">
        <f>HYPERLINK(склад2въезд13192021222[[#This Row],[RelativePath]])</f>
        <v>9 Ангар пилорама\E33149364_1_20251111T093344Z.jpg</v>
      </c>
    </row>
    <row r="43" spans="1:13" x14ac:dyDescent="0.25">
      <c r="A43" s="2" t="s">
        <v>14</v>
      </c>
      <c r="B43" s="4">
        <v>45972</v>
      </c>
      <c r="C43" s="5">
        <v>0.44122685185185184</v>
      </c>
      <c r="D43" t="s">
        <v>4</v>
      </c>
      <c r="E43" t="s">
        <v>9</v>
      </c>
      <c r="I43" t="s">
        <v>920</v>
      </c>
      <c r="J43" t="s">
        <v>2993</v>
      </c>
      <c r="K43" t="s">
        <v>921</v>
      </c>
      <c r="L43" t="s">
        <v>922</v>
      </c>
      <c r="M43" s="3" t="str">
        <f>HYPERLINK(склад2въезд13192021222[[#This Row],[RelativePath]])</f>
        <v>9 Ангар пилорама\E33149364_1_20251111T103522Z.jpg</v>
      </c>
    </row>
    <row r="44" spans="1:13" x14ac:dyDescent="0.25">
      <c r="A44" s="2" t="s">
        <v>14</v>
      </c>
      <c r="B44" s="4">
        <v>45972</v>
      </c>
      <c r="C44" s="5">
        <v>0.44133101851851853</v>
      </c>
      <c r="D44" t="s">
        <v>1091</v>
      </c>
      <c r="E44" t="s">
        <v>1093</v>
      </c>
      <c r="I44" t="s">
        <v>923</v>
      </c>
      <c r="J44" t="s">
        <v>2993</v>
      </c>
      <c r="K44" t="s">
        <v>924</v>
      </c>
      <c r="L44" t="s">
        <v>925</v>
      </c>
      <c r="M44" s="3" t="str">
        <f>HYPERLINK(склад2въезд13192021222[[#This Row],[RelativePath]])</f>
        <v>9 Ангар пилорама\E33149364_1_20251111T103531Z.jpg</v>
      </c>
    </row>
    <row r="45" spans="1:13" x14ac:dyDescent="0.25">
      <c r="A45" s="2" t="s">
        <v>14</v>
      </c>
      <c r="B45" s="4">
        <v>45972</v>
      </c>
      <c r="C45" s="5">
        <v>0.44695601851851852</v>
      </c>
      <c r="D45" t="s">
        <v>4</v>
      </c>
      <c r="E45" t="s">
        <v>9</v>
      </c>
      <c r="I45" t="s">
        <v>926</v>
      </c>
      <c r="J45" t="s">
        <v>2993</v>
      </c>
      <c r="K45" t="s">
        <v>927</v>
      </c>
      <c r="L45" t="s">
        <v>928</v>
      </c>
      <c r="M45" s="3" t="str">
        <f>HYPERLINK(склад2въезд13192021222[[#This Row],[RelativePath]])</f>
        <v>9 Ангар пилорама\E33149364_1_20251111T104337Z.jpg</v>
      </c>
    </row>
    <row r="46" spans="1:13" x14ac:dyDescent="0.25">
      <c r="A46" s="2" t="s">
        <v>14</v>
      </c>
      <c r="B46" s="4">
        <v>45972</v>
      </c>
      <c r="C46" s="5">
        <v>0.45174768518518521</v>
      </c>
      <c r="D46" t="s">
        <v>795</v>
      </c>
      <c r="E46" t="s">
        <v>1304</v>
      </c>
      <c r="I46" t="s">
        <v>929</v>
      </c>
      <c r="J46" t="s">
        <v>2993</v>
      </c>
      <c r="K46" t="s">
        <v>930</v>
      </c>
      <c r="L46" t="s">
        <v>931</v>
      </c>
      <c r="M46" s="3" t="str">
        <f>HYPERLINK(склад2въезд13192021222[[#This Row],[RelativePath]])</f>
        <v>9 Ангар пилорама\E33149364_1_20251111T105031Z.jpg</v>
      </c>
    </row>
    <row r="47" spans="1:13" x14ac:dyDescent="0.25">
      <c r="A47" s="2" t="s">
        <v>14</v>
      </c>
      <c r="B47" s="4">
        <v>45972</v>
      </c>
      <c r="C47" s="5">
        <v>0.45381944444444444</v>
      </c>
      <c r="D47" t="s">
        <v>1305</v>
      </c>
      <c r="E47" t="s">
        <v>1097</v>
      </c>
      <c r="I47" t="s">
        <v>932</v>
      </c>
      <c r="J47" t="s">
        <v>2993</v>
      </c>
      <c r="K47" t="s">
        <v>933</v>
      </c>
      <c r="L47" t="s">
        <v>934</v>
      </c>
      <c r="M47" s="3" t="str">
        <f>HYPERLINK(склад2въезд13192021222[[#This Row],[RelativePath]])</f>
        <v>9 Ангар пилорама\E33149364_1_20251111T105330Z.jpg</v>
      </c>
    </row>
    <row r="48" spans="1:13" x14ac:dyDescent="0.25">
      <c r="A48" s="2" t="s">
        <v>14</v>
      </c>
      <c r="B48" s="4">
        <v>45972</v>
      </c>
      <c r="C48" s="5">
        <v>0.45905092592592595</v>
      </c>
      <c r="D48" t="s">
        <v>4</v>
      </c>
      <c r="E48" t="s">
        <v>9</v>
      </c>
      <c r="I48" t="s">
        <v>935</v>
      </c>
      <c r="J48" t="s">
        <v>2993</v>
      </c>
      <c r="K48" t="s">
        <v>936</v>
      </c>
      <c r="L48" t="s">
        <v>937</v>
      </c>
      <c r="M48" s="3" t="str">
        <f>HYPERLINK(склад2въезд13192021222[[#This Row],[RelativePath]])</f>
        <v>9 Ангар пилорама\E33149364_1_20251111T110102Z.jpg</v>
      </c>
    </row>
    <row r="49" spans="1:13" x14ac:dyDescent="0.25">
      <c r="A49" s="2" t="s">
        <v>14</v>
      </c>
      <c r="B49" s="4">
        <v>45972</v>
      </c>
      <c r="C49" s="5">
        <v>0.47359953703703705</v>
      </c>
      <c r="D49" t="s">
        <v>4</v>
      </c>
      <c r="E49" t="s">
        <v>9</v>
      </c>
      <c r="I49" t="s">
        <v>938</v>
      </c>
      <c r="J49" t="s">
        <v>2993</v>
      </c>
      <c r="K49" t="s">
        <v>939</v>
      </c>
      <c r="L49" t="s">
        <v>940</v>
      </c>
      <c r="M49" s="3" t="str">
        <f>HYPERLINK(склад2въезд13192021222[[#This Row],[RelativePath]])</f>
        <v>9 Ангар пилорама\E33149364_1_20251111T112159Z.jpg</v>
      </c>
    </row>
    <row r="50" spans="1:13" x14ac:dyDescent="0.25">
      <c r="A50" s="2" t="s">
        <v>14</v>
      </c>
      <c r="B50" s="4">
        <v>45972</v>
      </c>
      <c r="C50" s="5">
        <v>0.48079861111111111</v>
      </c>
      <c r="D50" t="s">
        <v>1091</v>
      </c>
      <c r="E50" t="s">
        <v>1095</v>
      </c>
      <c r="I50" t="s">
        <v>941</v>
      </c>
      <c r="J50" t="s">
        <v>2993</v>
      </c>
      <c r="K50" t="s">
        <v>942</v>
      </c>
      <c r="L50" t="s">
        <v>943</v>
      </c>
      <c r="M50" s="3" t="str">
        <f>HYPERLINK(склад2въезд13192021222[[#This Row],[RelativePath]])</f>
        <v>9 Ангар пилорама\E33149364_1_20251111T113221Z.jpg</v>
      </c>
    </row>
    <row r="51" spans="1:13" x14ac:dyDescent="0.25">
      <c r="A51" s="2" t="s">
        <v>14</v>
      </c>
      <c r="B51" s="4">
        <v>45972</v>
      </c>
      <c r="C51" s="5">
        <v>0.48454861111111114</v>
      </c>
      <c r="D51" t="s">
        <v>4</v>
      </c>
      <c r="E51" t="s">
        <v>9</v>
      </c>
      <c r="I51" t="s">
        <v>944</v>
      </c>
      <c r="J51" t="s">
        <v>2993</v>
      </c>
      <c r="K51" t="s">
        <v>945</v>
      </c>
      <c r="L51" t="s">
        <v>946</v>
      </c>
      <c r="M51" s="3" t="str">
        <f>HYPERLINK(склад2въезд13192021222[[#This Row],[RelativePath]])</f>
        <v>9 Ангар пилорама\E33149364_1_20251111T113745Z.jpg</v>
      </c>
    </row>
    <row r="52" spans="1:13" x14ac:dyDescent="0.25">
      <c r="A52" s="2" t="s">
        <v>14</v>
      </c>
      <c r="B52" s="4">
        <v>45972</v>
      </c>
      <c r="C52" s="5">
        <v>0.50064814814814818</v>
      </c>
      <c r="D52" t="s">
        <v>4</v>
      </c>
      <c r="E52" t="s">
        <v>1306</v>
      </c>
      <c r="I52" t="s">
        <v>947</v>
      </c>
      <c r="J52" t="s">
        <v>2993</v>
      </c>
      <c r="K52" t="s">
        <v>948</v>
      </c>
      <c r="L52" t="s">
        <v>949</v>
      </c>
      <c r="M52" s="3" t="str">
        <f>HYPERLINK(склад2въезд13192021222[[#This Row],[RelativePath]])</f>
        <v>9 Ангар пилорама\E33149364_1_20251111T120056Z.jpg</v>
      </c>
    </row>
    <row r="53" spans="1:13" x14ac:dyDescent="0.25">
      <c r="A53" s="2" t="s">
        <v>14</v>
      </c>
      <c r="B53" s="4">
        <v>45972</v>
      </c>
      <c r="C53" s="5">
        <v>0.51751157407407411</v>
      </c>
      <c r="D53" t="s">
        <v>1091</v>
      </c>
      <c r="E53" t="s">
        <v>1306</v>
      </c>
      <c r="I53" t="s">
        <v>950</v>
      </c>
      <c r="J53" t="s">
        <v>2993</v>
      </c>
      <c r="K53" t="s">
        <v>951</v>
      </c>
      <c r="L53" t="s">
        <v>952</v>
      </c>
      <c r="M53" s="3" t="str">
        <f>HYPERLINK(склад2въезд13192021222[[#This Row],[RelativePath]])</f>
        <v>9 Ангар пилорама\E33149364_1_20251111T122513Z.jpg</v>
      </c>
    </row>
    <row r="54" spans="1:13" x14ac:dyDescent="0.25">
      <c r="A54" s="2" t="s">
        <v>14</v>
      </c>
      <c r="B54" s="4">
        <v>45972</v>
      </c>
      <c r="C54" s="5">
        <v>0.60920138888888886</v>
      </c>
      <c r="D54" t="s">
        <v>4</v>
      </c>
      <c r="E54" t="s">
        <v>9</v>
      </c>
      <c r="I54" t="s">
        <v>953</v>
      </c>
      <c r="J54" t="s">
        <v>2993</v>
      </c>
      <c r="K54" t="s">
        <v>954</v>
      </c>
      <c r="L54" t="s">
        <v>955</v>
      </c>
      <c r="M54" s="3" t="str">
        <f>HYPERLINK(склад2въезд13192021222[[#This Row],[RelativePath]])</f>
        <v>9 Ангар пилорама\E33149364_1_20251111T143715Z.jpg</v>
      </c>
    </row>
    <row r="55" spans="1:13" x14ac:dyDescent="0.25">
      <c r="A55" s="2" t="s">
        <v>14</v>
      </c>
      <c r="B55" s="4">
        <v>45972</v>
      </c>
      <c r="C55" s="5">
        <v>0.62399305555555551</v>
      </c>
      <c r="D55" t="s">
        <v>4</v>
      </c>
      <c r="E55" t="s">
        <v>9</v>
      </c>
      <c r="I55" t="s">
        <v>956</v>
      </c>
      <c r="J55" t="s">
        <v>2993</v>
      </c>
      <c r="K55" t="s">
        <v>957</v>
      </c>
      <c r="L55" t="s">
        <v>958</v>
      </c>
      <c r="M55" s="3" t="str">
        <f>HYPERLINK(склад2въезд13192021222[[#This Row],[RelativePath]])</f>
        <v>9 Ангар пилорама\E33149364_1_20251111T145833Z.jpg</v>
      </c>
    </row>
    <row r="56" spans="1:13" x14ac:dyDescent="0.25">
      <c r="A56" s="2" t="s">
        <v>14</v>
      </c>
      <c r="B56" s="4">
        <v>45972</v>
      </c>
      <c r="C56" s="5">
        <v>0.63526620370370368</v>
      </c>
      <c r="D56" t="s">
        <v>4</v>
      </c>
      <c r="E56" t="s">
        <v>9</v>
      </c>
      <c r="I56" t="s">
        <v>959</v>
      </c>
      <c r="J56" t="s">
        <v>2993</v>
      </c>
      <c r="K56" t="s">
        <v>960</v>
      </c>
      <c r="L56" t="s">
        <v>961</v>
      </c>
      <c r="M56" s="3" t="str">
        <f>HYPERLINK(склад2въезд13192021222[[#This Row],[RelativePath]])</f>
        <v>9 Ангар пилорама\E33149364_1_20251111T151447Z.jpg</v>
      </c>
    </row>
    <row r="57" spans="1:13" x14ac:dyDescent="0.25">
      <c r="A57" s="2" t="s">
        <v>14</v>
      </c>
      <c r="B57" s="4">
        <v>45972</v>
      </c>
      <c r="C57" s="5">
        <v>0.66174768518518523</v>
      </c>
      <c r="D57" t="s">
        <v>4</v>
      </c>
      <c r="E57" t="s">
        <v>9</v>
      </c>
      <c r="I57" t="s">
        <v>962</v>
      </c>
      <c r="J57" t="s">
        <v>2993</v>
      </c>
      <c r="K57" t="s">
        <v>963</v>
      </c>
      <c r="L57" t="s">
        <v>964</v>
      </c>
      <c r="M57" s="3" t="str">
        <f>HYPERLINK(склад2въезд13192021222[[#This Row],[RelativePath]])</f>
        <v>9 Ангар пилорама\E33149364_1_20251111T155255Z.jpg</v>
      </c>
    </row>
    <row r="58" spans="1:13" x14ac:dyDescent="0.25">
      <c r="A58" s="2" t="s">
        <v>14</v>
      </c>
      <c r="B58" s="4">
        <v>45972</v>
      </c>
      <c r="C58" s="5">
        <v>0.6868171296296296</v>
      </c>
      <c r="D58" t="s">
        <v>4</v>
      </c>
      <c r="E58" t="s">
        <v>9</v>
      </c>
      <c r="I58" t="s">
        <v>965</v>
      </c>
      <c r="J58" t="s">
        <v>2993</v>
      </c>
      <c r="K58" t="s">
        <v>966</v>
      </c>
      <c r="L58" t="s">
        <v>967</v>
      </c>
      <c r="M58" s="3" t="str">
        <f>HYPERLINK(склад2въезд13192021222[[#This Row],[RelativePath]])</f>
        <v>9 Ангар пилорама\E33149364_1_20251111T162901Z.jpg</v>
      </c>
    </row>
    <row r="59" spans="1:13" x14ac:dyDescent="0.25">
      <c r="A59" s="2" t="s">
        <v>14</v>
      </c>
      <c r="B59" s="4">
        <v>45972</v>
      </c>
      <c r="C59" s="5">
        <v>0.77709490740740739</v>
      </c>
      <c r="D59" t="s">
        <v>4</v>
      </c>
      <c r="E59" t="s">
        <v>9</v>
      </c>
      <c r="I59" t="s">
        <v>968</v>
      </c>
      <c r="J59" t="s">
        <v>2993</v>
      </c>
      <c r="K59" t="s">
        <v>969</v>
      </c>
      <c r="L59" t="s">
        <v>970</v>
      </c>
      <c r="M59" s="3" t="str">
        <f>HYPERLINK(склад2въезд13192021222[[#This Row],[RelativePath]])</f>
        <v>9 Ангар пилорама\E33149364_1_20251111T183901Z.jpg</v>
      </c>
    </row>
    <row r="60" spans="1:13" x14ac:dyDescent="0.25">
      <c r="A60" s="2" t="s">
        <v>14</v>
      </c>
      <c r="B60" s="4">
        <v>45972</v>
      </c>
      <c r="C60" s="5">
        <v>0.78417824074074072</v>
      </c>
      <c r="D60" t="s">
        <v>4</v>
      </c>
      <c r="E60" t="s">
        <v>9</v>
      </c>
      <c r="I60" t="s">
        <v>971</v>
      </c>
      <c r="J60" t="s">
        <v>2993</v>
      </c>
      <c r="K60" t="s">
        <v>972</v>
      </c>
      <c r="L60" t="s">
        <v>973</v>
      </c>
      <c r="M60" s="3" t="str">
        <f>HYPERLINK(склад2въезд13192021222[[#This Row],[RelativePath]])</f>
        <v>9 Ангар пилорама\E33149364_1_20251111T184913Z.jpg</v>
      </c>
    </row>
    <row r="61" spans="1:13" x14ac:dyDescent="0.25">
      <c r="A61" s="2" t="s">
        <v>14</v>
      </c>
      <c r="B61" s="4">
        <v>45972</v>
      </c>
      <c r="C61" s="5">
        <v>0.80171296296296302</v>
      </c>
      <c r="D61" t="s">
        <v>4</v>
      </c>
      <c r="E61" t="s">
        <v>9</v>
      </c>
      <c r="I61" t="s">
        <v>974</v>
      </c>
      <c r="J61" t="s">
        <v>2993</v>
      </c>
      <c r="K61" t="s">
        <v>975</v>
      </c>
      <c r="L61" t="s">
        <v>976</v>
      </c>
      <c r="M61" s="3" t="str">
        <f>HYPERLINK(склад2въезд13192021222[[#This Row],[RelativePath]])</f>
        <v>9 Ангар пилорама\E33149364_1_20251111T191428Z.jpg</v>
      </c>
    </row>
    <row r="62" spans="1:13" x14ac:dyDescent="0.25">
      <c r="A62" s="2" t="s">
        <v>14</v>
      </c>
      <c r="B62" s="4">
        <v>45972</v>
      </c>
      <c r="C62" s="5">
        <v>0.89787037037037032</v>
      </c>
      <c r="D62" t="s">
        <v>4</v>
      </c>
      <c r="E62" t="s">
        <v>9</v>
      </c>
      <c r="I62" t="s">
        <v>977</v>
      </c>
      <c r="J62" t="s">
        <v>2993</v>
      </c>
      <c r="K62" t="s">
        <v>978</v>
      </c>
      <c r="L62" t="s">
        <v>979</v>
      </c>
      <c r="M62" s="3" t="str">
        <f>HYPERLINK(склад2въезд13192021222[[#This Row],[RelativePath]])</f>
        <v>9 Ангар пилорама\E33149364_1_20251111T213256Z.jpg</v>
      </c>
    </row>
    <row r="63" spans="1:13" x14ac:dyDescent="0.25">
      <c r="A63" s="2" t="s">
        <v>14</v>
      </c>
      <c r="B63" s="4">
        <v>45972</v>
      </c>
      <c r="C63" s="5">
        <v>0.94892361111111112</v>
      </c>
      <c r="D63" t="s">
        <v>4</v>
      </c>
      <c r="E63" t="s">
        <v>9</v>
      </c>
      <c r="I63" t="s">
        <v>980</v>
      </c>
      <c r="J63" t="s">
        <v>2993</v>
      </c>
      <c r="K63" t="s">
        <v>981</v>
      </c>
      <c r="L63" t="s">
        <v>982</v>
      </c>
      <c r="M63" s="3" t="str">
        <f>HYPERLINK(склад2въезд13192021222[[#This Row],[RelativePath]])</f>
        <v>9 Ангар пилорама\E33149364_1_20251111T224627Z.jpg</v>
      </c>
    </row>
    <row r="64" spans="1:13" x14ac:dyDescent="0.25">
      <c r="A64" s="2" t="s">
        <v>14</v>
      </c>
      <c r="B64" s="4">
        <v>45972</v>
      </c>
      <c r="C64" s="5">
        <v>0.98327546296296298</v>
      </c>
      <c r="D64" t="s">
        <v>4</v>
      </c>
      <c r="E64" t="s">
        <v>9</v>
      </c>
      <c r="I64" t="s">
        <v>983</v>
      </c>
      <c r="J64" t="s">
        <v>2993</v>
      </c>
      <c r="K64" t="s">
        <v>984</v>
      </c>
      <c r="L64" t="s">
        <v>985</v>
      </c>
      <c r="M64" s="3" t="str">
        <f>HYPERLINK(склад2въезд13192021222[[#This Row],[RelativePath]])</f>
        <v>9 Ангар пилорама\E33149364_1_20251111T233555Z.jpg</v>
      </c>
    </row>
    <row r="65" spans="1:13" x14ac:dyDescent="0.25">
      <c r="A65" s="2" t="s">
        <v>15</v>
      </c>
      <c r="B65" s="4">
        <v>45973</v>
      </c>
      <c r="C65" s="5">
        <v>0.17802083333333332</v>
      </c>
      <c r="D65" t="s">
        <v>4</v>
      </c>
      <c r="E65" t="s">
        <v>9</v>
      </c>
      <c r="I65" t="s">
        <v>986</v>
      </c>
      <c r="J65" t="s">
        <v>2993</v>
      </c>
      <c r="K65" t="s">
        <v>987</v>
      </c>
      <c r="L65" t="s">
        <v>988</v>
      </c>
      <c r="M65" s="3" t="str">
        <f>HYPERLINK(склад2въезд13192021222[[#This Row],[RelativePath]])</f>
        <v>9 Ангар пилорама\E33149364_1_20251112T041621Z.jpg</v>
      </c>
    </row>
    <row r="66" spans="1:13" x14ac:dyDescent="0.25">
      <c r="A66" s="2" t="s">
        <v>15</v>
      </c>
      <c r="B66" s="4">
        <v>45973</v>
      </c>
      <c r="C66" s="5">
        <v>0.20342592592592593</v>
      </c>
      <c r="D66" t="s">
        <v>4</v>
      </c>
      <c r="E66" t="s">
        <v>9</v>
      </c>
      <c r="I66" t="s">
        <v>989</v>
      </c>
      <c r="J66" t="s">
        <v>2993</v>
      </c>
      <c r="K66" t="s">
        <v>990</v>
      </c>
      <c r="L66" t="s">
        <v>991</v>
      </c>
      <c r="M66" s="3" t="str">
        <f>HYPERLINK(склад2въезд13192021222[[#This Row],[RelativePath]])</f>
        <v>9 Ангар пилорама\E33149364_1_20251112T045256Z.jpg</v>
      </c>
    </row>
    <row r="67" spans="1:13" x14ac:dyDescent="0.25">
      <c r="A67" s="2" t="s">
        <v>15</v>
      </c>
      <c r="B67" s="4">
        <v>45973</v>
      </c>
      <c r="C67" s="5">
        <v>0.22260416666666666</v>
      </c>
      <c r="D67" t="s">
        <v>4</v>
      </c>
      <c r="E67" t="s">
        <v>9</v>
      </c>
      <c r="I67" t="s">
        <v>992</v>
      </c>
      <c r="J67" t="s">
        <v>2993</v>
      </c>
      <c r="K67" t="s">
        <v>993</v>
      </c>
      <c r="L67" t="s">
        <v>994</v>
      </c>
      <c r="M67" s="3" t="str">
        <f>HYPERLINK(склад2въезд13192021222[[#This Row],[RelativePath]])</f>
        <v>9 Ангар пилорама\E33149364_1_20251112T052033Z.jpg</v>
      </c>
    </row>
    <row r="68" spans="1:13" x14ac:dyDescent="0.25">
      <c r="A68" s="2" t="s">
        <v>15</v>
      </c>
      <c r="B68" s="4">
        <v>45973</v>
      </c>
      <c r="C68" s="5">
        <v>0.37655092592592593</v>
      </c>
      <c r="D68" t="s">
        <v>4</v>
      </c>
      <c r="E68" t="s">
        <v>9</v>
      </c>
      <c r="I68" t="s">
        <v>995</v>
      </c>
      <c r="J68" t="s">
        <v>2993</v>
      </c>
      <c r="K68" t="s">
        <v>996</v>
      </c>
      <c r="L68" t="s">
        <v>997</v>
      </c>
      <c r="M68" s="3" t="str">
        <f>HYPERLINK(склад2въезд13192021222[[#This Row],[RelativePath]])</f>
        <v>9 Ангар пилорама\E33149364_1_20251112T090214Z.jpg</v>
      </c>
    </row>
    <row r="69" spans="1:13" x14ac:dyDescent="0.25">
      <c r="A69" s="2" t="s">
        <v>15</v>
      </c>
      <c r="B69" s="4">
        <v>45973</v>
      </c>
      <c r="C69" s="5">
        <v>0.72657407407407404</v>
      </c>
      <c r="D69" t="s">
        <v>4</v>
      </c>
      <c r="E69" t="s">
        <v>9</v>
      </c>
      <c r="I69" t="s">
        <v>998</v>
      </c>
      <c r="J69" t="s">
        <v>2993</v>
      </c>
      <c r="K69" t="s">
        <v>999</v>
      </c>
      <c r="L69" t="s">
        <v>1000</v>
      </c>
      <c r="M69" s="3" t="str">
        <f>HYPERLINK(склад2въезд13192021222[[#This Row],[RelativePath]])</f>
        <v>9 Ангар пилорама\E33149364_1_20251112T172616Z.jpg</v>
      </c>
    </row>
    <row r="70" spans="1:13" x14ac:dyDescent="0.25">
      <c r="A70" s="2" t="s">
        <v>15</v>
      </c>
      <c r="B70" s="4">
        <v>45973</v>
      </c>
      <c r="C70" s="5">
        <v>0.77527777777777773</v>
      </c>
      <c r="D70" t="s">
        <v>4</v>
      </c>
      <c r="E70" t="s">
        <v>9</v>
      </c>
      <c r="I70" t="s">
        <v>1001</v>
      </c>
      <c r="J70" t="s">
        <v>2993</v>
      </c>
      <c r="K70" t="s">
        <v>1002</v>
      </c>
      <c r="L70" t="s">
        <v>1003</v>
      </c>
      <c r="M70" s="3" t="str">
        <f>HYPERLINK(склад2въезд13192021222[[#This Row],[RelativePath]])</f>
        <v>9 Ангар пилорама\E33149364_1_20251112T183624Z.jpg</v>
      </c>
    </row>
    <row r="71" spans="1:13" x14ac:dyDescent="0.25">
      <c r="A71" s="2" t="s">
        <v>15</v>
      </c>
      <c r="B71" s="4">
        <v>45973</v>
      </c>
      <c r="C71" s="5">
        <v>0.82005787037037037</v>
      </c>
      <c r="D71" t="s">
        <v>4</v>
      </c>
      <c r="E71" t="s">
        <v>9</v>
      </c>
      <c r="I71" t="s">
        <v>1004</v>
      </c>
      <c r="J71" t="s">
        <v>2993</v>
      </c>
      <c r="K71" t="s">
        <v>1005</v>
      </c>
      <c r="L71" t="s">
        <v>1006</v>
      </c>
      <c r="M71" s="3" t="str">
        <f>HYPERLINK(склад2въезд13192021222[[#This Row],[RelativePath]])</f>
        <v>9 Ангар пилорама\E33149364_1_20251112T194053Z.jpg</v>
      </c>
    </row>
    <row r="72" spans="1:13" x14ac:dyDescent="0.25">
      <c r="A72" s="2" t="s">
        <v>15</v>
      </c>
      <c r="B72" s="4">
        <v>45973</v>
      </c>
      <c r="C72" s="5">
        <v>0.97260416666666671</v>
      </c>
      <c r="D72" t="s">
        <v>4</v>
      </c>
      <c r="E72" t="s">
        <v>9</v>
      </c>
      <c r="I72" t="s">
        <v>1007</v>
      </c>
      <c r="J72" t="s">
        <v>2993</v>
      </c>
      <c r="K72" t="s">
        <v>1008</v>
      </c>
      <c r="L72" t="s">
        <v>1009</v>
      </c>
      <c r="M72" s="3" t="str">
        <f>HYPERLINK(склад2въезд13192021222[[#This Row],[RelativePath]])</f>
        <v>9 Ангар пилорама\E33149364_1_20251112T232033Z.jpg</v>
      </c>
    </row>
    <row r="73" spans="1:13" x14ac:dyDescent="0.25">
      <c r="A73" s="2" t="s">
        <v>16</v>
      </c>
      <c r="B73" s="4">
        <v>45974</v>
      </c>
      <c r="C73" s="5">
        <v>0.21010416666666668</v>
      </c>
      <c r="D73" t="s">
        <v>2024</v>
      </c>
      <c r="E73" t="s">
        <v>1304</v>
      </c>
      <c r="I73" t="s">
        <v>1010</v>
      </c>
      <c r="J73" t="s">
        <v>2993</v>
      </c>
      <c r="K73" t="s">
        <v>1011</v>
      </c>
      <c r="L73" t="s">
        <v>1012</v>
      </c>
      <c r="M73" s="3" t="str">
        <f>HYPERLINK(склад2въезд13192021222[[#This Row],[RelativePath]])</f>
        <v>9 Ангар пилорама\E33149364_1_20251113T050233Z.jpg</v>
      </c>
    </row>
    <row r="74" spans="1:13" x14ac:dyDescent="0.25">
      <c r="A74" s="2" t="s">
        <v>16</v>
      </c>
      <c r="B74" s="4">
        <v>45974</v>
      </c>
      <c r="C74" s="5">
        <v>0.23273148148148148</v>
      </c>
      <c r="D74" t="s">
        <v>4</v>
      </c>
      <c r="E74" t="s">
        <v>9</v>
      </c>
      <c r="I74" t="s">
        <v>1013</v>
      </c>
      <c r="J74" t="s">
        <v>2993</v>
      </c>
      <c r="K74" t="s">
        <v>1014</v>
      </c>
      <c r="L74" t="s">
        <v>1015</v>
      </c>
      <c r="M74" s="3" t="str">
        <f>HYPERLINK(склад2въезд13192021222[[#This Row],[RelativePath]])</f>
        <v>9 Ангар пилорама\E33149364_1_20251113T053508Z.jpg</v>
      </c>
    </row>
    <row r="75" spans="1:13" x14ac:dyDescent="0.25">
      <c r="A75" s="2" t="s">
        <v>16</v>
      </c>
      <c r="B75" s="4">
        <v>45974</v>
      </c>
      <c r="C75" s="5">
        <v>0.29604166666666665</v>
      </c>
      <c r="D75" t="s">
        <v>4</v>
      </c>
      <c r="E75" t="s">
        <v>9</v>
      </c>
      <c r="I75" t="s">
        <v>1016</v>
      </c>
      <c r="J75" t="s">
        <v>2993</v>
      </c>
      <c r="K75" t="s">
        <v>1017</v>
      </c>
      <c r="L75" t="s">
        <v>1018</v>
      </c>
      <c r="M75" s="3" t="str">
        <f>HYPERLINK(склад2въезд13192021222[[#This Row],[RelativePath]])</f>
        <v>9 Ангар пилорама\E33149364_1_20251113T070618Z.jpg</v>
      </c>
    </row>
    <row r="76" spans="1:13" x14ac:dyDescent="0.25">
      <c r="A76" s="2" t="s">
        <v>16</v>
      </c>
      <c r="B76" s="4">
        <v>45974</v>
      </c>
      <c r="C76" s="5">
        <v>0.30410879629629628</v>
      </c>
      <c r="D76" t="s">
        <v>4</v>
      </c>
      <c r="E76" t="s">
        <v>9</v>
      </c>
      <c r="I76" t="s">
        <v>1019</v>
      </c>
      <c r="J76" t="s">
        <v>2993</v>
      </c>
      <c r="K76" t="s">
        <v>1020</v>
      </c>
      <c r="L76" t="s">
        <v>1021</v>
      </c>
      <c r="M76" s="3" t="str">
        <f>HYPERLINK(склад2въезд13192021222[[#This Row],[RelativePath]])</f>
        <v>9 Ангар пилорама\E33149364_1_20251113T071755Z.jpg</v>
      </c>
    </row>
    <row r="77" spans="1:13" x14ac:dyDescent="0.25">
      <c r="A77" s="2" t="s">
        <v>16</v>
      </c>
      <c r="B77" s="4">
        <v>45974</v>
      </c>
      <c r="C77" s="5">
        <v>0.38166666666666665</v>
      </c>
      <c r="D77" t="s">
        <v>1091</v>
      </c>
      <c r="E77" t="s">
        <v>1095</v>
      </c>
      <c r="I77" t="s">
        <v>1022</v>
      </c>
      <c r="J77" t="s">
        <v>2993</v>
      </c>
      <c r="K77" t="s">
        <v>1023</v>
      </c>
      <c r="L77" t="s">
        <v>1024</v>
      </c>
      <c r="M77" s="3" t="str">
        <f>HYPERLINK(склад2въезд13192021222[[#This Row],[RelativePath]])</f>
        <v>9 Ангар пилорама\E33149364_1_20251113T090936Z.jpg</v>
      </c>
    </row>
    <row r="78" spans="1:13" x14ac:dyDescent="0.25">
      <c r="A78" s="2" t="s">
        <v>16</v>
      </c>
      <c r="B78" s="4">
        <v>45974</v>
      </c>
      <c r="C78" s="5">
        <v>0.38186342592592593</v>
      </c>
      <c r="D78" t="s">
        <v>1091</v>
      </c>
      <c r="E78" t="s">
        <v>1095</v>
      </c>
      <c r="I78" t="s">
        <v>1025</v>
      </c>
      <c r="J78" t="s">
        <v>2993</v>
      </c>
      <c r="K78" t="s">
        <v>1026</v>
      </c>
      <c r="L78" t="s">
        <v>1027</v>
      </c>
      <c r="M78" s="3" t="str">
        <f>HYPERLINK(склад2въезд13192021222[[#This Row],[RelativePath]])</f>
        <v>9 Ангар пилорама\E33149364_1_20251113T090953Z.jpg</v>
      </c>
    </row>
    <row r="79" spans="1:13" x14ac:dyDescent="0.25">
      <c r="A79" s="2" t="s">
        <v>16</v>
      </c>
      <c r="B79" s="4">
        <v>45974</v>
      </c>
      <c r="C79" s="5">
        <v>0.38475694444444447</v>
      </c>
      <c r="D79" t="s">
        <v>4</v>
      </c>
      <c r="E79" t="s">
        <v>9</v>
      </c>
      <c r="I79" t="s">
        <v>1028</v>
      </c>
      <c r="J79" t="s">
        <v>2993</v>
      </c>
      <c r="K79" t="s">
        <v>1029</v>
      </c>
      <c r="L79" t="s">
        <v>1030</v>
      </c>
      <c r="M79" s="3" t="str">
        <f>HYPERLINK(склад2въезд13192021222[[#This Row],[RelativePath]])</f>
        <v>9 Ангар пилорама\E33149364_1_20251113T091403Z.jpg</v>
      </c>
    </row>
    <row r="80" spans="1:13" x14ac:dyDescent="0.25">
      <c r="A80" s="2" t="s">
        <v>16</v>
      </c>
      <c r="B80" s="4">
        <v>45974</v>
      </c>
      <c r="C80" s="5">
        <v>0.68521990740740746</v>
      </c>
      <c r="D80" t="s">
        <v>4</v>
      </c>
      <c r="E80" t="s">
        <v>9</v>
      </c>
      <c r="I80" t="s">
        <v>1031</v>
      </c>
      <c r="J80" t="s">
        <v>2993</v>
      </c>
      <c r="K80" t="s">
        <v>1032</v>
      </c>
      <c r="L80" t="s">
        <v>1033</v>
      </c>
      <c r="M80" s="3" t="str">
        <f>HYPERLINK(склад2въезд13192021222[[#This Row],[RelativePath]])</f>
        <v>9 Ангар пилорама\E33149364_1_20251113T162643Z.jpg</v>
      </c>
    </row>
    <row r="81" spans="1:13" x14ac:dyDescent="0.25">
      <c r="A81" s="2" t="s">
        <v>16</v>
      </c>
      <c r="B81" s="4">
        <v>45974</v>
      </c>
      <c r="C81" s="5">
        <v>0.91711805555555559</v>
      </c>
      <c r="D81" t="s">
        <v>4</v>
      </c>
      <c r="E81" t="s">
        <v>9</v>
      </c>
      <c r="I81" t="s">
        <v>1034</v>
      </c>
      <c r="J81" t="s">
        <v>2993</v>
      </c>
      <c r="K81" t="s">
        <v>1035</v>
      </c>
      <c r="L81" t="s">
        <v>1036</v>
      </c>
      <c r="M81" s="3" t="str">
        <f>HYPERLINK(склад2въезд13192021222[[#This Row],[RelativePath]])</f>
        <v>9 Ангар пилорама\E33149364_1_20251113T220039Z.jpg</v>
      </c>
    </row>
    <row r="82" spans="1:13" x14ac:dyDescent="0.25">
      <c r="A82" s="2" t="s">
        <v>16</v>
      </c>
      <c r="B82" s="4">
        <v>45974</v>
      </c>
      <c r="C82" s="5">
        <v>0.94708333333333339</v>
      </c>
      <c r="D82" t="s">
        <v>4</v>
      </c>
      <c r="E82" t="s">
        <v>9</v>
      </c>
      <c r="I82" t="s">
        <v>1037</v>
      </c>
      <c r="J82" t="s">
        <v>2993</v>
      </c>
      <c r="K82" t="s">
        <v>1038</v>
      </c>
      <c r="L82" t="s">
        <v>1039</v>
      </c>
      <c r="M82" s="3" t="str">
        <f>HYPERLINK(склад2въезд13192021222[[#This Row],[RelativePath]])</f>
        <v>9 Ангар пилорама\E33149364_1_20251113T224348Z.jpg</v>
      </c>
    </row>
    <row r="83" spans="1:13" x14ac:dyDescent="0.25">
      <c r="A83" s="2" t="s">
        <v>17</v>
      </c>
      <c r="B83" s="4">
        <v>45975</v>
      </c>
      <c r="C83" s="5">
        <v>2.2222222222222222E-3</v>
      </c>
      <c r="D83" t="s">
        <v>4</v>
      </c>
      <c r="E83" t="s">
        <v>9</v>
      </c>
      <c r="I83" t="s">
        <v>1040</v>
      </c>
      <c r="J83" t="s">
        <v>2993</v>
      </c>
      <c r="K83" t="s">
        <v>1041</v>
      </c>
      <c r="L83" t="s">
        <v>1042</v>
      </c>
      <c r="M83" s="3" t="str">
        <f>HYPERLINK(склад2въезд13192021222[[#This Row],[RelativePath]])</f>
        <v>9 Ангар пилорама\E33149364_1_20251114T000312Z.jpg</v>
      </c>
    </row>
    <row r="84" spans="1:13" x14ac:dyDescent="0.25">
      <c r="A84" s="2" t="s">
        <v>17</v>
      </c>
      <c r="B84" s="4">
        <v>45975</v>
      </c>
      <c r="C84" s="5">
        <v>0.13368055555555555</v>
      </c>
      <c r="D84" t="s">
        <v>4</v>
      </c>
      <c r="E84" t="s">
        <v>9</v>
      </c>
      <c r="I84" t="s">
        <v>1043</v>
      </c>
      <c r="J84" t="s">
        <v>2993</v>
      </c>
      <c r="K84" t="s">
        <v>1044</v>
      </c>
      <c r="L84" t="s">
        <v>1045</v>
      </c>
      <c r="M84" s="3" t="str">
        <f>HYPERLINK(склад2въезд13192021222[[#This Row],[RelativePath]])</f>
        <v>9 Ангар пилорама\E33149364_1_20251114T031230Z.jpg</v>
      </c>
    </row>
    <row r="85" spans="1:13" x14ac:dyDescent="0.25">
      <c r="A85" s="2" t="s">
        <v>17</v>
      </c>
      <c r="B85" s="4">
        <v>45975</v>
      </c>
      <c r="C85" s="5">
        <v>0.24810185185185185</v>
      </c>
      <c r="D85" t="s">
        <v>4</v>
      </c>
      <c r="E85" t="s">
        <v>9</v>
      </c>
      <c r="I85" t="s">
        <v>1046</v>
      </c>
      <c r="J85" t="s">
        <v>2993</v>
      </c>
      <c r="K85" t="s">
        <v>1047</v>
      </c>
      <c r="L85" t="s">
        <v>1048</v>
      </c>
      <c r="M85" s="3" t="str">
        <f>HYPERLINK(склад2въезд13192021222[[#This Row],[RelativePath]])</f>
        <v>9 Ангар пилорама\E33149364_1_20251114T055716Z.jpg</v>
      </c>
    </row>
    <row r="86" spans="1:13" x14ac:dyDescent="0.25">
      <c r="A86" s="2" t="s">
        <v>17</v>
      </c>
      <c r="B86" s="4">
        <v>45975</v>
      </c>
      <c r="C86" s="5">
        <v>0.26258101851851851</v>
      </c>
      <c r="D86" t="s">
        <v>2024</v>
      </c>
      <c r="E86" t="s">
        <v>1304</v>
      </c>
      <c r="I86" t="s">
        <v>1049</v>
      </c>
      <c r="J86" t="s">
        <v>2993</v>
      </c>
      <c r="K86" t="s">
        <v>1050</v>
      </c>
      <c r="L86" t="s">
        <v>1051</v>
      </c>
      <c r="M86" s="3" t="str">
        <f>HYPERLINK(склад2въезд13192021222[[#This Row],[RelativePath]])</f>
        <v>9 Ангар пилорама\E33149364_1_20251114T061807Z.jpg</v>
      </c>
    </row>
    <row r="87" spans="1:13" x14ac:dyDescent="0.25">
      <c r="A87" s="2" t="s">
        <v>17</v>
      </c>
      <c r="B87" s="4">
        <v>45975</v>
      </c>
      <c r="C87" s="5">
        <v>0.27238425925925924</v>
      </c>
      <c r="D87" t="s">
        <v>4</v>
      </c>
      <c r="E87" t="s">
        <v>9</v>
      </c>
      <c r="I87" t="s">
        <v>1052</v>
      </c>
      <c r="J87" t="s">
        <v>2993</v>
      </c>
      <c r="K87" t="s">
        <v>1053</v>
      </c>
      <c r="L87" t="s">
        <v>1054</v>
      </c>
      <c r="M87" s="3" t="str">
        <f>HYPERLINK(склад2въезд13192021222[[#This Row],[RelativePath]])</f>
        <v>9 Ангар пилорама\E33149364_1_20251114T063214Z.jpg</v>
      </c>
    </row>
    <row r="88" spans="1:13" x14ac:dyDescent="0.25">
      <c r="A88" s="2" t="s">
        <v>17</v>
      </c>
      <c r="B88" s="4">
        <v>45975</v>
      </c>
      <c r="C88" s="5">
        <v>0.29614583333333333</v>
      </c>
      <c r="D88" t="s">
        <v>795</v>
      </c>
      <c r="E88" t="s">
        <v>1304</v>
      </c>
      <c r="I88" t="s">
        <v>1055</v>
      </c>
      <c r="J88" t="s">
        <v>2993</v>
      </c>
      <c r="K88" t="s">
        <v>1056</v>
      </c>
      <c r="L88" t="s">
        <v>1057</v>
      </c>
      <c r="M88" s="3" t="str">
        <f>HYPERLINK(склад2въезд13192021222[[#This Row],[RelativePath]])</f>
        <v>9 Ангар пилорама\E33149364_1_20251114T070627Z.jpg</v>
      </c>
    </row>
    <row r="89" spans="1:13" x14ac:dyDescent="0.25">
      <c r="A89" s="2" t="s">
        <v>17</v>
      </c>
      <c r="B89" s="4">
        <v>45975</v>
      </c>
      <c r="C89" s="5">
        <v>0.46939814814814818</v>
      </c>
      <c r="D89" t="s">
        <v>4</v>
      </c>
      <c r="E89" t="s">
        <v>9</v>
      </c>
      <c r="I89" t="s">
        <v>1058</v>
      </c>
      <c r="J89" t="s">
        <v>2993</v>
      </c>
      <c r="K89" t="s">
        <v>1059</v>
      </c>
      <c r="L89" t="s">
        <v>1060</v>
      </c>
      <c r="M89" s="3" t="str">
        <f>HYPERLINK(склад2въезд13192021222[[#This Row],[RelativePath]])</f>
        <v>9 Ангар пилорама\E33149364_1_20251114T111556Z.jpg</v>
      </c>
    </row>
    <row r="90" spans="1:13" x14ac:dyDescent="0.25">
      <c r="A90" s="2" t="s">
        <v>17</v>
      </c>
      <c r="B90" s="4">
        <v>45975</v>
      </c>
      <c r="C90" s="5">
        <v>0.49872685185185184</v>
      </c>
      <c r="D90" t="s">
        <v>4</v>
      </c>
      <c r="E90" t="s">
        <v>9</v>
      </c>
      <c r="I90" t="s">
        <v>1061</v>
      </c>
      <c r="J90" t="s">
        <v>2993</v>
      </c>
      <c r="K90" t="s">
        <v>1062</v>
      </c>
      <c r="L90" t="s">
        <v>1063</v>
      </c>
      <c r="M90" s="3" t="str">
        <f>HYPERLINK(склад2въезд13192021222[[#This Row],[RelativePath]])</f>
        <v>9 Ангар пилорама\E33149364_1_20251114T115810Z.jpg</v>
      </c>
    </row>
    <row r="91" spans="1:13" x14ac:dyDescent="0.25">
      <c r="A91" s="2" t="s">
        <v>17</v>
      </c>
      <c r="B91" s="4">
        <v>45975</v>
      </c>
      <c r="C91" s="5">
        <v>0.50780092592592596</v>
      </c>
      <c r="D91" t="s">
        <v>4</v>
      </c>
      <c r="E91" t="s">
        <v>9</v>
      </c>
      <c r="I91" t="s">
        <v>1064</v>
      </c>
      <c r="J91" t="s">
        <v>2993</v>
      </c>
      <c r="K91" t="s">
        <v>1065</v>
      </c>
      <c r="L91" t="s">
        <v>1066</v>
      </c>
      <c r="M91" s="3" t="str">
        <f>HYPERLINK(склад2въезд13192021222[[#This Row],[RelativePath]])</f>
        <v>9 Ангар пилорама\E33149364_1_20251114T121114Z.jpg</v>
      </c>
    </row>
    <row r="92" spans="1:13" x14ac:dyDescent="0.25">
      <c r="A92" s="2" t="s">
        <v>17</v>
      </c>
      <c r="B92" s="4">
        <v>45975</v>
      </c>
      <c r="C92" s="5">
        <v>0.51744212962962965</v>
      </c>
      <c r="D92" t="s">
        <v>4</v>
      </c>
      <c r="E92" t="s">
        <v>9</v>
      </c>
      <c r="I92" t="s">
        <v>1067</v>
      </c>
      <c r="J92" t="s">
        <v>2993</v>
      </c>
      <c r="K92" t="s">
        <v>1068</v>
      </c>
      <c r="L92" t="s">
        <v>1069</v>
      </c>
      <c r="M92" s="3" t="str">
        <f>HYPERLINK(склад2въезд13192021222[[#This Row],[RelativePath]])</f>
        <v>9 Ангар пилорама\E33149364_1_20251114T122507Z.jpg</v>
      </c>
    </row>
    <row r="93" spans="1:13" x14ac:dyDescent="0.25">
      <c r="A93" s="2" t="s">
        <v>17</v>
      </c>
      <c r="B93" s="4">
        <v>45975</v>
      </c>
      <c r="C93" s="5">
        <v>0.52743055555555551</v>
      </c>
      <c r="D93" t="s">
        <v>4</v>
      </c>
      <c r="E93" t="s">
        <v>9</v>
      </c>
      <c r="I93" t="s">
        <v>1070</v>
      </c>
      <c r="J93" t="s">
        <v>2993</v>
      </c>
      <c r="K93" t="s">
        <v>1071</v>
      </c>
      <c r="L93" t="s">
        <v>1072</v>
      </c>
      <c r="M93" s="3" t="str">
        <f>HYPERLINK(склад2въезд13192021222[[#This Row],[RelativePath]])</f>
        <v>9 Ангар пилорама\E33149364_1_20251114T123930Z.jpg</v>
      </c>
    </row>
    <row r="94" spans="1:13" x14ac:dyDescent="0.25">
      <c r="A94" s="2" t="s">
        <v>17</v>
      </c>
      <c r="B94" s="4">
        <v>45975</v>
      </c>
      <c r="C94" s="5">
        <v>0.5446643518518518</v>
      </c>
      <c r="D94" t="s">
        <v>4</v>
      </c>
      <c r="E94" t="s">
        <v>9</v>
      </c>
      <c r="I94" t="s">
        <v>1073</v>
      </c>
      <c r="J94" t="s">
        <v>2993</v>
      </c>
      <c r="K94" t="s">
        <v>1074</v>
      </c>
      <c r="L94" t="s">
        <v>1075</v>
      </c>
      <c r="M94" s="3" t="str">
        <f>HYPERLINK(склад2въезд13192021222[[#This Row],[RelativePath]])</f>
        <v>9 Ангар пилорама\E33149364_1_20251114T130419Z.jpg</v>
      </c>
    </row>
    <row r="95" spans="1:13" x14ac:dyDescent="0.25">
      <c r="A95" s="2" t="s">
        <v>17</v>
      </c>
      <c r="B95" s="4">
        <v>45975</v>
      </c>
      <c r="C95" s="5">
        <v>0.58701388888888884</v>
      </c>
      <c r="D95" t="s">
        <v>4</v>
      </c>
      <c r="E95" t="s">
        <v>9</v>
      </c>
      <c r="I95" t="s">
        <v>1076</v>
      </c>
      <c r="J95" t="s">
        <v>2993</v>
      </c>
      <c r="K95" t="s">
        <v>1077</v>
      </c>
      <c r="L95" t="s">
        <v>1078</v>
      </c>
      <c r="M95" s="3" t="str">
        <f>HYPERLINK(склад2въезд13192021222[[#This Row],[RelativePath]])</f>
        <v>9 Ангар пилорама\E33149364_1_20251114T140518Z.jpg</v>
      </c>
    </row>
    <row r="96" spans="1:13" x14ac:dyDescent="0.25">
      <c r="A96" s="2" t="s">
        <v>17</v>
      </c>
      <c r="B96" s="4">
        <v>45975</v>
      </c>
      <c r="C96" s="5">
        <v>0.62668981481481478</v>
      </c>
      <c r="D96" t="s">
        <v>4</v>
      </c>
      <c r="E96" t="s">
        <v>9</v>
      </c>
      <c r="I96" t="s">
        <v>1079</v>
      </c>
      <c r="J96" t="s">
        <v>2993</v>
      </c>
      <c r="K96" t="s">
        <v>1080</v>
      </c>
      <c r="L96" t="s">
        <v>1081</v>
      </c>
      <c r="M96" s="3" t="str">
        <f>HYPERLINK(склад2въезд13192021222[[#This Row],[RelativePath]])</f>
        <v>9 Ангар пилорама\E33149364_1_20251114T150226Z.jpg</v>
      </c>
    </row>
    <row r="97" spans="1:13" x14ac:dyDescent="0.25">
      <c r="A97" s="2" t="s">
        <v>17</v>
      </c>
      <c r="B97" s="4">
        <v>45975</v>
      </c>
      <c r="C97" s="5">
        <v>0.66415509259259264</v>
      </c>
      <c r="D97" t="s">
        <v>4</v>
      </c>
      <c r="E97" t="s">
        <v>9</v>
      </c>
      <c r="I97" t="s">
        <v>1082</v>
      </c>
      <c r="J97" t="s">
        <v>2993</v>
      </c>
      <c r="K97" t="s">
        <v>1083</v>
      </c>
      <c r="L97" t="s">
        <v>1084</v>
      </c>
      <c r="M97" s="3" t="str">
        <f>HYPERLINK(склад2въезд13192021222[[#This Row],[RelativePath]])</f>
        <v>9 Ангар пилорама\E33149364_1_20251114T155623Z.jpg</v>
      </c>
    </row>
    <row r="98" spans="1:13" x14ac:dyDescent="0.25">
      <c r="A98" s="2" t="s">
        <v>17</v>
      </c>
      <c r="B98" s="4">
        <v>45975</v>
      </c>
      <c r="C98" s="5">
        <v>0.80738425925925927</v>
      </c>
      <c r="D98" t="s">
        <v>4</v>
      </c>
      <c r="E98" t="s">
        <v>9</v>
      </c>
      <c r="I98" t="s">
        <v>1085</v>
      </c>
      <c r="J98" t="s">
        <v>2993</v>
      </c>
      <c r="K98" t="s">
        <v>1086</v>
      </c>
      <c r="L98" t="s">
        <v>1087</v>
      </c>
      <c r="M98" s="3" t="str">
        <f>HYPERLINK(склад2въезд13192021222[[#This Row],[RelativePath]])</f>
        <v>9 Ангар пилорама\E33149364_1_20251114T192238Z.jpg</v>
      </c>
    </row>
    <row r="99" spans="1:13" x14ac:dyDescent="0.25">
      <c r="A99" s="2" t="s">
        <v>17</v>
      </c>
      <c r="B99" s="4">
        <v>45975</v>
      </c>
      <c r="C99" s="5">
        <v>0.81435185185185188</v>
      </c>
      <c r="D99" t="s">
        <v>4</v>
      </c>
      <c r="E99" t="s">
        <v>9</v>
      </c>
      <c r="I99" t="s">
        <v>1088</v>
      </c>
      <c r="J99" t="s">
        <v>2993</v>
      </c>
      <c r="K99" t="s">
        <v>1089</v>
      </c>
      <c r="L99" t="s">
        <v>1090</v>
      </c>
      <c r="M99" s="3" t="str">
        <f>HYPERLINK(склад2въезд13192021222[[#This Row],[RelativePath]])</f>
        <v>9 Ангар пилорама\E33149364_1_20251114T193240Z.jpg</v>
      </c>
    </row>
    <row r="100" spans="1:13" x14ac:dyDescent="0.25">
      <c r="A100" s="2" t="s">
        <v>18</v>
      </c>
      <c r="B100" s="4">
        <v>45976</v>
      </c>
      <c r="C100" s="5">
        <v>0.22234953703703703</v>
      </c>
      <c r="D100" t="s">
        <v>2024</v>
      </c>
      <c r="E100" t="s">
        <v>1304</v>
      </c>
      <c r="I100" t="s">
        <v>1190</v>
      </c>
      <c r="J100" t="s">
        <v>2993</v>
      </c>
      <c r="K100" t="s">
        <v>1191</v>
      </c>
      <c r="L100" t="s">
        <v>1192</v>
      </c>
      <c r="M100" s="3" t="str">
        <f>HYPERLINK(склад2въезд13192021222[[#This Row],[RelativePath]])</f>
        <v>9 Ангар пилорама\E33149364_1_20251115T052011Z.jpg</v>
      </c>
    </row>
    <row r="101" spans="1:13" x14ac:dyDescent="0.25">
      <c r="A101" s="2" t="s">
        <v>18</v>
      </c>
      <c r="B101" s="4">
        <v>45976</v>
      </c>
      <c r="C101" s="5">
        <v>0.4306712962962963</v>
      </c>
      <c r="D101" t="s">
        <v>4</v>
      </c>
      <c r="E101" t="s">
        <v>9</v>
      </c>
      <c r="I101" t="s">
        <v>1193</v>
      </c>
      <c r="J101" t="s">
        <v>2993</v>
      </c>
      <c r="K101" t="s">
        <v>1194</v>
      </c>
      <c r="L101" t="s">
        <v>1195</v>
      </c>
      <c r="M101" s="3" t="str">
        <f>HYPERLINK(склад2въезд13192021222[[#This Row],[RelativePath]])</f>
        <v>9 Ангар пилорама\E33149364_1_20251115T102010Z.jpg</v>
      </c>
    </row>
    <row r="102" spans="1:13" x14ac:dyDescent="0.25">
      <c r="A102" s="2" t="s">
        <v>18</v>
      </c>
      <c r="B102" s="4">
        <v>45976</v>
      </c>
      <c r="C102" s="5">
        <v>0.61578703703703708</v>
      </c>
      <c r="D102" t="s">
        <v>4</v>
      </c>
      <c r="E102" t="s">
        <v>9</v>
      </c>
      <c r="I102" t="s">
        <v>1196</v>
      </c>
      <c r="J102" t="s">
        <v>2993</v>
      </c>
      <c r="K102" t="s">
        <v>1197</v>
      </c>
      <c r="L102" t="s">
        <v>1198</v>
      </c>
      <c r="M102" s="3" t="str">
        <f>HYPERLINK(склад2въезд13192021222[[#This Row],[RelativePath]])</f>
        <v>9 Ангар пилорама\E33149364_1_20251115T144644Z.jpg</v>
      </c>
    </row>
    <row r="103" spans="1:13" x14ac:dyDescent="0.25">
      <c r="A103" s="2" t="s">
        <v>22</v>
      </c>
      <c r="B103" s="4">
        <v>45977</v>
      </c>
      <c r="C103" s="5">
        <v>0.71766203703703701</v>
      </c>
      <c r="D103" t="s">
        <v>4</v>
      </c>
      <c r="E103" t="s">
        <v>9</v>
      </c>
      <c r="I103" t="s">
        <v>1199</v>
      </c>
      <c r="J103" t="s">
        <v>2993</v>
      </c>
      <c r="K103" t="s">
        <v>1200</v>
      </c>
      <c r="L103" t="s">
        <v>1201</v>
      </c>
      <c r="M103" s="3" t="str">
        <f>HYPERLINK(склад2въезд13192021222[[#This Row],[RelativePath]])</f>
        <v>9 Ангар пилорама\E33149364_1_20251116T171326Z.jpg</v>
      </c>
    </row>
    <row r="104" spans="1:13" x14ac:dyDescent="0.25">
      <c r="A104" s="2" t="s">
        <v>22</v>
      </c>
      <c r="B104" s="4">
        <v>45977</v>
      </c>
      <c r="C104" s="5">
        <v>0.74473379629629632</v>
      </c>
      <c r="D104" t="s">
        <v>4</v>
      </c>
      <c r="E104" t="s">
        <v>9</v>
      </c>
      <c r="I104" t="s">
        <v>1202</v>
      </c>
      <c r="J104" t="s">
        <v>2993</v>
      </c>
      <c r="K104" t="s">
        <v>1203</v>
      </c>
      <c r="L104" t="s">
        <v>1204</v>
      </c>
      <c r="M104" s="3" t="str">
        <f>HYPERLINK(склад2въезд13192021222[[#This Row],[RelativePath]])</f>
        <v>9 Ангар пилорама\E33149364_1_20251116T175225Z.jpg</v>
      </c>
    </row>
    <row r="105" spans="1:13" x14ac:dyDescent="0.25">
      <c r="A105" s="2" t="s">
        <v>22</v>
      </c>
      <c r="B105" s="4">
        <v>45977</v>
      </c>
      <c r="C105" s="5">
        <v>0.82781249999999995</v>
      </c>
      <c r="D105" t="s">
        <v>4</v>
      </c>
      <c r="E105" t="s">
        <v>9</v>
      </c>
      <c r="I105" t="s">
        <v>1205</v>
      </c>
      <c r="J105" t="s">
        <v>2993</v>
      </c>
      <c r="K105" t="s">
        <v>1206</v>
      </c>
      <c r="L105" t="s">
        <v>1207</v>
      </c>
      <c r="M105" s="3" t="str">
        <f>HYPERLINK(склад2въезд13192021222[[#This Row],[RelativePath]])</f>
        <v>9 Ангар пилорама\E33149364_1_20251116T195203Z.jpg</v>
      </c>
    </row>
    <row r="106" spans="1:13" x14ac:dyDescent="0.25">
      <c r="A106" s="2" t="s">
        <v>22</v>
      </c>
      <c r="B106" s="4">
        <v>45977</v>
      </c>
      <c r="C106" s="5">
        <v>0.87667824074074074</v>
      </c>
      <c r="D106" t="s">
        <v>4</v>
      </c>
      <c r="E106" t="s">
        <v>9</v>
      </c>
      <c r="H106" t="s">
        <v>10</v>
      </c>
      <c r="I106" t="s">
        <v>1208</v>
      </c>
      <c r="J106" t="s">
        <v>2993</v>
      </c>
      <c r="K106" t="s">
        <v>1209</v>
      </c>
      <c r="L106" t="s">
        <v>1210</v>
      </c>
      <c r="M106" s="3" t="str">
        <f>HYPERLINK(склад2въезд13192021222[[#This Row],[RelativePath]])</f>
        <v>9 Ангар пилорама\E33149364_1_20251116T210225Z.jpg</v>
      </c>
    </row>
    <row r="107" spans="1:13" x14ac:dyDescent="0.25">
      <c r="A107" s="2" t="s">
        <v>13</v>
      </c>
      <c r="B107" s="4">
        <v>45978</v>
      </c>
      <c r="C107" s="5">
        <v>0.39652777777777776</v>
      </c>
      <c r="D107" t="s">
        <v>4</v>
      </c>
      <c r="E107" t="s">
        <v>9</v>
      </c>
      <c r="I107" t="s">
        <v>2340</v>
      </c>
      <c r="J107" t="s">
        <v>2993</v>
      </c>
      <c r="K107" t="s">
        <v>2341</v>
      </c>
      <c r="L107" t="s">
        <v>2342</v>
      </c>
      <c r="M107" s="3" t="str">
        <f>HYPERLINK(склад2въезд13192021222[[#This Row],[RelativePath]])</f>
        <v>9 Ангар пилорама\E33149364_1_20251117T093100Z.jpg</v>
      </c>
    </row>
    <row r="108" spans="1:13" x14ac:dyDescent="0.25">
      <c r="A108" s="2" t="s">
        <v>13</v>
      </c>
      <c r="B108" s="4">
        <v>45978</v>
      </c>
      <c r="C108" s="5">
        <v>0.48062500000000002</v>
      </c>
      <c r="D108" t="s">
        <v>4</v>
      </c>
      <c r="E108" t="s">
        <v>9</v>
      </c>
      <c r="H108" t="s">
        <v>2936</v>
      </c>
      <c r="I108" t="s">
        <v>2343</v>
      </c>
      <c r="J108" t="s">
        <v>2993</v>
      </c>
      <c r="K108" t="s">
        <v>2344</v>
      </c>
      <c r="L108" t="s">
        <v>2345</v>
      </c>
      <c r="M108" s="3" t="str">
        <f>HYPERLINK(склад2въезд13192021222[[#This Row],[RelativePath]])</f>
        <v>9 Ангар пилорама\E33149364_1_20251117T113206Z.jpg</v>
      </c>
    </row>
    <row r="109" spans="1:13" x14ac:dyDescent="0.25">
      <c r="A109" s="2" t="s">
        <v>13</v>
      </c>
      <c r="B109" s="4">
        <v>45978</v>
      </c>
      <c r="C109" s="5">
        <v>0.59437499999999999</v>
      </c>
      <c r="D109" t="s">
        <v>4</v>
      </c>
      <c r="E109" t="s">
        <v>9</v>
      </c>
      <c r="H109" t="s">
        <v>2936</v>
      </c>
      <c r="I109" t="s">
        <v>2346</v>
      </c>
      <c r="J109" t="s">
        <v>2993</v>
      </c>
      <c r="K109" t="s">
        <v>2347</v>
      </c>
      <c r="L109" t="s">
        <v>2348</v>
      </c>
      <c r="M109" s="3" t="str">
        <f>HYPERLINK(склад2въезд13192021222[[#This Row],[RelativePath]])</f>
        <v>9 Ангар пилорама\E33149364_1_20251117T141554Z.jpg</v>
      </c>
    </row>
    <row r="110" spans="1:13" x14ac:dyDescent="0.25">
      <c r="A110" s="2" t="s">
        <v>13</v>
      </c>
      <c r="B110" s="4">
        <v>45978</v>
      </c>
      <c r="C110" s="5">
        <v>0.62839120370370372</v>
      </c>
      <c r="D110" t="s">
        <v>4</v>
      </c>
      <c r="E110" t="s">
        <v>9</v>
      </c>
      <c r="H110" t="s">
        <v>2936</v>
      </c>
      <c r="I110" t="s">
        <v>2349</v>
      </c>
      <c r="J110" t="s">
        <v>2993</v>
      </c>
      <c r="K110" t="s">
        <v>2350</v>
      </c>
      <c r="L110" t="s">
        <v>2351</v>
      </c>
      <c r="M110" s="3" t="str">
        <f>HYPERLINK(склад2въезд13192021222[[#This Row],[RelativePath]])</f>
        <v>9 Ангар пилорама\E33149364_1_20251117T150453Z.jpg</v>
      </c>
    </row>
    <row r="111" spans="1:13" x14ac:dyDescent="0.25">
      <c r="A111" s="2" t="s">
        <v>13</v>
      </c>
      <c r="B111" s="4">
        <v>45978</v>
      </c>
      <c r="C111" s="5">
        <v>0.65424768518518517</v>
      </c>
      <c r="D111" t="s">
        <v>4</v>
      </c>
      <c r="E111" t="s">
        <v>9</v>
      </c>
      <c r="H111" t="s">
        <v>2936</v>
      </c>
      <c r="I111" t="s">
        <v>2352</v>
      </c>
      <c r="J111" t="s">
        <v>2993</v>
      </c>
      <c r="K111" t="s">
        <v>2353</v>
      </c>
      <c r="L111" t="s">
        <v>2354</v>
      </c>
      <c r="M111" s="3" t="str">
        <f>HYPERLINK(склад2въезд13192021222[[#This Row],[RelativePath]])</f>
        <v>9 Ангар пилорама\E33149364_1_20251117T154207Z.jpg</v>
      </c>
    </row>
    <row r="112" spans="1:13" x14ac:dyDescent="0.25">
      <c r="A112" s="2" t="s">
        <v>13</v>
      </c>
      <c r="B112" s="4">
        <v>45978</v>
      </c>
      <c r="C112" s="5">
        <v>0.70846064814814813</v>
      </c>
      <c r="D112" t="s">
        <v>2939</v>
      </c>
      <c r="E112" t="s">
        <v>2940</v>
      </c>
      <c r="F112" t="s">
        <v>2929</v>
      </c>
      <c r="G112">
        <v>1</v>
      </c>
      <c r="H112" t="s">
        <v>2941</v>
      </c>
      <c r="I112" t="s">
        <v>2355</v>
      </c>
      <c r="J112" t="s">
        <v>2993</v>
      </c>
      <c r="K112" t="s">
        <v>2356</v>
      </c>
      <c r="L112" t="s">
        <v>2357</v>
      </c>
      <c r="M112" s="3" t="str">
        <f>HYPERLINK(склад2въезд13192021222[[#This Row],[RelativePath]])</f>
        <v>9 Ангар пилорама\E33149364_1_20251117T170011Z.jpg</v>
      </c>
    </row>
    <row r="113" spans="1:13" x14ac:dyDescent="0.25">
      <c r="A113" s="2" t="s">
        <v>13</v>
      </c>
      <c r="B113" s="4">
        <v>45978</v>
      </c>
      <c r="C113" s="5">
        <v>0.70990740740740743</v>
      </c>
      <c r="D113" t="s">
        <v>2939</v>
      </c>
      <c r="E113" t="s">
        <v>2940</v>
      </c>
      <c r="F113" t="s">
        <v>2929</v>
      </c>
      <c r="G113">
        <v>1</v>
      </c>
      <c r="H113" t="s">
        <v>2941</v>
      </c>
      <c r="I113" t="s">
        <v>2358</v>
      </c>
      <c r="J113" t="s">
        <v>2993</v>
      </c>
      <c r="K113" t="s">
        <v>2359</v>
      </c>
      <c r="L113" t="s">
        <v>2360</v>
      </c>
      <c r="M113" s="3" t="str">
        <f>HYPERLINK(склад2въезд13192021222[[#This Row],[RelativePath]])</f>
        <v>9 Ангар пилорама\E33149364_1_20251117T170216Z.jpg</v>
      </c>
    </row>
    <row r="114" spans="1:13" x14ac:dyDescent="0.25">
      <c r="A114" s="2" t="s">
        <v>13</v>
      </c>
      <c r="B114" s="4">
        <v>45978</v>
      </c>
      <c r="C114" s="5">
        <v>0.71155092592592595</v>
      </c>
      <c r="D114" t="s">
        <v>2939</v>
      </c>
      <c r="E114" t="s">
        <v>2940</v>
      </c>
      <c r="F114" t="s">
        <v>2929</v>
      </c>
      <c r="G114">
        <v>1</v>
      </c>
      <c r="H114" t="s">
        <v>2941</v>
      </c>
      <c r="I114" t="s">
        <v>2361</v>
      </c>
      <c r="J114" t="s">
        <v>2993</v>
      </c>
      <c r="K114" t="s">
        <v>2362</v>
      </c>
      <c r="L114" t="s">
        <v>2363</v>
      </c>
      <c r="M114" s="3" t="str">
        <f>HYPERLINK(склад2въезд13192021222[[#This Row],[RelativePath]])</f>
        <v>9 Ангар пилорама\E33149364_1_20251117T170438Z.jpg</v>
      </c>
    </row>
    <row r="115" spans="1:13" x14ac:dyDescent="0.25">
      <c r="A115" s="2" t="s">
        <v>13</v>
      </c>
      <c r="B115" s="4">
        <v>45978</v>
      </c>
      <c r="C115" s="5">
        <v>0.71207175925925925</v>
      </c>
      <c r="D115" t="s">
        <v>2939</v>
      </c>
      <c r="E115" t="s">
        <v>2940</v>
      </c>
      <c r="F115" t="s">
        <v>2929</v>
      </c>
      <c r="G115">
        <v>1</v>
      </c>
      <c r="H115" t="s">
        <v>2941</v>
      </c>
      <c r="I115" t="s">
        <v>2364</v>
      </c>
      <c r="J115" t="s">
        <v>2993</v>
      </c>
      <c r="K115" t="s">
        <v>2365</v>
      </c>
      <c r="L115" t="s">
        <v>2366</v>
      </c>
      <c r="M115" s="3" t="str">
        <f>HYPERLINK(склад2въезд13192021222[[#This Row],[RelativePath]])</f>
        <v>9 Ангар пилорама\E33149364_1_20251117T170523Z.jpg</v>
      </c>
    </row>
    <row r="116" spans="1:13" x14ac:dyDescent="0.25">
      <c r="A116" s="2" t="s">
        <v>13</v>
      </c>
      <c r="B116" s="4">
        <v>45978</v>
      </c>
      <c r="C116" s="5">
        <v>0.71313657407407405</v>
      </c>
      <c r="D116" t="s">
        <v>2939</v>
      </c>
      <c r="E116" t="s">
        <v>2940</v>
      </c>
      <c r="F116" t="s">
        <v>2929</v>
      </c>
      <c r="G116">
        <v>1</v>
      </c>
      <c r="H116" t="s">
        <v>2941</v>
      </c>
      <c r="I116" t="s">
        <v>2367</v>
      </c>
      <c r="J116" t="s">
        <v>2993</v>
      </c>
      <c r="K116" t="s">
        <v>2368</v>
      </c>
      <c r="L116" t="s">
        <v>2369</v>
      </c>
      <c r="M116" s="3" t="str">
        <f>HYPERLINK(склад2въезд13192021222[[#This Row],[RelativePath]])</f>
        <v>9 Ангар пилорама\E33149364_1_20251117T170655Z.jpg</v>
      </c>
    </row>
    <row r="117" spans="1:13" x14ac:dyDescent="0.25">
      <c r="A117" s="2" t="s">
        <v>13</v>
      </c>
      <c r="B117" s="4">
        <v>45978</v>
      </c>
      <c r="C117" s="5">
        <v>0.71349537037037036</v>
      </c>
      <c r="D117" t="s">
        <v>2939</v>
      </c>
      <c r="E117" t="s">
        <v>2940</v>
      </c>
      <c r="F117" t="s">
        <v>2929</v>
      </c>
      <c r="G117">
        <v>1</v>
      </c>
      <c r="H117" t="s">
        <v>2941</v>
      </c>
      <c r="I117" t="s">
        <v>2370</v>
      </c>
      <c r="J117" t="s">
        <v>2993</v>
      </c>
      <c r="K117" t="s">
        <v>2371</v>
      </c>
      <c r="L117" t="s">
        <v>2372</v>
      </c>
      <c r="M117" s="3" t="str">
        <f>HYPERLINK(склад2въезд13192021222[[#This Row],[RelativePath]])</f>
        <v>9 Ангар пилорама\E33149364_1_20251117T170726Z.jpg</v>
      </c>
    </row>
    <row r="118" spans="1:13" x14ac:dyDescent="0.25">
      <c r="A118" s="2" t="s">
        <v>13</v>
      </c>
      <c r="B118" s="4">
        <v>45978</v>
      </c>
      <c r="C118" s="5">
        <v>0.71479166666666671</v>
      </c>
      <c r="D118" t="s">
        <v>2939</v>
      </c>
      <c r="E118" t="s">
        <v>2940</v>
      </c>
      <c r="F118" t="s">
        <v>2929</v>
      </c>
      <c r="G118">
        <v>1</v>
      </c>
      <c r="H118" t="s">
        <v>2941</v>
      </c>
      <c r="I118" t="s">
        <v>2373</v>
      </c>
      <c r="J118" t="s">
        <v>2993</v>
      </c>
      <c r="K118" t="s">
        <v>2374</v>
      </c>
      <c r="L118" t="s">
        <v>2375</v>
      </c>
      <c r="M118" s="3" t="str">
        <f>HYPERLINK(склад2въезд13192021222[[#This Row],[RelativePath]])</f>
        <v>9 Ангар пилорама\E33149364_1_20251117T170918Z.jpg</v>
      </c>
    </row>
    <row r="119" spans="1:13" x14ac:dyDescent="0.25">
      <c r="A119" s="2" t="s">
        <v>13</v>
      </c>
      <c r="B119" s="4">
        <v>45978</v>
      </c>
      <c r="C119" s="5">
        <v>0.71493055555555551</v>
      </c>
      <c r="D119" t="s">
        <v>2939</v>
      </c>
      <c r="E119" t="s">
        <v>2940</v>
      </c>
      <c r="F119" t="s">
        <v>2929</v>
      </c>
      <c r="G119">
        <v>1</v>
      </c>
      <c r="H119" t="s">
        <v>2941</v>
      </c>
      <c r="I119" t="s">
        <v>2376</v>
      </c>
      <c r="J119" t="s">
        <v>2993</v>
      </c>
      <c r="K119" t="s">
        <v>2377</v>
      </c>
      <c r="L119" t="s">
        <v>2378</v>
      </c>
      <c r="M119" s="3" t="str">
        <f>HYPERLINK(склад2въезд13192021222[[#This Row],[RelativePath]])</f>
        <v>9 Ангар пилорама\E33149364_1_20251117T170930Z.jpg</v>
      </c>
    </row>
    <row r="120" spans="1:13" x14ac:dyDescent="0.25">
      <c r="A120" s="2" t="s">
        <v>13</v>
      </c>
      <c r="B120" s="4">
        <v>45978</v>
      </c>
      <c r="C120" s="5">
        <v>0.71530092592592598</v>
      </c>
      <c r="D120" t="s">
        <v>4</v>
      </c>
      <c r="E120" t="s">
        <v>9</v>
      </c>
      <c r="I120" t="s">
        <v>2379</v>
      </c>
      <c r="J120" t="s">
        <v>2993</v>
      </c>
      <c r="K120" t="s">
        <v>2380</v>
      </c>
      <c r="L120" t="s">
        <v>2381</v>
      </c>
      <c r="M120" s="3" t="str">
        <f>HYPERLINK(склад2въезд13192021222[[#This Row],[RelativePath]])</f>
        <v>9 Ангар пилорама\E33149364_1_20251117T171002Z.jpg</v>
      </c>
    </row>
    <row r="121" spans="1:13" x14ac:dyDescent="0.25">
      <c r="A121" s="2" t="s">
        <v>13</v>
      </c>
      <c r="B121" s="4">
        <v>45978</v>
      </c>
      <c r="C121" s="5">
        <v>0.749537037037037</v>
      </c>
      <c r="D121" t="s">
        <v>4</v>
      </c>
      <c r="E121" t="s">
        <v>9</v>
      </c>
      <c r="H121" t="s">
        <v>2936</v>
      </c>
      <c r="I121" t="s">
        <v>2382</v>
      </c>
      <c r="J121" t="s">
        <v>2993</v>
      </c>
      <c r="K121" t="s">
        <v>2383</v>
      </c>
      <c r="L121" t="s">
        <v>2384</v>
      </c>
      <c r="M121" s="3" t="str">
        <f>HYPERLINK(склад2въезд13192021222[[#This Row],[RelativePath]])</f>
        <v>9 Ангар пилорама\E33149364_1_20251117T175920Z.jpg</v>
      </c>
    </row>
    <row r="122" spans="1:13" x14ac:dyDescent="0.25">
      <c r="A122" s="2" t="s">
        <v>13</v>
      </c>
      <c r="B122" s="4">
        <v>45978</v>
      </c>
      <c r="C122" s="5">
        <v>0.78225694444444449</v>
      </c>
      <c r="D122" t="s">
        <v>2024</v>
      </c>
      <c r="E122" t="s">
        <v>1304</v>
      </c>
      <c r="I122" t="s">
        <v>2385</v>
      </c>
      <c r="J122" t="s">
        <v>2993</v>
      </c>
      <c r="K122" t="s">
        <v>2386</v>
      </c>
      <c r="L122" t="s">
        <v>2387</v>
      </c>
      <c r="M122" s="3" t="str">
        <f>HYPERLINK(склад2въезд13192021222[[#This Row],[RelativePath]])</f>
        <v>9 Ангар пилорама\E33149364_1_20251117T184627Z.jpg</v>
      </c>
    </row>
    <row r="123" spans="1:13" x14ac:dyDescent="0.25">
      <c r="A123" s="2" t="s">
        <v>13</v>
      </c>
      <c r="B123" s="4">
        <v>45978</v>
      </c>
      <c r="C123" s="5">
        <v>0.8111342592592593</v>
      </c>
      <c r="D123" t="s">
        <v>4</v>
      </c>
      <c r="E123" t="s">
        <v>9</v>
      </c>
      <c r="H123" t="s">
        <v>2936</v>
      </c>
      <c r="I123" t="s">
        <v>2388</v>
      </c>
      <c r="J123" t="s">
        <v>2993</v>
      </c>
      <c r="K123" t="s">
        <v>2389</v>
      </c>
      <c r="L123" t="s">
        <v>2390</v>
      </c>
      <c r="M123" s="3" t="str">
        <f>HYPERLINK(склад2въезд13192021222[[#This Row],[RelativePath]])</f>
        <v>9 Ангар пилорама\E33149364_1_20251117T192802Z.jpg</v>
      </c>
    </row>
    <row r="124" spans="1:13" x14ac:dyDescent="0.25">
      <c r="A124" s="2" t="s">
        <v>13</v>
      </c>
      <c r="B124" s="4">
        <v>45978</v>
      </c>
      <c r="C124" s="5">
        <v>0.82803240740740736</v>
      </c>
      <c r="D124" t="s">
        <v>4</v>
      </c>
      <c r="E124" t="s">
        <v>9</v>
      </c>
      <c r="H124" t="s">
        <v>2936</v>
      </c>
      <c r="I124" t="s">
        <v>2391</v>
      </c>
      <c r="J124" t="s">
        <v>2993</v>
      </c>
      <c r="K124" t="s">
        <v>2392</v>
      </c>
      <c r="L124" t="s">
        <v>2393</v>
      </c>
      <c r="M124" s="3" t="str">
        <f>HYPERLINK(склад2въезд13192021222[[#This Row],[RelativePath]])</f>
        <v>9 Ангар пилорама\E33149364_1_20251117T195222Z.jpg</v>
      </c>
    </row>
    <row r="125" spans="1:13" x14ac:dyDescent="0.25">
      <c r="A125" s="2" t="s">
        <v>13</v>
      </c>
      <c r="B125" s="4">
        <v>45978</v>
      </c>
      <c r="C125" s="5">
        <v>0.97770833333333329</v>
      </c>
      <c r="D125" t="s">
        <v>4</v>
      </c>
      <c r="E125" t="s">
        <v>9</v>
      </c>
      <c r="H125" t="s">
        <v>2936</v>
      </c>
      <c r="I125" t="s">
        <v>2394</v>
      </c>
      <c r="J125" t="s">
        <v>2993</v>
      </c>
      <c r="K125" t="s">
        <v>2395</v>
      </c>
      <c r="L125" t="s">
        <v>2396</v>
      </c>
      <c r="M125" s="3" t="str">
        <f>HYPERLINK(склад2въезд13192021222[[#This Row],[RelativePath]])</f>
        <v>9 Ангар пилорама\E33149364_1_20251117T232754Z.jpg</v>
      </c>
    </row>
    <row r="126" spans="1:13" x14ac:dyDescent="0.25">
      <c r="A126" s="2" t="s">
        <v>14</v>
      </c>
      <c r="B126" s="4">
        <v>45979</v>
      </c>
      <c r="C126" s="5">
        <v>0.38049768518518517</v>
      </c>
      <c r="D126" t="s">
        <v>4</v>
      </c>
      <c r="E126" t="s">
        <v>9</v>
      </c>
      <c r="H126" t="s">
        <v>2936</v>
      </c>
      <c r="I126" t="s">
        <v>2397</v>
      </c>
      <c r="J126" t="s">
        <v>2993</v>
      </c>
      <c r="K126" t="s">
        <v>2398</v>
      </c>
      <c r="L126" t="s">
        <v>2399</v>
      </c>
      <c r="M126" s="3" t="str">
        <f>HYPERLINK(склад2въезд13192021222[[#This Row],[RelativePath]])</f>
        <v>9 Ангар пилорама\E33149364_1_20251118T090755Z.jpg</v>
      </c>
    </row>
    <row r="127" spans="1:13" x14ac:dyDescent="0.25">
      <c r="A127" s="2" t="s">
        <v>14</v>
      </c>
      <c r="B127" s="4">
        <v>45979</v>
      </c>
      <c r="C127" s="5">
        <v>0.38072916666666667</v>
      </c>
      <c r="D127" t="s">
        <v>4</v>
      </c>
      <c r="E127" t="s">
        <v>9</v>
      </c>
      <c r="I127" t="s">
        <v>2400</v>
      </c>
      <c r="J127" t="s">
        <v>2993</v>
      </c>
      <c r="K127" t="s">
        <v>2401</v>
      </c>
      <c r="L127" t="s">
        <v>2402</v>
      </c>
      <c r="M127" s="3" t="str">
        <f>HYPERLINK(склад2въезд13192021222[[#This Row],[RelativePath]])</f>
        <v>9 Ангар пилорама\E33149364_1_20251118T090815Z.jpg</v>
      </c>
    </row>
    <row r="128" spans="1:13" x14ac:dyDescent="0.25">
      <c r="A128" s="2" t="s">
        <v>14</v>
      </c>
      <c r="B128" s="4">
        <v>45979</v>
      </c>
      <c r="C128" s="5">
        <v>0.38086805555555553</v>
      </c>
      <c r="D128" t="s">
        <v>1091</v>
      </c>
      <c r="E128" t="s">
        <v>1607</v>
      </c>
      <c r="F128" t="s">
        <v>58</v>
      </c>
      <c r="I128" t="s">
        <v>2403</v>
      </c>
      <c r="J128" t="s">
        <v>2993</v>
      </c>
      <c r="K128" t="s">
        <v>2404</v>
      </c>
      <c r="L128" t="s">
        <v>2405</v>
      </c>
      <c r="M128" s="3" t="str">
        <f>HYPERLINK(склад2въезд13192021222[[#This Row],[RelativePath]])</f>
        <v>9 Ангар пилорама\E33149364_1_20251118T090827Z.jpg</v>
      </c>
    </row>
    <row r="129" spans="1:13" x14ac:dyDescent="0.25">
      <c r="A129" s="2" t="s">
        <v>14</v>
      </c>
      <c r="B129" s="4">
        <v>45979</v>
      </c>
      <c r="C129" s="5">
        <v>0.38098379629629631</v>
      </c>
      <c r="D129" t="s">
        <v>1091</v>
      </c>
      <c r="E129" t="s">
        <v>1607</v>
      </c>
      <c r="F129" t="s">
        <v>58</v>
      </c>
      <c r="I129" t="s">
        <v>2406</v>
      </c>
      <c r="J129" t="s">
        <v>2993</v>
      </c>
      <c r="K129" t="s">
        <v>2407</v>
      </c>
      <c r="L129" t="s">
        <v>2408</v>
      </c>
      <c r="M129" s="3" t="str">
        <f>HYPERLINK(склад2въезд13192021222[[#This Row],[RelativePath]])</f>
        <v>9 Ангар пилорама\E33149364_1_20251118T090837Z.jpg</v>
      </c>
    </row>
    <row r="130" spans="1:13" x14ac:dyDescent="0.25">
      <c r="A130" s="2" t="s">
        <v>14</v>
      </c>
      <c r="B130" s="4">
        <v>45979</v>
      </c>
      <c r="C130" s="5">
        <v>0.38143518518518521</v>
      </c>
      <c r="D130" t="s">
        <v>1091</v>
      </c>
      <c r="E130" t="s">
        <v>1607</v>
      </c>
      <c r="F130" t="s">
        <v>58</v>
      </c>
      <c r="I130" t="s">
        <v>2409</v>
      </c>
      <c r="J130" t="s">
        <v>2993</v>
      </c>
      <c r="K130" t="s">
        <v>2410</v>
      </c>
      <c r="L130" t="s">
        <v>2411</v>
      </c>
      <c r="M130" s="3" t="str">
        <f>HYPERLINK(склад2въезд13192021222[[#This Row],[RelativePath]])</f>
        <v>9 Ангар пилорама\E33149364_1_20251118T090916Z.jpg</v>
      </c>
    </row>
    <row r="131" spans="1:13" x14ac:dyDescent="0.25">
      <c r="A131" s="2" t="s">
        <v>14</v>
      </c>
      <c r="B131" s="4">
        <v>45979</v>
      </c>
      <c r="C131" s="5">
        <v>0.38604166666666667</v>
      </c>
      <c r="D131" t="s">
        <v>1091</v>
      </c>
      <c r="E131" t="s">
        <v>1607</v>
      </c>
      <c r="F131" t="s">
        <v>58</v>
      </c>
      <c r="I131" t="s">
        <v>2412</v>
      </c>
      <c r="J131" t="s">
        <v>2993</v>
      </c>
      <c r="K131" t="s">
        <v>2413</v>
      </c>
      <c r="L131" t="s">
        <v>2414</v>
      </c>
      <c r="M131" s="3" t="str">
        <f>HYPERLINK(склад2въезд13192021222[[#This Row],[RelativePath]])</f>
        <v>9 Ангар пилорама\E33149364_1_20251118T091554Z.jpg</v>
      </c>
    </row>
    <row r="132" spans="1:13" x14ac:dyDescent="0.25">
      <c r="A132" s="2" t="s">
        <v>14</v>
      </c>
      <c r="B132" s="4">
        <v>45979</v>
      </c>
      <c r="C132" s="5">
        <v>0.38738425925925923</v>
      </c>
      <c r="D132" t="s">
        <v>2943</v>
      </c>
      <c r="H132" t="s">
        <v>2942</v>
      </c>
      <c r="I132" t="s">
        <v>2415</v>
      </c>
      <c r="J132" t="s">
        <v>2993</v>
      </c>
      <c r="K132" t="s">
        <v>2416</v>
      </c>
      <c r="L132" t="s">
        <v>2417</v>
      </c>
      <c r="M132" s="3" t="str">
        <f>HYPERLINK(склад2въезд13192021222[[#This Row],[RelativePath]])</f>
        <v>9 Ангар пилорама\E33149364_1_20251118T091750Z.jpg</v>
      </c>
    </row>
    <row r="133" spans="1:13" x14ac:dyDescent="0.25">
      <c r="A133" s="2" t="s">
        <v>14</v>
      </c>
      <c r="B133" s="4">
        <v>45979</v>
      </c>
      <c r="C133" s="5">
        <v>0.38805555555555554</v>
      </c>
      <c r="D133" t="s">
        <v>1091</v>
      </c>
      <c r="E133" t="s">
        <v>1607</v>
      </c>
      <c r="F133" t="s">
        <v>2951</v>
      </c>
      <c r="I133" t="s">
        <v>2418</v>
      </c>
      <c r="J133" t="s">
        <v>2993</v>
      </c>
      <c r="K133" t="s">
        <v>2419</v>
      </c>
      <c r="L133" t="s">
        <v>2420</v>
      </c>
      <c r="M133" s="3" t="str">
        <f>HYPERLINK(склад2въезд13192021222[[#This Row],[RelativePath]])</f>
        <v>9 Ангар пилорама\E33149364_1_20251118T091848Z.jpg</v>
      </c>
    </row>
    <row r="134" spans="1:13" x14ac:dyDescent="0.25">
      <c r="A134" s="2" t="s">
        <v>14</v>
      </c>
      <c r="B134" s="4">
        <v>45979</v>
      </c>
      <c r="C134" s="5">
        <v>0.38916666666666666</v>
      </c>
      <c r="D134" t="s">
        <v>4</v>
      </c>
      <c r="E134" t="s">
        <v>9</v>
      </c>
      <c r="I134" t="s">
        <v>2421</v>
      </c>
      <c r="J134" t="s">
        <v>2993</v>
      </c>
      <c r="K134" t="s">
        <v>2422</v>
      </c>
      <c r="L134" t="s">
        <v>2423</v>
      </c>
      <c r="M134" s="3" t="str">
        <f>HYPERLINK(склад2въезд13192021222[[#This Row],[RelativePath]])</f>
        <v>9 Ангар пилорама\E33149364_1_20251118T092024Z.jpg</v>
      </c>
    </row>
    <row r="135" spans="1:13" x14ac:dyDescent="0.25">
      <c r="A135" s="2" t="s">
        <v>14</v>
      </c>
      <c r="B135" s="4">
        <v>45979</v>
      </c>
      <c r="C135" s="5">
        <v>0.40920138888888891</v>
      </c>
      <c r="D135" t="s">
        <v>1091</v>
      </c>
      <c r="E135" t="s">
        <v>1607</v>
      </c>
      <c r="F135" t="s">
        <v>58</v>
      </c>
      <c r="I135" t="s">
        <v>2424</v>
      </c>
      <c r="J135" t="s">
        <v>2993</v>
      </c>
      <c r="K135" t="s">
        <v>2425</v>
      </c>
      <c r="L135" t="s">
        <v>2426</v>
      </c>
      <c r="M135" s="3" t="str">
        <f>HYPERLINK(склад2въезд13192021222[[#This Row],[RelativePath]])</f>
        <v>9 Ангар пилорама\E33149364_1_20251118T094915Z.jpg</v>
      </c>
    </row>
    <row r="136" spans="1:13" x14ac:dyDescent="0.25">
      <c r="A136" s="2" t="s">
        <v>14</v>
      </c>
      <c r="B136" s="4">
        <v>45979</v>
      </c>
      <c r="C136" s="5">
        <v>0.41859953703703706</v>
      </c>
      <c r="D136" t="s">
        <v>1091</v>
      </c>
      <c r="E136" t="s">
        <v>1607</v>
      </c>
      <c r="F136" t="s">
        <v>58</v>
      </c>
      <c r="I136" t="s">
        <v>2427</v>
      </c>
      <c r="J136" t="s">
        <v>2993</v>
      </c>
      <c r="K136" t="s">
        <v>2428</v>
      </c>
      <c r="L136" t="s">
        <v>2429</v>
      </c>
      <c r="M136" s="3" t="str">
        <f>HYPERLINK(склад2въезд13192021222[[#This Row],[RelativePath]])</f>
        <v>9 Ангар пилорама\E33149364_1_20251118T100247Z.jpg</v>
      </c>
    </row>
    <row r="137" spans="1:13" x14ac:dyDescent="0.25">
      <c r="A137" s="2" t="s">
        <v>14</v>
      </c>
      <c r="B137" s="4">
        <v>45979</v>
      </c>
      <c r="C137" s="5">
        <v>0.42700231481481482</v>
      </c>
      <c r="D137" t="s">
        <v>1091</v>
      </c>
      <c r="E137" t="s">
        <v>1607</v>
      </c>
      <c r="F137" t="s">
        <v>58</v>
      </c>
      <c r="H137" t="s">
        <v>2936</v>
      </c>
      <c r="I137" t="s">
        <v>2430</v>
      </c>
      <c r="J137" t="s">
        <v>2993</v>
      </c>
      <c r="K137" t="s">
        <v>2431</v>
      </c>
      <c r="L137" t="s">
        <v>2432</v>
      </c>
      <c r="M137" s="3" t="str">
        <f>HYPERLINK(склад2въезд13192021222[[#This Row],[RelativePath]])</f>
        <v>9 Ангар пилорама\E33149364_1_20251118T101453Z.jpg</v>
      </c>
    </row>
    <row r="138" spans="1:13" x14ac:dyDescent="0.25">
      <c r="A138" s="2" t="s">
        <v>14</v>
      </c>
      <c r="B138" s="4">
        <v>45979</v>
      </c>
      <c r="C138" s="5">
        <v>0.50777777777777777</v>
      </c>
      <c r="D138" t="s">
        <v>4</v>
      </c>
      <c r="E138" t="s">
        <v>9</v>
      </c>
      <c r="H138" t="s">
        <v>2936</v>
      </c>
      <c r="I138" t="s">
        <v>2433</v>
      </c>
      <c r="J138" t="s">
        <v>2993</v>
      </c>
      <c r="K138" t="s">
        <v>2434</v>
      </c>
      <c r="L138" t="s">
        <v>2435</v>
      </c>
      <c r="M138" s="3" t="str">
        <f>HYPERLINK(склад2въезд13192021222[[#This Row],[RelativePath]])</f>
        <v>9 Ангар пилорама\E33149364_1_20251118T121112Z.jpg</v>
      </c>
    </row>
    <row r="139" spans="1:13" x14ac:dyDescent="0.25">
      <c r="A139" s="2" t="s">
        <v>14</v>
      </c>
      <c r="B139" s="4">
        <v>45979</v>
      </c>
      <c r="C139" s="5">
        <v>0.74966435185185187</v>
      </c>
      <c r="D139" t="s">
        <v>4</v>
      </c>
      <c r="E139" t="s">
        <v>9</v>
      </c>
      <c r="H139" t="s">
        <v>2936</v>
      </c>
      <c r="I139" t="s">
        <v>2436</v>
      </c>
      <c r="J139" t="s">
        <v>2993</v>
      </c>
      <c r="K139" t="s">
        <v>2437</v>
      </c>
      <c r="L139" t="s">
        <v>2438</v>
      </c>
      <c r="M139" s="3" t="str">
        <f>HYPERLINK(склад2въезд13192021222[[#This Row],[RelativePath]])</f>
        <v>9 Ангар пилорама\E33149364_1_20251118T175931Z.jpg</v>
      </c>
    </row>
    <row r="140" spans="1:13" x14ac:dyDescent="0.25">
      <c r="A140" s="2" t="s">
        <v>14</v>
      </c>
      <c r="B140" s="4">
        <v>45979</v>
      </c>
      <c r="C140" s="5">
        <v>0.76224537037037032</v>
      </c>
      <c r="D140" t="s">
        <v>4</v>
      </c>
      <c r="E140" t="s">
        <v>9</v>
      </c>
      <c r="H140" t="s">
        <v>2936</v>
      </c>
      <c r="I140" t="s">
        <v>2439</v>
      </c>
      <c r="J140" t="s">
        <v>2993</v>
      </c>
      <c r="K140" t="s">
        <v>2440</v>
      </c>
      <c r="L140" t="s">
        <v>2441</v>
      </c>
      <c r="M140" s="3" t="str">
        <f>HYPERLINK(склад2въезд13192021222[[#This Row],[RelativePath]])</f>
        <v>9 Ангар пилорама\E33149364_1_20251118T181738Z.jpg</v>
      </c>
    </row>
    <row r="141" spans="1:13" x14ac:dyDescent="0.25">
      <c r="A141" s="2" t="s">
        <v>14</v>
      </c>
      <c r="B141" s="4">
        <v>45979</v>
      </c>
      <c r="C141" s="5">
        <v>0.84546296296296297</v>
      </c>
      <c r="D141" t="s">
        <v>4</v>
      </c>
      <c r="E141" t="s">
        <v>9</v>
      </c>
      <c r="H141" t="s">
        <v>2936</v>
      </c>
      <c r="I141" t="s">
        <v>2442</v>
      </c>
      <c r="J141" t="s">
        <v>2993</v>
      </c>
      <c r="K141" t="s">
        <v>2443</v>
      </c>
      <c r="L141" t="s">
        <v>2444</v>
      </c>
      <c r="M141" s="3" t="str">
        <f>HYPERLINK(склад2въезд13192021222[[#This Row],[RelativePath]])</f>
        <v>9 Ангар пилорама\E33149364_1_20251118T201728Z.jpg</v>
      </c>
    </row>
    <row r="142" spans="1:13" x14ac:dyDescent="0.25">
      <c r="A142" s="2" t="s">
        <v>14</v>
      </c>
      <c r="B142" s="4">
        <v>45979</v>
      </c>
      <c r="C142" s="5">
        <v>0.89384259259259258</v>
      </c>
      <c r="D142" t="s">
        <v>4</v>
      </c>
      <c r="E142" t="s">
        <v>9</v>
      </c>
      <c r="H142" t="s">
        <v>2936</v>
      </c>
      <c r="I142" t="s">
        <v>2445</v>
      </c>
      <c r="J142" t="s">
        <v>2993</v>
      </c>
      <c r="K142" t="s">
        <v>2446</v>
      </c>
      <c r="L142" t="s">
        <v>2447</v>
      </c>
      <c r="M142" s="3" t="str">
        <f>HYPERLINK(склад2въезд13192021222[[#This Row],[RelativePath]])</f>
        <v>9 Ангар пилорама\E33149364_1_20251118T212708Z.jpg</v>
      </c>
    </row>
    <row r="143" spans="1:13" x14ac:dyDescent="0.25">
      <c r="A143" s="2" t="s">
        <v>14</v>
      </c>
      <c r="B143" s="4">
        <v>45979</v>
      </c>
      <c r="C143" s="5">
        <v>0.91803240740740744</v>
      </c>
      <c r="D143" t="s">
        <v>4</v>
      </c>
      <c r="E143" t="s">
        <v>9</v>
      </c>
      <c r="H143" t="s">
        <v>2936</v>
      </c>
      <c r="I143" t="s">
        <v>2448</v>
      </c>
      <c r="J143" t="s">
        <v>2993</v>
      </c>
      <c r="K143" t="s">
        <v>2449</v>
      </c>
      <c r="L143" t="s">
        <v>2450</v>
      </c>
      <c r="M143" s="3" t="str">
        <f>HYPERLINK(склад2въезд13192021222[[#This Row],[RelativePath]])</f>
        <v>9 Ангар пилорама\E33149364_1_20251118T220158Z.jpg</v>
      </c>
    </row>
    <row r="144" spans="1:13" x14ac:dyDescent="0.25">
      <c r="A144" s="2" t="s">
        <v>15</v>
      </c>
      <c r="B144" s="4">
        <v>45980</v>
      </c>
      <c r="C144" s="5">
        <v>3.5324074074074077E-2</v>
      </c>
      <c r="D144" t="s">
        <v>4</v>
      </c>
      <c r="E144" t="s">
        <v>9</v>
      </c>
      <c r="H144" t="s">
        <v>2936</v>
      </c>
      <c r="I144" t="s">
        <v>2451</v>
      </c>
      <c r="J144" t="s">
        <v>2993</v>
      </c>
      <c r="K144" t="s">
        <v>2452</v>
      </c>
      <c r="L144" t="s">
        <v>2453</v>
      </c>
      <c r="M144" s="3" t="str">
        <f>HYPERLINK(склад2въезд13192021222[[#This Row],[RelativePath]])</f>
        <v>9 Ангар пилорама\E33149364_1_20251119T005052Z.jpg</v>
      </c>
    </row>
    <row r="145" spans="1:13" x14ac:dyDescent="0.25">
      <c r="A145" s="2" t="s">
        <v>15</v>
      </c>
      <c r="B145" s="4">
        <v>45980</v>
      </c>
      <c r="C145" s="5">
        <v>0.45837962962962964</v>
      </c>
      <c r="D145" t="s">
        <v>4</v>
      </c>
      <c r="E145" t="s">
        <v>9</v>
      </c>
      <c r="H145" t="s">
        <v>2936</v>
      </c>
      <c r="I145" t="s">
        <v>2454</v>
      </c>
      <c r="J145" t="s">
        <v>2993</v>
      </c>
      <c r="K145" t="s">
        <v>2455</v>
      </c>
      <c r="L145" t="s">
        <v>2456</v>
      </c>
      <c r="M145" s="3" t="str">
        <f>HYPERLINK(склад2въезд13192021222[[#This Row],[RelativePath]])</f>
        <v>9 Ангар пилорама\E33149364_1_20251119T110004Z.jpg</v>
      </c>
    </row>
    <row r="146" spans="1:13" x14ac:dyDescent="0.25">
      <c r="A146" s="2" t="s">
        <v>15</v>
      </c>
      <c r="B146" s="4">
        <v>45980</v>
      </c>
      <c r="C146" s="5">
        <v>0.4622337962962963</v>
      </c>
      <c r="D146" t="s">
        <v>1091</v>
      </c>
      <c r="E146" t="s">
        <v>1607</v>
      </c>
      <c r="F146" t="s">
        <v>2944</v>
      </c>
      <c r="I146" t="s">
        <v>2457</v>
      </c>
      <c r="J146" t="s">
        <v>2993</v>
      </c>
      <c r="K146" t="s">
        <v>2458</v>
      </c>
      <c r="L146" t="s">
        <v>2459</v>
      </c>
      <c r="M146" s="3" t="str">
        <f>HYPERLINK(склад2въезд13192021222[[#This Row],[RelativePath]])</f>
        <v>9 Ангар пилорама\E33149364_1_20251119T110537Z.jpg</v>
      </c>
    </row>
    <row r="147" spans="1:13" x14ac:dyDescent="0.25">
      <c r="A147" s="2" t="s">
        <v>15</v>
      </c>
      <c r="B147" s="4">
        <v>45980</v>
      </c>
      <c r="C147" s="5">
        <v>0.46732638888888889</v>
      </c>
      <c r="D147" t="s">
        <v>1091</v>
      </c>
      <c r="E147" t="s">
        <v>2940</v>
      </c>
      <c r="F147" t="s">
        <v>2944</v>
      </c>
      <c r="I147" t="s">
        <v>2460</v>
      </c>
      <c r="J147" t="s">
        <v>2993</v>
      </c>
      <c r="K147" t="s">
        <v>2461</v>
      </c>
      <c r="L147" t="s">
        <v>2462</v>
      </c>
      <c r="M147" s="3" t="str">
        <f>HYPERLINK(склад2въезд13192021222[[#This Row],[RelativePath]])</f>
        <v>9 Ангар пилорама\E33149364_1_20251119T111257Z.jpg</v>
      </c>
    </row>
    <row r="148" spans="1:13" x14ac:dyDescent="0.25">
      <c r="A148" s="2" t="s">
        <v>15</v>
      </c>
      <c r="B148" s="4">
        <v>45980</v>
      </c>
      <c r="C148" s="5">
        <v>0.47152777777777777</v>
      </c>
      <c r="D148" t="s">
        <v>1091</v>
      </c>
      <c r="E148" t="s">
        <v>1607</v>
      </c>
      <c r="F148" t="s">
        <v>1093</v>
      </c>
      <c r="I148" t="s">
        <v>2463</v>
      </c>
      <c r="J148" t="s">
        <v>2993</v>
      </c>
      <c r="K148" t="s">
        <v>2464</v>
      </c>
      <c r="L148" t="s">
        <v>2465</v>
      </c>
      <c r="M148" s="3" t="str">
        <f>HYPERLINK(склад2въезд13192021222[[#This Row],[RelativePath]])</f>
        <v>9 Ангар пилорама\E33149364_1_20251119T111900Z.jpg</v>
      </c>
    </row>
    <row r="149" spans="1:13" x14ac:dyDescent="0.25">
      <c r="A149" s="2" t="s">
        <v>15</v>
      </c>
      <c r="B149" s="4">
        <v>45980</v>
      </c>
      <c r="C149" s="5">
        <v>0.47953703703703704</v>
      </c>
      <c r="D149" t="s">
        <v>4</v>
      </c>
      <c r="E149" t="s">
        <v>9</v>
      </c>
      <c r="I149" t="s">
        <v>2466</v>
      </c>
      <c r="J149" t="s">
        <v>2993</v>
      </c>
      <c r="K149" t="s">
        <v>2467</v>
      </c>
      <c r="L149" t="s">
        <v>2468</v>
      </c>
      <c r="M149" s="3" t="str">
        <f>HYPERLINK(склад2въезд13192021222[[#This Row],[RelativePath]])</f>
        <v>9 Ангар пилорама\E33149364_1_20251119T113032Z.jpg</v>
      </c>
    </row>
    <row r="150" spans="1:13" x14ac:dyDescent="0.25">
      <c r="A150" s="2" t="s">
        <v>15</v>
      </c>
      <c r="B150" s="4">
        <v>45980</v>
      </c>
      <c r="C150" s="5">
        <v>0.52896990740740746</v>
      </c>
      <c r="D150" t="s">
        <v>2945</v>
      </c>
      <c r="E150" t="s">
        <v>1607</v>
      </c>
      <c r="I150" t="s">
        <v>2469</v>
      </c>
      <c r="J150" t="s">
        <v>2993</v>
      </c>
      <c r="K150" t="s">
        <v>2470</v>
      </c>
      <c r="L150" t="s">
        <v>2471</v>
      </c>
      <c r="M150" s="3" t="str">
        <f>HYPERLINK(склад2въезд13192021222[[#This Row],[RelativePath]])</f>
        <v>9 Ангар пилорама\E33149364_1_20251119T124143Z.jpg</v>
      </c>
    </row>
    <row r="151" spans="1:13" x14ac:dyDescent="0.25">
      <c r="A151" s="2" t="s">
        <v>15</v>
      </c>
      <c r="B151" s="4">
        <v>45980</v>
      </c>
      <c r="C151" s="5">
        <v>0.53153935185185186</v>
      </c>
      <c r="D151" t="s">
        <v>2946</v>
      </c>
      <c r="E151" t="s">
        <v>1607</v>
      </c>
      <c r="I151" t="s">
        <v>2472</v>
      </c>
      <c r="J151" t="s">
        <v>2993</v>
      </c>
      <c r="K151" t="s">
        <v>2473</v>
      </c>
      <c r="L151" t="s">
        <v>2474</v>
      </c>
      <c r="M151" s="3" t="str">
        <f>HYPERLINK(склад2въезд13192021222[[#This Row],[RelativePath]])</f>
        <v>9 Ангар пилорама\E33149364_1_20251119T124525Z.jpg</v>
      </c>
    </row>
    <row r="152" spans="1:13" x14ac:dyDescent="0.25">
      <c r="A152" s="2" t="s">
        <v>15</v>
      </c>
      <c r="B152" s="4">
        <v>45980</v>
      </c>
      <c r="C152" s="5">
        <v>0.53238425925925925</v>
      </c>
      <c r="D152" t="s">
        <v>4</v>
      </c>
      <c r="E152" t="s">
        <v>9</v>
      </c>
      <c r="I152" t="s">
        <v>2475</v>
      </c>
      <c r="J152" t="s">
        <v>2993</v>
      </c>
      <c r="K152" t="s">
        <v>2476</v>
      </c>
      <c r="L152" t="s">
        <v>2477</v>
      </c>
      <c r="M152" s="3" t="str">
        <f>HYPERLINK(склад2въезд13192021222[[#This Row],[RelativePath]])</f>
        <v>9 Ангар пилорама\E33149364_1_20251119T124638Z.jpg</v>
      </c>
    </row>
    <row r="153" spans="1:13" x14ac:dyDescent="0.25">
      <c r="A153" s="2" t="s">
        <v>15</v>
      </c>
      <c r="B153" s="4">
        <v>45980</v>
      </c>
      <c r="C153" s="5">
        <v>0.5335185185185185</v>
      </c>
      <c r="D153" t="s">
        <v>4</v>
      </c>
      <c r="E153" t="s">
        <v>9</v>
      </c>
      <c r="H153" t="s">
        <v>2936</v>
      </c>
      <c r="I153" t="s">
        <v>2478</v>
      </c>
      <c r="J153" t="s">
        <v>2993</v>
      </c>
      <c r="K153" t="s">
        <v>2479</v>
      </c>
      <c r="L153" t="s">
        <v>2480</v>
      </c>
      <c r="M153" s="3" t="str">
        <f>HYPERLINK(склад2въезд13192021222[[#This Row],[RelativePath]])</f>
        <v>9 Ангар пилорама\E33149364_1_20251119T124816Z.jpg</v>
      </c>
    </row>
    <row r="154" spans="1:13" x14ac:dyDescent="0.25">
      <c r="A154" s="2" t="s">
        <v>15</v>
      </c>
      <c r="B154" s="4">
        <v>45980</v>
      </c>
      <c r="C154" s="5">
        <v>0.53781250000000003</v>
      </c>
      <c r="D154" t="s">
        <v>4</v>
      </c>
      <c r="E154" t="s">
        <v>9</v>
      </c>
      <c r="H154" t="s">
        <v>2936</v>
      </c>
      <c r="I154" t="s">
        <v>2481</v>
      </c>
      <c r="J154" t="s">
        <v>2993</v>
      </c>
      <c r="K154" t="s">
        <v>2482</v>
      </c>
      <c r="L154" t="s">
        <v>2483</v>
      </c>
      <c r="M154" s="3" t="str">
        <f>HYPERLINK(склад2въезд13192021222[[#This Row],[RelativePath]])</f>
        <v>9 Ангар пилорама\E33149364_1_20251119T125427Z.jpg</v>
      </c>
    </row>
    <row r="155" spans="1:13" x14ac:dyDescent="0.25">
      <c r="A155" s="2" t="s">
        <v>15</v>
      </c>
      <c r="B155" s="4">
        <v>45980</v>
      </c>
      <c r="C155" s="5">
        <v>0.5425578703703704</v>
      </c>
      <c r="D155" t="s">
        <v>1091</v>
      </c>
      <c r="E155" t="s">
        <v>1607</v>
      </c>
      <c r="F155" t="s">
        <v>58</v>
      </c>
      <c r="I155" t="s">
        <v>2484</v>
      </c>
      <c r="J155" t="s">
        <v>2993</v>
      </c>
      <c r="K155" t="s">
        <v>2485</v>
      </c>
      <c r="L155" t="s">
        <v>2486</v>
      </c>
      <c r="M155" s="3" t="str">
        <f>HYPERLINK(склад2въезд13192021222[[#This Row],[RelativePath]])</f>
        <v>9 Ангар пилорама\E33149364_1_20251119T130117Z.jpg</v>
      </c>
    </row>
    <row r="156" spans="1:13" x14ac:dyDescent="0.25">
      <c r="A156" s="2" t="s">
        <v>16</v>
      </c>
      <c r="B156" s="4">
        <v>45981</v>
      </c>
      <c r="C156" s="5">
        <v>0.48417824074074073</v>
      </c>
      <c r="D156" t="s">
        <v>4</v>
      </c>
      <c r="E156" t="s">
        <v>9</v>
      </c>
      <c r="H156" t="s">
        <v>2936</v>
      </c>
      <c r="I156" t="s">
        <v>2487</v>
      </c>
      <c r="J156" t="s">
        <v>2993</v>
      </c>
      <c r="K156" t="s">
        <v>2488</v>
      </c>
      <c r="L156" t="s">
        <v>2489</v>
      </c>
      <c r="M156" s="3" t="str">
        <f>HYPERLINK(склад2въезд13192021222[[#This Row],[RelativePath]])</f>
        <v>9 Ангар пилорама\E33149364_1_20251120T113713Z.jpg</v>
      </c>
    </row>
    <row r="157" spans="1:13" x14ac:dyDescent="0.25">
      <c r="A157" s="2" t="s">
        <v>16</v>
      </c>
      <c r="B157" s="4">
        <v>45981</v>
      </c>
      <c r="C157" s="5">
        <v>0.60245370370370366</v>
      </c>
      <c r="D157" t="s">
        <v>4</v>
      </c>
      <c r="E157" t="s">
        <v>9</v>
      </c>
      <c r="H157" t="s">
        <v>2936</v>
      </c>
      <c r="I157" t="s">
        <v>2490</v>
      </c>
      <c r="J157" t="s">
        <v>2993</v>
      </c>
      <c r="K157" t="s">
        <v>2491</v>
      </c>
      <c r="L157" t="s">
        <v>2492</v>
      </c>
      <c r="M157" s="3" t="str">
        <f>HYPERLINK(склад2въезд13192021222[[#This Row],[RelativePath]])</f>
        <v>9 Ангар пилорама\E33149364_1_20251120T142732Z.jpg</v>
      </c>
    </row>
    <row r="158" spans="1:13" x14ac:dyDescent="0.25">
      <c r="A158" s="2" t="s">
        <v>16</v>
      </c>
      <c r="B158" s="4">
        <v>45981</v>
      </c>
      <c r="C158" s="5">
        <v>0.70665509259259263</v>
      </c>
      <c r="D158" t="s">
        <v>4</v>
      </c>
      <c r="E158" t="s">
        <v>2947</v>
      </c>
      <c r="I158" t="s">
        <v>2493</v>
      </c>
      <c r="J158" t="s">
        <v>2993</v>
      </c>
      <c r="K158" t="s">
        <v>2494</v>
      </c>
      <c r="L158" t="s">
        <v>2495</v>
      </c>
      <c r="M158" s="3" t="str">
        <f>HYPERLINK(склад2въезд13192021222[[#This Row],[RelativePath]])</f>
        <v>9 Ангар пилорама\E33149364_1_20251120T165735Z.jpg</v>
      </c>
    </row>
    <row r="159" spans="1:13" x14ac:dyDescent="0.25">
      <c r="A159" s="2" t="s">
        <v>17</v>
      </c>
      <c r="B159" s="4">
        <v>45982</v>
      </c>
      <c r="C159" s="5">
        <v>0.37589120370370371</v>
      </c>
      <c r="D159" t="s">
        <v>4</v>
      </c>
      <c r="E159" t="s">
        <v>9</v>
      </c>
      <c r="I159" t="s">
        <v>2496</v>
      </c>
      <c r="J159" t="s">
        <v>2993</v>
      </c>
      <c r="K159" t="s">
        <v>2497</v>
      </c>
      <c r="L159" t="s">
        <v>2498</v>
      </c>
      <c r="M159" s="3" t="str">
        <f>HYPERLINK(склад2въезд13192021222[[#This Row],[RelativePath]])</f>
        <v>9 Ангар пилорама\E33149364_1_20251121T090117Z.jpg</v>
      </c>
    </row>
    <row r="160" spans="1:13" x14ac:dyDescent="0.25">
      <c r="A160" s="2" t="s">
        <v>17</v>
      </c>
      <c r="B160" s="4">
        <v>45982</v>
      </c>
      <c r="C160" s="5">
        <v>0.38063657407407409</v>
      </c>
      <c r="D160" t="s">
        <v>1091</v>
      </c>
      <c r="E160" t="s">
        <v>2940</v>
      </c>
      <c r="F160" t="s">
        <v>58</v>
      </c>
      <c r="I160" t="s">
        <v>2499</v>
      </c>
      <c r="J160" t="s">
        <v>2993</v>
      </c>
      <c r="K160" t="s">
        <v>2500</v>
      </c>
      <c r="L160" t="s">
        <v>2501</v>
      </c>
      <c r="M160" s="3" t="str">
        <f>HYPERLINK(склад2въезд13192021222[[#This Row],[RelativePath]])</f>
        <v>9 Ангар пилорама\E33149364_1_20251121T090807Z.jpg</v>
      </c>
    </row>
    <row r="161" spans="1:13" x14ac:dyDescent="0.25">
      <c r="A161" s="2" t="s">
        <v>17</v>
      </c>
      <c r="B161" s="4">
        <v>45982</v>
      </c>
      <c r="C161" s="5">
        <v>0.38570601851851855</v>
      </c>
      <c r="D161" t="s">
        <v>4</v>
      </c>
      <c r="E161" t="s">
        <v>9</v>
      </c>
      <c r="H161" t="s">
        <v>2936</v>
      </c>
      <c r="I161" t="s">
        <v>2502</v>
      </c>
      <c r="J161" t="s">
        <v>2993</v>
      </c>
      <c r="K161" t="s">
        <v>2503</v>
      </c>
      <c r="L161" t="s">
        <v>2504</v>
      </c>
      <c r="M161" s="3" t="str">
        <f>HYPERLINK(склад2въезд13192021222[[#This Row],[RelativePath]])</f>
        <v>9 Ангар пилорама\E33149364_1_20251121T091525Z.jpg</v>
      </c>
    </row>
    <row r="162" spans="1:13" x14ac:dyDescent="0.25">
      <c r="A162" s="2" t="s">
        <v>17</v>
      </c>
      <c r="B162" s="4">
        <v>45982</v>
      </c>
      <c r="C162" s="5">
        <v>0.61759259259259258</v>
      </c>
      <c r="D162" t="s">
        <v>1091</v>
      </c>
      <c r="E162" t="s">
        <v>1607</v>
      </c>
      <c r="F162" t="s">
        <v>58</v>
      </c>
      <c r="I162" t="s">
        <v>2505</v>
      </c>
      <c r="J162" t="s">
        <v>2993</v>
      </c>
      <c r="K162" t="s">
        <v>2506</v>
      </c>
      <c r="L162" t="s">
        <v>2507</v>
      </c>
      <c r="M162" s="3" t="str">
        <f>HYPERLINK(склад2въезд13192021222[[#This Row],[RelativePath]])</f>
        <v>9 Ангар пилорама\E33149364_1_20251121T144920Z.jpg</v>
      </c>
    </row>
    <row r="163" spans="1:13" x14ac:dyDescent="0.25">
      <c r="A163" s="2" t="s">
        <v>17</v>
      </c>
      <c r="B163" s="4">
        <v>45982</v>
      </c>
      <c r="C163" s="5">
        <v>0.6222685185185185</v>
      </c>
      <c r="D163" t="s">
        <v>4</v>
      </c>
      <c r="E163" t="s">
        <v>9</v>
      </c>
      <c r="H163" t="s">
        <v>2936</v>
      </c>
      <c r="I163" t="s">
        <v>2508</v>
      </c>
      <c r="J163" t="s">
        <v>2993</v>
      </c>
      <c r="K163" t="s">
        <v>2509</v>
      </c>
      <c r="L163" t="s">
        <v>2510</v>
      </c>
      <c r="M163" s="3" t="str">
        <f>HYPERLINK(склад2въезд13192021222[[#This Row],[RelativePath]])</f>
        <v>9 Ангар пилорама\E33149364_1_20251121T145604Z.jpg</v>
      </c>
    </row>
    <row r="164" spans="1:13" x14ac:dyDescent="0.25">
      <c r="A164" s="2" t="s">
        <v>17</v>
      </c>
      <c r="B164" s="4">
        <v>45982</v>
      </c>
      <c r="C164" s="5">
        <v>0.63053240740740746</v>
      </c>
      <c r="D164" t="s">
        <v>4</v>
      </c>
      <c r="E164" t="s">
        <v>9</v>
      </c>
      <c r="H164" t="s">
        <v>2936</v>
      </c>
      <c r="I164" t="s">
        <v>2511</v>
      </c>
      <c r="J164" t="s">
        <v>2993</v>
      </c>
      <c r="K164" t="s">
        <v>2512</v>
      </c>
      <c r="L164" t="s">
        <v>2513</v>
      </c>
      <c r="M164" s="3" t="str">
        <f>HYPERLINK(склад2въезд13192021222[[#This Row],[RelativePath]])</f>
        <v>9 Ангар пилорама\E33149364_1_20251121T150758Z.jpg</v>
      </c>
    </row>
    <row r="165" spans="1:13" x14ac:dyDescent="0.25">
      <c r="A165" s="2" t="s">
        <v>17</v>
      </c>
      <c r="B165" s="4">
        <v>45982</v>
      </c>
      <c r="C165" s="5">
        <v>0.67525462962962968</v>
      </c>
      <c r="D165" t="s">
        <v>1091</v>
      </c>
      <c r="E165" t="s">
        <v>1607</v>
      </c>
      <c r="F165" t="s">
        <v>58</v>
      </c>
      <c r="I165" t="s">
        <v>2514</v>
      </c>
      <c r="J165" t="s">
        <v>2993</v>
      </c>
      <c r="K165" t="s">
        <v>2515</v>
      </c>
      <c r="L165" t="s">
        <v>2516</v>
      </c>
      <c r="M165" s="3" t="str">
        <f>HYPERLINK(склад2въезд13192021222[[#This Row],[RelativePath]])</f>
        <v>9 Ангар пилорама\E33149364_1_20251121T161222Z.jpg</v>
      </c>
    </row>
    <row r="166" spans="1:13" x14ac:dyDescent="0.25">
      <c r="A166" s="2" t="s">
        <v>17</v>
      </c>
      <c r="B166" s="4">
        <v>45982</v>
      </c>
      <c r="C166" s="5">
        <v>0.68702546296296296</v>
      </c>
      <c r="D166" t="s">
        <v>4</v>
      </c>
      <c r="E166" t="s">
        <v>9</v>
      </c>
      <c r="I166" t="s">
        <v>2517</v>
      </c>
      <c r="J166" t="s">
        <v>2993</v>
      </c>
      <c r="K166" t="s">
        <v>2518</v>
      </c>
      <c r="L166" t="s">
        <v>2519</v>
      </c>
      <c r="M166" s="3" t="str">
        <f>HYPERLINK(склад2въезд13192021222[[#This Row],[RelativePath]])</f>
        <v>9 Ангар пилорама\E33149364_1_20251121T162919Z.jpg</v>
      </c>
    </row>
    <row r="167" spans="1:13" x14ac:dyDescent="0.25">
      <c r="A167" s="2" t="s">
        <v>18</v>
      </c>
      <c r="B167" s="4">
        <v>45983</v>
      </c>
      <c r="C167" s="5">
        <v>0.69784722222222217</v>
      </c>
      <c r="D167" t="s">
        <v>2004</v>
      </c>
      <c r="I167" t="s">
        <v>2520</v>
      </c>
      <c r="J167" t="s">
        <v>2993</v>
      </c>
      <c r="K167" t="s">
        <v>2521</v>
      </c>
      <c r="L167" t="s">
        <v>2522</v>
      </c>
      <c r="M167" s="3" t="str">
        <f>HYPERLINK(склад2въезд13192021222[[#This Row],[RelativePath]])</f>
        <v>9 Ангар пилорама\E33149364_1_20251122T164454Z.jpg</v>
      </c>
    </row>
    <row r="168" spans="1:13" x14ac:dyDescent="0.25">
      <c r="A168" s="2" t="s">
        <v>22</v>
      </c>
      <c r="B168" s="4">
        <v>45984</v>
      </c>
      <c r="C168" s="5">
        <v>0.66638888888888892</v>
      </c>
      <c r="D168" t="s">
        <v>2004</v>
      </c>
      <c r="I168" t="s">
        <v>2523</v>
      </c>
      <c r="J168" t="s">
        <v>2993</v>
      </c>
      <c r="K168" t="s">
        <v>2524</v>
      </c>
      <c r="L168" t="s">
        <v>2525</v>
      </c>
      <c r="M168" s="3" t="str">
        <f>HYPERLINK(склад2въезд13192021222[[#This Row],[RelativePath]])</f>
        <v>9 Ангар пилорама\E33149364_1_20251123T155936Z.jpg</v>
      </c>
    </row>
    <row r="169" spans="1:13" x14ac:dyDescent="0.25">
      <c r="A169" s="2" t="s">
        <v>13</v>
      </c>
      <c r="B169" s="4">
        <v>45985</v>
      </c>
      <c r="C169" s="5">
        <v>0.37829861111111113</v>
      </c>
      <c r="D169" t="s">
        <v>4</v>
      </c>
      <c r="E169" t="s">
        <v>9</v>
      </c>
      <c r="I169" t="s">
        <v>3736</v>
      </c>
      <c r="J169" t="s">
        <v>2993</v>
      </c>
      <c r="K169" t="s">
        <v>3737</v>
      </c>
      <c r="L169" t="s">
        <v>3738</v>
      </c>
      <c r="M169" s="3" t="str">
        <f>HYPERLINK(склад2въезд13192021222[[#This Row],[RelativePath]])</f>
        <v>9 Ангар пилорама\E33149364_1_20251124T090445Z.jpg</v>
      </c>
    </row>
    <row r="170" spans="1:13" x14ac:dyDescent="0.25">
      <c r="A170" s="2" t="s">
        <v>13</v>
      </c>
      <c r="B170" s="4">
        <v>45985</v>
      </c>
      <c r="C170" s="5">
        <v>0.38611111111111113</v>
      </c>
      <c r="D170" t="s">
        <v>4</v>
      </c>
      <c r="E170" t="s">
        <v>9</v>
      </c>
      <c r="H170" t="s">
        <v>2936</v>
      </c>
      <c r="I170" t="s">
        <v>3739</v>
      </c>
      <c r="J170" t="s">
        <v>2993</v>
      </c>
      <c r="K170" t="s">
        <v>3740</v>
      </c>
      <c r="L170" t="s">
        <v>3741</v>
      </c>
      <c r="M170" s="3" t="str">
        <f>HYPERLINK(склад2въезд13192021222[[#This Row],[RelativePath]])</f>
        <v>9 Ангар пилорама\E33149364_1_20251124T091600Z.jpg</v>
      </c>
    </row>
    <row r="171" spans="1:13" x14ac:dyDescent="0.25">
      <c r="A171" s="2" t="s">
        <v>13</v>
      </c>
      <c r="B171" s="4">
        <v>45985</v>
      </c>
      <c r="C171" s="5">
        <v>0.41736111111111113</v>
      </c>
      <c r="D171" t="s">
        <v>4</v>
      </c>
      <c r="E171" t="s">
        <v>9</v>
      </c>
      <c r="H171" t="s">
        <v>2936</v>
      </c>
      <c r="I171" t="s">
        <v>3742</v>
      </c>
      <c r="J171" t="s">
        <v>2993</v>
      </c>
      <c r="K171" t="s">
        <v>3743</v>
      </c>
      <c r="L171" t="s">
        <v>3744</v>
      </c>
      <c r="M171" s="3" t="str">
        <f>HYPERLINK(склад2въезд13192021222[[#This Row],[RelativePath]])</f>
        <v>9 Ангар пилорама\E33149364_1_20251124T100100Z.jpg</v>
      </c>
    </row>
    <row r="172" spans="1:13" x14ac:dyDescent="0.25">
      <c r="A172" s="2" t="s">
        <v>13</v>
      </c>
      <c r="B172" s="4">
        <v>45985</v>
      </c>
      <c r="C172" s="5">
        <v>0.46952546296296294</v>
      </c>
      <c r="D172" t="s">
        <v>4</v>
      </c>
      <c r="E172" t="s">
        <v>9</v>
      </c>
      <c r="H172" t="s">
        <v>2936</v>
      </c>
      <c r="I172" t="s">
        <v>3745</v>
      </c>
      <c r="J172" t="s">
        <v>2993</v>
      </c>
      <c r="K172" t="s">
        <v>3746</v>
      </c>
      <c r="L172" t="s">
        <v>3747</v>
      </c>
      <c r="M172" s="3" t="str">
        <f>HYPERLINK(склад2въезд13192021222[[#This Row],[RelativePath]])</f>
        <v>9 Ангар пилорама\E33149364_1_20251124T111607Z.jpg</v>
      </c>
    </row>
    <row r="173" spans="1:13" x14ac:dyDescent="0.25">
      <c r="A173" s="2" t="s">
        <v>13</v>
      </c>
      <c r="B173" s="4">
        <v>45985</v>
      </c>
      <c r="C173" s="5">
        <v>0.49092592592592593</v>
      </c>
      <c r="D173" t="s">
        <v>4</v>
      </c>
      <c r="E173" t="s">
        <v>9</v>
      </c>
      <c r="H173" t="s">
        <v>2936</v>
      </c>
      <c r="I173" t="s">
        <v>3748</v>
      </c>
      <c r="J173" t="s">
        <v>2993</v>
      </c>
      <c r="K173" t="s">
        <v>3749</v>
      </c>
      <c r="L173" t="s">
        <v>3750</v>
      </c>
      <c r="M173" s="3" t="str">
        <f>HYPERLINK(склад2въезд13192021222[[#This Row],[RelativePath]])</f>
        <v>9 Ангар пилорама\E33149364_1_20251124T114656Z.jpg</v>
      </c>
    </row>
    <row r="174" spans="1:13" x14ac:dyDescent="0.25">
      <c r="A174" s="2" t="s">
        <v>13</v>
      </c>
      <c r="B174" s="4">
        <v>45985</v>
      </c>
      <c r="C174" s="5">
        <v>0.66390046296296301</v>
      </c>
      <c r="D174" t="s">
        <v>4</v>
      </c>
      <c r="E174" t="s">
        <v>9</v>
      </c>
      <c r="I174" t="s">
        <v>3751</v>
      </c>
      <c r="J174" t="s">
        <v>2993</v>
      </c>
      <c r="K174" t="s">
        <v>3752</v>
      </c>
      <c r="L174" t="s">
        <v>3753</v>
      </c>
      <c r="M174" s="3" t="str">
        <f>HYPERLINK(склад2въезд13192021222[[#This Row],[RelativePath]])</f>
        <v>9 Ангар пилорама\E33149364_1_20251124T155601Z.jpg</v>
      </c>
    </row>
    <row r="175" spans="1:13" x14ac:dyDescent="0.25">
      <c r="A175" s="2" t="s">
        <v>13</v>
      </c>
      <c r="B175" s="4">
        <v>45985</v>
      </c>
      <c r="C175" s="5">
        <v>0.81668981481481484</v>
      </c>
      <c r="D175" t="s">
        <v>2024</v>
      </c>
      <c r="E175" t="s">
        <v>1304</v>
      </c>
      <c r="I175" t="s">
        <v>3754</v>
      </c>
      <c r="J175" t="s">
        <v>2993</v>
      </c>
      <c r="K175" t="s">
        <v>3755</v>
      </c>
      <c r="L175" t="s">
        <v>3756</v>
      </c>
      <c r="M175" s="3" t="str">
        <f>HYPERLINK(склад2въезд13192021222[[#This Row],[RelativePath]])</f>
        <v>9 Ангар пилорама\E33149364_1_20251124T193602Z.jpg</v>
      </c>
    </row>
    <row r="176" spans="1:13" x14ac:dyDescent="0.25">
      <c r="A176" s="2" t="s">
        <v>13</v>
      </c>
      <c r="B176" s="4">
        <v>45985</v>
      </c>
      <c r="C176" s="5">
        <v>0.8275231481481482</v>
      </c>
      <c r="D176" t="s">
        <v>2024</v>
      </c>
      <c r="E176" t="s">
        <v>1304</v>
      </c>
      <c r="H176" t="s">
        <v>2936</v>
      </c>
      <c r="I176" t="s">
        <v>3757</v>
      </c>
      <c r="J176" t="s">
        <v>2993</v>
      </c>
      <c r="K176" t="s">
        <v>3758</v>
      </c>
      <c r="L176" t="s">
        <v>3759</v>
      </c>
      <c r="M176" s="3" t="str">
        <f>HYPERLINK(склад2въезд13192021222[[#This Row],[RelativePath]])</f>
        <v>9 Ангар пилорама\E33149364_1_20251124T195138Z.jpg</v>
      </c>
    </row>
    <row r="177" spans="1:13" x14ac:dyDescent="0.25">
      <c r="A177" s="2" t="s">
        <v>13</v>
      </c>
      <c r="B177" s="4">
        <v>45985</v>
      </c>
      <c r="C177" s="5">
        <v>0.83881944444444445</v>
      </c>
      <c r="D177" t="s">
        <v>2024</v>
      </c>
      <c r="E177" t="s">
        <v>1304</v>
      </c>
      <c r="H177" t="s">
        <v>2936</v>
      </c>
      <c r="I177" t="s">
        <v>3760</v>
      </c>
      <c r="J177" t="s">
        <v>2993</v>
      </c>
      <c r="K177" t="s">
        <v>3761</v>
      </c>
      <c r="L177" t="s">
        <v>3762</v>
      </c>
      <c r="M177" s="3" t="str">
        <f>HYPERLINK(склад2въезд13192021222[[#This Row],[RelativePath]])</f>
        <v>9 Ангар пилорама\E33149364_1_20251124T200754Z.jpg</v>
      </c>
    </row>
    <row r="178" spans="1:13" x14ac:dyDescent="0.25">
      <c r="A178" s="2" t="s">
        <v>13</v>
      </c>
      <c r="B178" s="4">
        <v>45985</v>
      </c>
      <c r="C178" s="5">
        <v>0.84452546296296294</v>
      </c>
      <c r="D178" t="s">
        <v>2024</v>
      </c>
      <c r="E178" t="s">
        <v>1304</v>
      </c>
      <c r="H178" t="s">
        <v>2936</v>
      </c>
      <c r="I178" t="s">
        <v>3763</v>
      </c>
      <c r="J178" t="s">
        <v>2993</v>
      </c>
      <c r="K178" t="s">
        <v>3764</v>
      </c>
      <c r="L178" t="s">
        <v>3765</v>
      </c>
      <c r="M178" s="3" t="str">
        <f>HYPERLINK(склад2въезд13192021222[[#This Row],[RelativePath]])</f>
        <v>9 Ангар пилорама\E33149364_1_20251124T201607Z.jpg</v>
      </c>
    </row>
    <row r="179" spans="1:13" x14ac:dyDescent="0.25">
      <c r="A179" s="2" t="s">
        <v>13</v>
      </c>
      <c r="B179" s="4">
        <v>45985</v>
      </c>
      <c r="C179" s="5">
        <v>0.92593749999999997</v>
      </c>
      <c r="D179" t="s">
        <v>2024</v>
      </c>
      <c r="E179" t="s">
        <v>1304</v>
      </c>
      <c r="H179" t="s">
        <v>2936</v>
      </c>
      <c r="I179" t="s">
        <v>3766</v>
      </c>
      <c r="J179" t="s">
        <v>2993</v>
      </c>
      <c r="K179" t="s">
        <v>3767</v>
      </c>
      <c r="L179" t="s">
        <v>3768</v>
      </c>
      <c r="M179" s="3" t="str">
        <f>HYPERLINK(склад2въезд13192021222[[#This Row],[RelativePath]])</f>
        <v>9 Ангар пилорама\E33149364_1_20251124T221321Z.jpg</v>
      </c>
    </row>
    <row r="180" spans="1:13" x14ac:dyDescent="0.25">
      <c r="A180" s="2" t="s">
        <v>13</v>
      </c>
      <c r="B180" s="4">
        <v>45985</v>
      </c>
      <c r="C180" s="5">
        <v>0.92893518518518514</v>
      </c>
      <c r="D180" t="s">
        <v>4</v>
      </c>
      <c r="E180" t="s">
        <v>9</v>
      </c>
      <c r="I180" t="s">
        <v>3769</v>
      </c>
      <c r="J180" t="s">
        <v>2993</v>
      </c>
      <c r="K180" t="s">
        <v>3770</v>
      </c>
      <c r="L180" t="s">
        <v>3771</v>
      </c>
      <c r="M180" s="3" t="str">
        <f>HYPERLINK(склад2въезд13192021222[[#This Row],[RelativePath]])</f>
        <v>9 Ангар пилорама\E33149364_1_20251124T221740Z.jpg</v>
      </c>
    </row>
    <row r="181" spans="1:13" x14ac:dyDescent="0.25">
      <c r="A181" s="2" t="s">
        <v>14</v>
      </c>
      <c r="B181" s="4">
        <v>45986</v>
      </c>
      <c r="C181" s="5">
        <v>0.37775462962962963</v>
      </c>
      <c r="D181" t="s">
        <v>2024</v>
      </c>
      <c r="E181" t="s">
        <v>1304</v>
      </c>
      <c r="H181" t="s">
        <v>2936</v>
      </c>
      <c r="I181" t="s">
        <v>3772</v>
      </c>
      <c r="J181" t="s">
        <v>2993</v>
      </c>
      <c r="K181" t="s">
        <v>3773</v>
      </c>
      <c r="L181" t="s">
        <v>3774</v>
      </c>
      <c r="M181" s="3" t="str">
        <f>HYPERLINK(склад2въезд13192021222[[#This Row],[RelativePath]])</f>
        <v>9 Ангар пилорама\E33149364_1_20251125T090358Z.jpg</v>
      </c>
    </row>
    <row r="182" spans="1:13" x14ac:dyDescent="0.25">
      <c r="A182" s="2" t="s">
        <v>14</v>
      </c>
      <c r="B182" s="4">
        <v>45986</v>
      </c>
      <c r="C182" s="5">
        <v>0.39376157407407408</v>
      </c>
      <c r="D182" t="s">
        <v>2024</v>
      </c>
      <c r="E182" t="s">
        <v>1304</v>
      </c>
      <c r="H182" t="s">
        <v>2936</v>
      </c>
      <c r="I182" t="s">
        <v>3775</v>
      </c>
      <c r="J182" t="s">
        <v>2993</v>
      </c>
      <c r="K182" t="s">
        <v>3776</v>
      </c>
      <c r="L182" t="s">
        <v>3777</v>
      </c>
      <c r="M182" s="3" t="str">
        <f>HYPERLINK(склад2въезд13192021222[[#This Row],[RelativePath]])</f>
        <v>9 Ангар пилорама\E33149364_1_20251125T092701Z.jpg</v>
      </c>
    </row>
    <row r="183" spans="1:13" x14ac:dyDescent="0.25">
      <c r="A183" s="2" t="s">
        <v>14</v>
      </c>
      <c r="B183" s="4">
        <v>45986</v>
      </c>
      <c r="C183" s="5">
        <v>0.39776620370370369</v>
      </c>
      <c r="D183" t="s">
        <v>2024</v>
      </c>
      <c r="E183" t="s">
        <v>1304</v>
      </c>
      <c r="H183" t="s">
        <v>2936</v>
      </c>
      <c r="I183" t="s">
        <v>3778</v>
      </c>
      <c r="J183" t="s">
        <v>2993</v>
      </c>
      <c r="K183" t="s">
        <v>3779</v>
      </c>
      <c r="L183" t="s">
        <v>3780</v>
      </c>
      <c r="M183" s="3" t="str">
        <f>HYPERLINK(склад2въезд13192021222[[#This Row],[RelativePath]])</f>
        <v>9 Ангар пилорама\E33149364_1_20251125T093247Z.jpg</v>
      </c>
    </row>
    <row r="184" spans="1:13" x14ac:dyDescent="0.25">
      <c r="A184" s="2" t="s">
        <v>14</v>
      </c>
      <c r="B184" s="4">
        <v>45986</v>
      </c>
      <c r="C184" s="5">
        <v>0.41405092592592591</v>
      </c>
      <c r="D184" t="s">
        <v>2024</v>
      </c>
      <c r="E184" t="s">
        <v>1304</v>
      </c>
      <c r="H184" t="s">
        <v>2936</v>
      </c>
      <c r="I184" t="s">
        <v>3781</v>
      </c>
      <c r="J184" t="s">
        <v>2993</v>
      </c>
      <c r="K184" t="s">
        <v>3782</v>
      </c>
      <c r="L184" t="s">
        <v>3783</v>
      </c>
      <c r="M184" s="3" t="str">
        <f>HYPERLINK(склад2въезд13192021222[[#This Row],[RelativePath]])</f>
        <v>9 Ангар пилорама\E33149364_1_20251125T095614Z.jpg</v>
      </c>
    </row>
    <row r="185" spans="1:13" x14ac:dyDescent="0.25">
      <c r="A185" s="2" t="s">
        <v>14</v>
      </c>
      <c r="B185" s="4">
        <v>45986</v>
      </c>
      <c r="C185" s="5">
        <v>0.43223379629629627</v>
      </c>
      <c r="D185" t="s">
        <v>2024</v>
      </c>
      <c r="E185" t="s">
        <v>1304</v>
      </c>
      <c r="H185" t="s">
        <v>2936</v>
      </c>
      <c r="I185" t="s">
        <v>3784</v>
      </c>
      <c r="J185" t="s">
        <v>2993</v>
      </c>
      <c r="K185" t="s">
        <v>3785</v>
      </c>
      <c r="L185" t="s">
        <v>3786</v>
      </c>
      <c r="M185" s="3" t="str">
        <f>HYPERLINK(склад2въезд13192021222[[#This Row],[RelativePath]])</f>
        <v>9 Ангар пилорама\E33149364_1_20251125T102225Z.jpg</v>
      </c>
    </row>
    <row r="186" spans="1:13" x14ac:dyDescent="0.25">
      <c r="A186" s="2" t="s">
        <v>14</v>
      </c>
      <c r="B186" s="4">
        <v>45986</v>
      </c>
      <c r="C186" s="5">
        <v>0.43293981481481481</v>
      </c>
      <c r="D186" t="s">
        <v>2024</v>
      </c>
      <c r="E186" t="s">
        <v>1304</v>
      </c>
      <c r="H186" t="s">
        <v>2936</v>
      </c>
      <c r="I186" t="s">
        <v>3787</v>
      </c>
      <c r="J186" t="s">
        <v>2993</v>
      </c>
      <c r="K186" t="s">
        <v>3788</v>
      </c>
      <c r="L186" t="s">
        <v>3789</v>
      </c>
      <c r="M186" s="3" t="str">
        <f>HYPERLINK(склад2въезд13192021222[[#This Row],[RelativePath]])</f>
        <v>9 Ангар пилорама\E33149364_1_20251125T102326Z.jpg</v>
      </c>
    </row>
    <row r="187" spans="1:13" x14ac:dyDescent="0.25">
      <c r="A187" s="2" t="s">
        <v>14</v>
      </c>
      <c r="B187" s="4">
        <v>45986</v>
      </c>
      <c r="C187" s="5">
        <v>0.5083333333333333</v>
      </c>
      <c r="D187" t="s">
        <v>2024</v>
      </c>
      <c r="E187" t="s">
        <v>1304</v>
      </c>
      <c r="H187" t="s">
        <v>2936</v>
      </c>
      <c r="I187" t="s">
        <v>3790</v>
      </c>
      <c r="J187" t="s">
        <v>2993</v>
      </c>
      <c r="K187" t="s">
        <v>3791</v>
      </c>
      <c r="L187" t="s">
        <v>3792</v>
      </c>
      <c r="M187" s="3" t="str">
        <f>HYPERLINK(склад2въезд13192021222[[#This Row],[RelativePath]])</f>
        <v>9 Ангар пилорама\E33149364_1_20251125T121200Z.jpg</v>
      </c>
    </row>
    <row r="188" spans="1:13" x14ac:dyDescent="0.25">
      <c r="A188" s="2" t="s">
        <v>14</v>
      </c>
      <c r="B188" s="4">
        <v>45986</v>
      </c>
      <c r="C188" s="5">
        <v>0.55204861111111114</v>
      </c>
      <c r="D188" t="s">
        <v>2024</v>
      </c>
      <c r="E188" t="s">
        <v>1304</v>
      </c>
      <c r="H188" t="s">
        <v>2936</v>
      </c>
      <c r="I188" t="s">
        <v>3793</v>
      </c>
      <c r="J188" t="s">
        <v>2993</v>
      </c>
      <c r="K188" t="s">
        <v>3794</v>
      </c>
      <c r="L188" t="s">
        <v>3795</v>
      </c>
      <c r="M188" s="3" t="str">
        <f>HYPERLINK(склад2въезд13192021222[[#This Row],[RelativePath]])</f>
        <v>9 Ангар пилорама\E33149364_1_20251125T131457Z.jpg</v>
      </c>
    </row>
    <row r="189" spans="1:13" x14ac:dyDescent="0.25">
      <c r="A189" s="2" t="s">
        <v>14</v>
      </c>
      <c r="B189" s="4">
        <v>45986</v>
      </c>
      <c r="C189" s="5">
        <v>0.57276620370370368</v>
      </c>
      <c r="D189" t="s">
        <v>2024</v>
      </c>
      <c r="E189" t="s">
        <v>1304</v>
      </c>
      <c r="H189" t="s">
        <v>2936</v>
      </c>
      <c r="I189" t="s">
        <v>3796</v>
      </c>
      <c r="J189" t="s">
        <v>2993</v>
      </c>
      <c r="K189" t="s">
        <v>3797</v>
      </c>
      <c r="L189" t="s">
        <v>3798</v>
      </c>
      <c r="M189" s="3" t="str">
        <f>HYPERLINK(склад2въезд13192021222[[#This Row],[RelativePath]])</f>
        <v>9 Ангар пилорама\E33149364_1_20251125T134447Z.jpg</v>
      </c>
    </row>
    <row r="190" spans="1:13" x14ac:dyDescent="0.25">
      <c r="A190" s="2" t="s">
        <v>14</v>
      </c>
      <c r="B190" s="4">
        <v>45986</v>
      </c>
      <c r="C190" s="5">
        <v>0.58164351851851848</v>
      </c>
      <c r="D190" t="s">
        <v>4</v>
      </c>
      <c r="E190" t="s">
        <v>9</v>
      </c>
      <c r="I190" t="s">
        <v>3799</v>
      </c>
      <c r="J190" t="s">
        <v>2993</v>
      </c>
      <c r="K190" t="s">
        <v>3800</v>
      </c>
      <c r="L190" t="s">
        <v>3801</v>
      </c>
      <c r="M190" s="3" t="str">
        <f>HYPERLINK(склад2въезд13192021222[[#This Row],[RelativePath]])</f>
        <v>9 Ангар пилорама\E33149364_1_20251125T135734Z.jpg</v>
      </c>
    </row>
    <row r="191" spans="1:13" x14ac:dyDescent="0.25">
      <c r="A191" s="2" t="s">
        <v>14</v>
      </c>
      <c r="B191" s="4">
        <v>45986</v>
      </c>
      <c r="C191" s="5">
        <v>0.59666666666666668</v>
      </c>
      <c r="D191" t="s">
        <v>4</v>
      </c>
      <c r="E191" t="s">
        <v>9</v>
      </c>
      <c r="H191" t="s">
        <v>2936</v>
      </c>
      <c r="I191" t="s">
        <v>3802</v>
      </c>
      <c r="J191" t="s">
        <v>2993</v>
      </c>
      <c r="K191" t="s">
        <v>3803</v>
      </c>
      <c r="L191" t="s">
        <v>3804</v>
      </c>
      <c r="M191" s="3" t="str">
        <f>HYPERLINK(склад2въезд13192021222[[#This Row],[RelativePath]])</f>
        <v>9 Ангар пилорама\E33149364_1_20251125T141912Z.jpg</v>
      </c>
    </row>
    <row r="192" spans="1:13" x14ac:dyDescent="0.25">
      <c r="A192" s="2" t="s">
        <v>14</v>
      </c>
      <c r="B192" s="4">
        <v>45986</v>
      </c>
      <c r="C192" s="5">
        <v>0.60174768518518518</v>
      </c>
      <c r="D192" t="s">
        <v>4</v>
      </c>
      <c r="E192" t="s">
        <v>9</v>
      </c>
      <c r="H192" t="s">
        <v>2936</v>
      </c>
      <c r="I192" t="s">
        <v>3805</v>
      </c>
      <c r="J192" t="s">
        <v>2993</v>
      </c>
      <c r="K192" t="s">
        <v>3806</v>
      </c>
      <c r="L192" t="s">
        <v>3807</v>
      </c>
      <c r="M192" s="3" t="str">
        <f>HYPERLINK(склад2въезд13192021222[[#This Row],[RelativePath]])</f>
        <v>9 Ангар пилорама\E33149364_1_20251125T142631Z.jpg</v>
      </c>
    </row>
    <row r="193" spans="1:13" x14ac:dyDescent="0.25">
      <c r="A193" s="2" t="s">
        <v>14</v>
      </c>
      <c r="B193" s="4">
        <v>45986</v>
      </c>
      <c r="C193" s="5">
        <v>0.60752314814814812</v>
      </c>
      <c r="D193" t="s">
        <v>4</v>
      </c>
      <c r="E193" t="s">
        <v>9</v>
      </c>
      <c r="H193" t="s">
        <v>2936</v>
      </c>
      <c r="I193" t="s">
        <v>3808</v>
      </c>
      <c r="J193" t="s">
        <v>2993</v>
      </c>
      <c r="K193" t="s">
        <v>3809</v>
      </c>
      <c r="L193" t="s">
        <v>3810</v>
      </c>
      <c r="M193" s="3" t="str">
        <f>HYPERLINK(склад2въезд13192021222[[#This Row],[RelativePath]])</f>
        <v>9 Ангар пилорама\E33149364_1_20251125T143450Z.jpg</v>
      </c>
    </row>
    <row r="194" spans="1:13" x14ac:dyDescent="0.25">
      <c r="A194" s="2" t="s">
        <v>14</v>
      </c>
      <c r="B194" s="4">
        <v>45986</v>
      </c>
      <c r="C194" s="5">
        <v>0.61304398148148154</v>
      </c>
      <c r="D194" t="s">
        <v>4</v>
      </c>
      <c r="E194" t="s">
        <v>9</v>
      </c>
      <c r="H194" t="s">
        <v>2936</v>
      </c>
      <c r="I194" t="s">
        <v>3811</v>
      </c>
      <c r="J194" t="s">
        <v>2993</v>
      </c>
      <c r="K194" t="s">
        <v>3812</v>
      </c>
      <c r="L194" t="s">
        <v>3813</v>
      </c>
      <c r="M194" s="3" t="str">
        <f>HYPERLINK(склад2въезд13192021222[[#This Row],[RelativePath]])</f>
        <v>9 Ангар пилорама\E33149364_1_20251125T144247Z.jpg</v>
      </c>
    </row>
    <row r="195" spans="1:13" x14ac:dyDescent="0.25">
      <c r="A195" s="2" t="s">
        <v>14</v>
      </c>
      <c r="B195" s="4">
        <v>45986</v>
      </c>
      <c r="C195" s="5">
        <v>0.62818287037037035</v>
      </c>
      <c r="D195" t="s">
        <v>4</v>
      </c>
      <c r="E195" t="s">
        <v>9</v>
      </c>
      <c r="H195" t="s">
        <v>2936</v>
      </c>
      <c r="I195" t="s">
        <v>3814</v>
      </c>
      <c r="J195" t="s">
        <v>2993</v>
      </c>
      <c r="K195" t="s">
        <v>3815</v>
      </c>
      <c r="L195" t="s">
        <v>3816</v>
      </c>
      <c r="M195" s="3" t="str">
        <f>HYPERLINK(склад2въезд13192021222[[#This Row],[RelativePath]])</f>
        <v>9 Ангар пилорама\E33149364_1_20251125T150435Z.jpg</v>
      </c>
    </row>
    <row r="196" spans="1:13" x14ac:dyDescent="0.25">
      <c r="A196" s="2" t="s">
        <v>14</v>
      </c>
      <c r="B196" s="4">
        <v>45986</v>
      </c>
      <c r="C196" s="5">
        <v>0.62878472222222226</v>
      </c>
      <c r="D196" t="s">
        <v>4</v>
      </c>
      <c r="E196" t="s">
        <v>9</v>
      </c>
      <c r="H196" t="s">
        <v>2936</v>
      </c>
      <c r="I196" t="s">
        <v>3817</v>
      </c>
      <c r="J196" t="s">
        <v>2993</v>
      </c>
      <c r="K196" t="s">
        <v>3818</v>
      </c>
      <c r="L196" t="s">
        <v>3819</v>
      </c>
      <c r="M196" s="3" t="str">
        <f>HYPERLINK(склад2въезд13192021222[[#This Row],[RelativePath]])</f>
        <v>9 Ангар пилорама\E33149364_1_20251125T150527Z.jpg</v>
      </c>
    </row>
    <row r="197" spans="1:13" x14ac:dyDescent="0.25">
      <c r="A197" s="2" t="s">
        <v>14</v>
      </c>
      <c r="B197" s="4">
        <v>45986</v>
      </c>
      <c r="C197" s="5">
        <v>0.62956018518518519</v>
      </c>
      <c r="D197" t="s">
        <v>4</v>
      </c>
      <c r="E197" t="s">
        <v>9</v>
      </c>
      <c r="H197" t="s">
        <v>2936</v>
      </c>
      <c r="I197" t="s">
        <v>3820</v>
      </c>
      <c r="J197" t="s">
        <v>2993</v>
      </c>
      <c r="K197" t="s">
        <v>3821</v>
      </c>
      <c r="L197" t="s">
        <v>3822</v>
      </c>
      <c r="M197" s="3" t="str">
        <f>HYPERLINK(склад2въезд13192021222[[#This Row],[RelativePath]])</f>
        <v>9 Ангар пилорама\E33149364_1_20251125T150634Z.jpg</v>
      </c>
    </row>
    <row r="198" spans="1:13" x14ac:dyDescent="0.25">
      <c r="A198" s="2" t="s">
        <v>14</v>
      </c>
      <c r="B198" s="4">
        <v>45986</v>
      </c>
      <c r="C198" s="5">
        <v>0.6297800925925926</v>
      </c>
      <c r="D198" t="s">
        <v>4</v>
      </c>
      <c r="E198" t="s">
        <v>9</v>
      </c>
      <c r="H198" t="s">
        <v>2936</v>
      </c>
      <c r="I198" t="s">
        <v>3823</v>
      </c>
      <c r="J198" t="s">
        <v>2993</v>
      </c>
      <c r="K198" t="s">
        <v>3824</v>
      </c>
      <c r="L198" t="s">
        <v>3825</v>
      </c>
      <c r="M198" s="3" t="str">
        <f>HYPERLINK(склад2въезд13192021222[[#This Row],[RelativePath]])</f>
        <v>9 Ангар пилорама\E33149364_1_20251125T150653Z.jpg</v>
      </c>
    </row>
    <row r="199" spans="1:13" x14ac:dyDescent="0.25">
      <c r="A199" s="2" t="s">
        <v>14</v>
      </c>
      <c r="B199" s="4">
        <v>45986</v>
      </c>
      <c r="C199" s="5">
        <v>0.63010416666666669</v>
      </c>
      <c r="D199" t="s">
        <v>4</v>
      </c>
      <c r="E199" t="s">
        <v>9</v>
      </c>
      <c r="H199" t="s">
        <v>2936</v>
      </c>
      <c r="I199" t="s">
        <v>3826</v>
      </c>
      <c r="J199" t="s">
        <v>2993</v>
      </c>
      <c r="K199" t="s">
        <v>3827</v>
      </c>
      <c r="L199" t="s">
        <v>3828</v>
      </c>
      <c r="M199" s="3" t="str">
        <f>HYPERLINK(склад2въезд13192021222[[#This Row],[RelativePath]])</f>
        <v>9 Ангар пилорама\E33149364_1_20251125T150721Z.jpg</v>
      </c>
    </row>
    <row r="200" spans="1:13" x14ac:dyDescent="0.25">
      <c r="A200" s="2" t="s">
        <v>14</v>
      </c>
      <c r="B200" s="4">
        <v>45986</v>
      </c>
      <c r="C200" s="5">
        <v>0.68474537037037042</v>
      </c>
      <c r="D200" t="s">
        <v>4</v>
      </c>
      <c r="E200" t="s">
        <v>9</v>
      </c>
      <c r="H200" t="s">
        <v>2936</v>
      </c>
      <c r="I200" t="s">
        <v>3829</v>
      </c>
      <c r="J200" t="s">
        <v>2993</v>
      </c>
      <c r="K200" t="s">
        <v>3830</v>
      </c>
      <c r="L200" t="s">
        <v>3831</v>
      </c>
      <c r="M200" s="3" t="str">
        <f>HYPERLINK(склад2въезд13192021222[[#This Row],[RelativePath]])</f>
        <v>9 Ангар пилорама\E33149364_1_20251125T162602Z.jpg</v>
      </c>
    </row>
    <row r="201" spans="1:13" x14ac:dyDescent="0.25">
      <c r="A201" s="2" t="s">
        <v>14</v>
      </c>
      <c r="B201" s="4">
        <v>45986</v>
      </c>
      <c r="C201" s="5">
        <v>0.805150462962963</v>
      </c>
      <c r="D201" t="s">
        <v>4</v>
      </c>
      <c r="E201" t="s">
        <v>9</v>
      </c>
      <c r="H201" t="s">
        <v>2936</v>
      </c>
      <c r="I201" t="s">
        <v>3832</v>
      </c>
      <c r="J201" t="s">
        <v>2993</v>
      </c>
      <c r="K201" t="s">
        <v>3833</v>
      </c>
      <c r="L201" t="s">
        <v>3834</v>
      </c>
      <c r="M201" s="3" t="str">
        <f>HYPERLINK(склад2въезд13192021222[[#This Row],[RelativePath]])</f>
        <v>9 Ангар пилорама\E33149364_1_20251125T191925Z.jpg</v>
      </c>
    </row>
    <row r="202" spans="1:13" x14ac:dyDescent="0.25">
      <c r="A202" s="2" t="s">
        <v>14</v>
      </c>
      <c r="B202" s="4">
        <v>45986</v>
      </c>
      <c r="C202" s="5">
        <v>0.80939814814814814</v>
      </c>
      <c r="D202" t="s">
        <v>4</v>
      </c>
      <c r="E202" t="s">
        <v>9</v>
      </c>
      <c r="H202" t="s">
        <v>2936</v>
      </c>
      <c r="I202" t="s">
        <v>3835</v>
      </c>
      <c r="J202" t="s">
        <v>2993</v>
      </c>
      <c r="K202" t="s">
        <v>3836</v>
      </c>
      <c r="L202" t="s">
        <v>3837</v>
      </c>
      <c r="M202" s="3" t="str">
        <f>HYPERLINK(склад2въезд13192021222[[#This Row],[RelativePath]])</f>
        <v>9 Ангар пилорама\E33149364_1_20251125T192532Z.jpg</v>
      </c>
    </row>
    <row r="203" spans="1:13" x14ac:dyDescent="0.25">
      <c r="A203" s="2" t="s">
        <v>15</v>
      </c>
      <c r="B203" s="4">
        <v>45987</v>
      </c>
      <c r="C203" s="5">
        <v>0.38255787037037037</v>
      </c>
      <c r="D203" t="s">
        <v>4</v>
      </c>
      <c r="E203" t="s">
        <v>9</v>
      </c>
      <c r="H203" t="s">
        <v>2936</v>
      </c>
      <c r="I203" t="s">
        <v>3838</v>
      </c>
      <c r="J203" t="s">
        <v>2993</v>
      </c>
      <c r="K203" t="s">
        <v>3839</v>
      </c>
      <c r="L203" t="s">
        <v>3840</v>
      </c>
      <c r="M203" s="3" t="str">
        <f>HYPERLINK(склад2въезд13192021222[[#This Row],[RelativePath]])</f>
        <v>9 Ангар пилорама\E33149364_1_20251126T091053Z.jpg</v>
      </c>
    </row>
    <row r="204" spans="1:13" x14ac:dyDescent="0.25">
      <c r="A204" s="2" t="s">
        <v>15</v>
      </c>
      <c r="B204" s="4">
        <v>45987</v>
      </c>
      <c r="C204" s="5">
        <v>0.44868055555555558</v>
      </c>
      <c r="D204" t="s">
        <v>4</v>
      </c>
      <c r="E204" t="s">
        <v>9</v>
      </c>
      <c r="H204" t="s">
        <v>2936</v>
      </c>
      <c r="I204" t="s">
        <v>3841</v>
      </c>
      <c r="J204" t="s">
        <v>2993</v>
      </c>
      <c r="K204" t="s">
        <v>3842</v>
      </c>
      <c r="L204" t="s">
        <v>3843</v>
      </c>
      <c r="M204" s="3" t="str">
        <f>HYPERLINK(склад2въезд13192021222[[#This Row],[RelativePath]])</f>
        <v>9 Ангар пилорама\E33149364_1_20251126T104606Z.jpg</v>
      </c>
    </row>
    <row r="205" spans="1:13" x14ac:dyDescent="0.25">
      <c r="A205" s="2" t="s">
        <v>15</v>
      </c>
      <c r="B205" s="4">
        <v>45987</v>
      </c>
      <c r="C205" s="5">
        <v>0.47425925925925927</v>
      </c>
      <c r="D205" t="s">
        <v>4</v>
      </c>
      <c r="E205" t="s">
        <v>9</v>
      </c>
      <c r="H205" t="s">
        <v>2936</v>
      </c>
      <c r="I205" t="s">
        <v>3844</v>
      </c>
      <c r="J205" t="s">
        <v>2993</v>
      </c>
      <c r="K205" t="s">
        <v>3845</v>
      </c>
      <c r="L205" t="s">
        <v>3846</v>
      </c>
      <c r="M205" s="3" t="str">
        <f>HYPERLINK(склад2въезд13192021222[[#This Row],[RelativePath]])</f>
        <v>9 Ангар пилорама\E33149364_1_20251126T112256Z.jpg</v>
      </c>
    </row>
    <row r="206" spans="1:13" x14ac:dyDescent="0.25">
      <c r="A206" s="2" t="s">
        <v>15</v>
      </c>
      <c r="B206" s="4">
        <v>45987</v>
      </c>
      <c r="C206" s="5">
        <v>0.4934722222222222</v>
      </c>
      <c r="D206" t="s">
        <v>4</v>
      </c>
      <c r="E206" t="s">
        <v>9</v>
      </c>
      <c r="H206" t="s">
        <v>2936</v>
      </c>
      <c r="I206" t="s">
        <v>3847</v>
      </c>
      <c r="J206" t="s">
        <v>2993</v>
      </c>
      <c r="K206" t="s">
        <v>3848</v>
      </c>
      <c r="L206" t="s">
        <v>3849</v>
      </c>
      <c r="M206" s="3" t="str">
        <f>HYPERLINK(склад2въезд13192021222[[#This Row],[RelativePath]])</f>
        <v>9 Ангар пилорама\E33149364_1_20251126T115036Z.jpg</v>
      </c>
    </row>
    <row r="207" spans="1:13" x14ac:dyDescent="0.25">
      <c r="A207" s="2" t="s">
        <v>15</v>
      </c>
      <c r="B207" s="4">
        <v>45987</v>
      </c>
      <c r="C207" s="5">
        <v>0.62527777777777782</v>
      </c>
      <c r="D207" t="s">
        <v>4</v>
      </c>
      <c r="E207" t="s">
        <v>9</v>
      </c>
      <c r="H207" t="s">
        <v>2936</v>
      </c>
      <c r="I207" t="s">
        <v>3850</v>
      </c>
      <c r="J207" t="s">
        <v>2993</v>
      </c>
      <c r="K207" t="s">
        <v>3851</v>
      </c>
      <c r="L207" t="s">
        <v>3852</v>
      </c>
      <c r="M207" s="3" t="str">
        <f>HYPERLINK(склад2въезд13192021222[[#This Row],[RelativePath]])</f>
        <v>9 Ангар пилорама\E33149364_1_20251126T150024Z.jpg</v>
      </c>
    </row>
    <row r="208" spans="1:13" x14ac:dyDescent="0.25">
      <c r="A208" s="2" t="s">
        <v>16</v>
      </c>
      <c r="B208" s="4">
        <v>45988</v>
      </c>
      <c r="C208" s="5">
        <v>0.60601851851851851</v>
      </c>
      <c r="D208" t="s">
        <v>4</v>
      </c>
      <c r="E208" t="s">
        <v>9</v>
      </c>
      <c r="H208" t="s">
        <v>2936</v>
      </c>
      <c r="I208" t="s">
        <v>3853</v>
      </c>
      <c r="J208" t="s">
        <v>2993</v>
      </c>
      <c r="K208" t="s">
        <v>3854</v>
      </c>
      <c r="L208" t="s">
        <v>3855</v>
      </c>
      <c r="M208" s="3" t="str">
        <f>HYPERLINK(склад2въезд13192021222[[#This Row],[RelativePath]])</f>
        <v>9 Ангар пилорама\E33149364_1_20251127T143240Z.jpg</v>
      </c>
    </row>
    <row r="209" spans="1:13" x14ac:dyDescent="0.25">
      <c r="A209" s="2" t="s">
        <v>17</v>
      </c>
      <c r="B209" s="4">
        <v>45989</v>
      </c>
      <c r="C209" s="5">
        <v>0.37232638888888892</v>
      </c>
      <c r="D209" t="s">
        <v>4</v>
      </c>
      <c r="E209" t="s">
        <v>9</v>
      </c>
      <c r="H209" t="s">
        <v>2936</v>
      </c>
      <c r="I209" t="s">
        <v>3856</v>
      </c>
      <c r="J209" t="s">
        <v>2993</v>
      </c>
      <c r="K209" t="s">
        <v>3857</v>
      </c>
      <c r="L209" t="s">
        <v>3858</v>
      </c>
      <c r="M209" s="3" t="str">
        <f>HYPERLINK(склад2въезд13192021222[[#This Row],[RelativePath]])</f>
        <v>9 Ангар пилорама\E33149364_1_20251128T085609Z.jpg</v>
      </c>
    </row>
    <row r="210" spans="1:13" x14ac:dyDescent="0.25">
      <c r="A210" s="2" t="s">
        <v>17</v>
      </c>
      <c r="B210" s="4">
        <v>45989</v>
      </c>
      <c r="C210" s="5">
        <v>0.37593749999999998</v>
      </c>
      <c r="D210" t="s">
        <v>4221</v>
      </c>
      <c r="E210" t="s">
        <v>86</v>
      </c>
      <c r="F210" t="s">
        <v>58</v>
      </c>
      <c r="I210" t="s">
        <v>3859</v>
      </c>
      <c r="J210" t="s">
        <v>2993</v>
      </c>
      <c r="K210" t="s">
        <v>3860</v>
      </c>
      <c r="L210" t="s">
        <v>3861</v>
      </c>
      <c r="M210" s="3" t="str">
        <f>HYPERLINK(склад2въезд13192021222[[#This Row],[RelativePath]])</f>
        <v>9 Ангар пилорама\E33149364_1_20251128T090121Z.jpg</v>
      </c>
    </row>
    <row r="211" spans="1:13" x14ac:dyDescent="0.25">
      <c r="A211" s="2" t="s">
        <v>17</v>
      </c>
      <c r="B211" s="4">
        <v>45989</v>
      </c>
      <c r="C211" s="5">
        <v>0.6215046296296296</v>
      </c>
      <c r="D211" t="s">
        <v>4</v>
      </c>
      <c r="E211" t="s">
        <v>9</v>
      </c>
      <c r="I211" t="s">
        <v>3862</v>
      </c>
      <c r="J211" t="s">
        <v>2993</v>
      </c>
      <c r="K211" t="s">
        <v>3863</v>
      </c>
      <c r="L211" t="s">
        <v>3864</v>
      </c>
      <c r="M211" s="3" t="str">
        <f>HYPERLINK(склад2въезд13192021222[[#This Row],[RelativePath]])</f>
        <v>9 Ангар пилорама\E33149364_1_20251128T145458Z.jpg</v>
      </c>
    </row>
    <row r="212" spans="1:13" x14ac:dyDescent="0.25">
      <c r="A212" s="2" t="s">
        <v>18</v>
      </c>
      <c r="B212" s="4">
        <v>45990</v>
      </c>
      <c r="C212" s="5">
        <v>0.64815972222222218</v>
      </c>
      <c r="D212" t="s">
        <v>4</v>
      </c>
      <c r="E212" t="s">
        <v>4222</v>
      </c>
      <c r="F212" t="s">
        <v>1099</v>
      </c>
      <c r="I212" t="s">
        <v>3865</v>
      </c>
      <c r="J212" t="s">
        <v>2993</v>
      </c>
      <c r="K212" t="s">
        <v>3866</v>
      </c>
      <c r="L212" t="s">
        <v>3867</v>
      </c>
      <c r="M212" s="3" t="str">
        <f>HYPERLINK(склад2въезд13192021222[[#This Row],[RelativePath]])</f>
        <v>9 Ангар пилорама\E33149364_1_20251129T153321Z.jpg</v>
      </c>
    </row>
    <row r="213" spans="1:13" x14ac:dyDescent="0.25">
      <c r="A213" s="2" t="s">
        <v>22</v>
      </c>
      <c r="B213" s="4">
        <v>45991</v>
      </c>
      <c r="C213" s="5">
        <v>0.64359953703703698</v>
      </c>
      <c r="D213" t="s">
        <v>2004</v>
      </c>
      <c r="I213" t="s">
        <v>4282</v>
      </c>
      <c r="J213" t="s">
        <v>2993</v>
      </c>
      <c r="K213" t="s">
        <v>4283</v>
      </c>
      <c r="L213" t="s">
        <v>4284</v>
      </c>
      <c r="M213" s="3" t="str">
        <f>HYPERLINK(склад2въезд13192021222[[#This Row],[RelativePath]])</f>
        <v>9 Ангар пилорама\E33149364_1_20251130T152647Z.jpg</v>
      </c>
    </row>
    <row r="214" spans="1:13" x14ac:dyDescent="0.25">
      <c r="A214" s="2" t="s">
        <v>13</v>
      </c>
      <c r="B214" s="4">
        <v>45992</v>
      </c>
      <c r="C214" s="5">
        <v>0.43488425925925928</v>
      </c>
      <c r="D214" t="s">
        <v>4</v>
      </c>
      <c r="E214" t="s">
        <v>9</v>
      </c>
      <c r="I214" t="s">
        <v>4627</v>
      </c>
      <c r="J214" t="s">
        <v>2993</v>
      </c>
      <c r="K214" t="s">
        <v>4628</v>
      </c>
      <c r="L214" t="s">
        <v>4629</v>
      </c>
      <c r="M214" s="3" t="str">
        <f>HYPERLINK(склад2въезд13192021222[[#This Row],[RelativePath]])</f>
        <v>9 Ангар пилорама\E33149364_1_20251201T102614Z.jpg</v>
      </c>
    </row>
    <row r="215" spans="1:13" x14ac:dyDescent="0.25">
      <c r="A215" s="2" t="s">
        <v>13</v>
      </c>
      <c r="B215" s="4">
        <v>45992</v>
      </c>
      <c r="C215" s="5">
        <v>0.52096064814814813</v>
      </c>
      <c r="D215" t="s">
        <v>5136</v>
      </c>
      <c r="E215" t="s">
        <v>5135</v>
      </c>
      <c r="I215" t="s">
        <v>4630</v>
      </c>
      <c r="J215" t="s">
        <v>2993</v>
      </c>
      <c r="K215" t="s">
        <v>4631</v>
      </c>
      <c r="L215" t="s">
        <v>4632</v>
      </c>
      <c r="M215" s="3" t="str">
        <f>HYPERLINK(склад2въезд13192021222[[#This Row],[RelativePath]])</f>
        <v>9 Ангар пилорама\E33149364_1_20251201T123011Z.jpg</v>
      </c>
    </row>
    <row r="216" spans="1:13" x14ac:dyDescent="0.25">
      <c r="A216" s="2" t="s">
        <v>13</v>
      </c>
      <c r="B216" s="4">
        <v>45992</v>
      </c>
      <c r="C216" s="5">
        <v>0.61699074074074078</v>
      </c>
      <c r="D216" t="s">
        <v>5136</v>
      </c>
      <c r="E216" t="s">
        <v>5135</v>
      </c>
      <c r="H216" t="s">
        <v>2936</v>
      </c>
      <c r="I216" t="s">
        <v>4633</v>
      </c>
      <c r="J216" t="s">
        <v>2993</v>
      </c>
      <c r="K216" t="s">
        <v>4634</v>
      </c>
      <c r="L216" t="s">
        <v>4635</v>
      </c>
      <c r="M216" s="3" t="str">
        <f>HYPERLINK(склад2въезд13192021222[[#This Row],[RelativePath]])</f>
        <v>9 Ангар пилорама\E33149364_1_20251201T144828Z.jpg</v>
      </c>
    </row>
    <row r="217" spans="1:13" x14ac:dyDescent="0.25">
      <c r="A217" s="2" t="s">
        <v>13</v>
      </c>
      <c r="B217" s="4">
        <v>45992</v>
      </c>
      <c r="C217" s="5">
        <v>0.62842592592592594</v>
      </c>
      <c r="D217" t="s">
        <v>1091</v>
      </c>
      <c r="E217" t="s">
        <v>5137</v>
      </c>
      <c r="F217" t="s">
        <v>1099</v>
      </c>
      <c r="I217" t="s">
        <v>4636</v>
      </c>
      <c r="J217" t="s">
        <v>2993</v>
      </c>
      <c r="K217" t="s">
        <v>4637</v>
      </c>
      <c r="L217" t="s">
        <v>4638</v>
      </c>
      <c r="M217" s="3" t="str">
        <f>HYPERLINK(склад2въезд13192021222[[#This Row],[RelativePath]])</f>
        <v>9 Ангар пилорама\E33149364_1_20251201T150456Z.jpg</v>
      </c>
    </row>
    <row r="218" spans="1:13" x14ac:dyDescent="0.25">
      <c r="A218" s="2" t="s">
        <v>13</v>
      </c>
      <c r="B218" s="4">
        <v>45992</v>
      </c>
      <c r="C218" s="5">
        <v>0.63888888888888884</v>
      </c>
      <c r="D218" t="s">
        <v>1091</v>
      </c>
      <c r="E218" t="s">
        <v>5137</v>
      </c>
      <c r="F218" t="s">
        <v>1099</v>
      </c>
      <c r="H218" t="s">
        <v>2936</v>
      </c>
      <c r="I218" t="s">
        <v>4639</v>
      </c>
      <c r="J218" t="s">
        <v>2993</v>
      </c>
      <c r="K218" t="s">
        <v>4640</v>
      </c>
      <c r="L218" t="s">
        <v>4641</v>
      </c>
      <c r="M218" s="3" t="str">
        <f>HYPERLINK(склад2въезд13192021222[[#This Row],[RelativePath]])</f>
        <v>9 Ангар пилорама\E33149364_1_20251201T152000Z.jpg</v>
      </c>
    </row>
    <row r="219" spans="1:13" x14ac:dyDescent="0.25">
      <c r="A219" s="2" t="s">
        <v>13</v>
      </c>
      <c r="B219" s="4">
        <v>45992</v>
      </c>
      <c r="C219" s="5">
        <v>0.64228009259259256</v>
      </c>
      <c r="D219" t="s">
        <v>4</v>
      </c>
      <c r="E219" t="s">
        <v>9</v>
      </c>
      <c r="I219" t="s">
        <v>4642</v>
      </c>
      <c r="J219" t="s">
        <v>2993</v>
      </c>
      <c r="K219" t="s">
        <v>4643</v>
      </c>
      <c r="L219" t="s">
        <v>4644</v>
      </c>
      <c r="M219" s="3" t="str">
        <f>HYPERLINK(склад2въезд13192021222[[#This Row],[RelativePath]])</f>
        <v>9 Ангар пилорама\E33149364_1_20251201T152453Z.jpg</v>
      </c>
    </row>
    <row r="220" spans="1:13" x14ac:dyDescent="0.25">
      <c r="A220" s="2" t="s">
        <v>13</v>
      </c>
      <c r="B220" s="4">
        <v>45992</v>
      </c>
      <c r="C220" s="5">
        <v>0.64841435185185181</v>
      </c>
      <c r="D220" t="s">
        <v>4</v>
      </c>
      <c r="E220" t="s">
        <v>9</v>
      </c>
      <c r="H220" t="s">
        <v>2936</v>
      </c>
      <c r="I220" t="s">
        <v>4645</v>
      </c>
      <c r="J220" t="s">
        <v>2993</v>
      </c>
      <c r="K220" t="s">
        <v>4646</v>
      </c>
      <c r="L220" t="s">
        <v>4647</v>
      </c>
      <c r="M220" s="3" t="str">
        <f>HYPERLINK(склад2въезд13192021222[[#This Row],[RelativePath]])</f>
        <v>9 Ангар пилорама\E33149364_1_20251201T153343Z.jpg</v>
      </c>
    </row>
    <row r="221" spans="1:13" x14ac:dyDescent="0.25">
      <c r="A221" s="2" t="s">
        <v>13</v>
      </c>
      <c r="B221" s="4">
        <v>45992</v>
      </c>
      <c r="C221" s="5">
        <v>0.65292824074074074</v>
      </c>
      <c r="D221" t="s">
        <v>4</v>
      </c>
      <c r="E221" t="s">
        <v>9</v>
      </c>
      <c r="H221" t="s">
        <v>2936</v>
      </c>
      <c r="I221" t="s">
        <v>4648</v>
      </c>
      <c r="J221" t="s">
        <v>2993</v>
      </c>
      <c r="K221" t="s">
        <v>4649</v>
      </c>
      <c r="L221" t="s">
        <v>4650</v>
      </c>
      <c r="M221" s="3" t="str">
        <f>HYPERLINK(склад2въезд13192021222[[#This Row],[RelativePath]])</f>
        <v>9 Ангар пилорама\E33149364_1_20251201T154013Z.jpg</v>
      </c>
    </row>
    <row r="222" spans="1:13" x14ac:dyDescent="0.25">
      <c r="A222" s="2" t="s">
        <v>13</v>
      </c>
      <c r="B222" s="4">
        <v>45992</v>
      </c>
      <c r="C222" s="5">
        <v>0.65981481481481485</v>
      </c>
      <c r="D222" t="s">
        <v>4</v>
      </c>
      <c r="E222" t="s">
        <v>9</v>
      </c>
      <c r="H222" t="s">
        <v>2936</v>
      </c>
      <c r="I222" t="s">
        <v>4651</v>
      </c>
      <c r="J222" t="s">
        <v>2993</v>
      </c>
      <c r="K222" t="s">
        <v>4652</v>
      </c>
      <c r="L222" t="s">
        <v>4653</v>
      </c>
      <c r="M222" s="3" t="str">
        <f>HYPERLINK(склад2въезд13192021222[[#This Row],[RelativePath]])</f>
        <v>9 Ангар пилорама\E33149364_1_20251201T155008Z.jpg</v>
      </c>
    </row>
    <row r="223" spans="1:13" x14ac:dyDescent="0.25">
      <c r="A223" s="2" t="s">
        <v>13</v>
      </c>
      <c r="B223" s="4">
        <v>45992</v>
      </c>
      <c r="C223" s="5">
        <v>0.68824074074074071</v>
      </c>
      <c r="D223" t="s">
        <v>4</v>
      </c>
      <c r="E223" t="s">
        <v>9</v>
      </c>
      <c r="H223" t="s">
        <v>2936</v>
      </c>
      <c r="I223" t="s">
        <v>4654</v>
      </c>
      <c r="J223" t="s">
        <v>2993</v>
      </c>
      <c r="K223" t="s">
        <v>4655</v>
      </c>
      <c r="L223" t="s">
        <v>4656</v>
      </c>
      <c r="M223" s="3" t="str">
        <f>HYPERLINK(склад2въезд13192021222[[#This Row],[RelativePath]])</f>
        <v>9 Ангар пилорама\E33149364_1_20251201T163104Z.jpg</v>
      </c>
    </row>
    <row r="224" spans="1:13" x14ac:dyDescent="0.25">
      <c r="A224" s="2" t="s">
        <v>13</v>
      </c>
      <c r="B224" s="4">
        <v>45992</v>
      </c>
      <c r="C224" s="5">
        <v>0.81041666666666667</v>
      </c>
      <c r="D224" t="s">
        <v>4</v>
      </c>
      <c r="E224" t="s">
        <v>9</v>
      </c>
      <c r="H224" t="s">
        <v>2936</v>
      </c>
      <c r="I224" t="s">
        <v>4657</v>
      </c>
      <c r="J224" t="s">
        <v>2993</v>
      </c>
      <c r="K224" t="s">
        <v>4658</v>
      </c>
      <c r="L224" t="s">
        <v>4659</v>
      </c>
      <c r="M224" s="3" t="str">
        <f>HYPERLINK(склад2въезд13192021222[[#This Row],[RelativePath]])</f>
        <v>9 Ангар пилорама\E33149364_1_20251201T192700Z.jpg</v>
      </c>
    </row>
    <row r="225" spans="1:13" x14ac:dyDescent="0.25">
      <c r="A225" s="2" t="s">
        <v>13</v>
      </c>
      <c r="B225" s="4">
        <v>45992</v>
      </c>
      <c r="C225" s="5">
        <v>0.87575231481481486</v>
      </c>
      <c r="D225" t="s">
        <v>4</v>
      </c>
      <c r="E225" t="s">
        <v>9</v>
      </c>
      <c r="H225" t="s">
        <v>2936</v>
      </c>
      <c r="I225" t="s">
        <v>4660</v>
      </c>
      <c r="J225" t="s">
        <v>2993</v>
      </c>
      <c r="K225" t="s">
        <v>4661</v>
      </c>
      <c r="L225" t="s">
        <v>4662</v>
      </c>
      <c r="M225" s="3" t="str">
        <f>HYPERLINK(склад2въезд13192021222[[#This Row],[RelativePath]])</f>
        <v>9 Ангар пилорама\E33149364_1_20251201T210105Z.jpg</v>
      </c>
    </row>
    <row r="226" spans="1:13" x14ac:dyDescent="0.25">
      <c r="A226" s="2" t="s">
        <v>13</v>
      </c>
      <c r="B226" s="4">
        <v>45992</v>
      </c>
      <c r="C226" s="5">
        <v>0.93390046296296292</v>
      </c>
      <c r="D226" t="s">
        <v>4</v>
      </c>
      <c r="E226" t="s">
        <v>9</v>
      </c>
      <c r="H226" t="s">
        <v>2936</v>
      </c>
      <c r="I226" t="s">
        <v>4663</v>
      </c>
      <c r="J226" t="s">
        <v>2993</v>
      </c>
      <c r="K226" t="s">
        <v>4664</v>
      </c>
      <c r="L226" t="s">
        <v>4665</v>
      </c>
      <c r="M226" s="3" t="str">
        <f>HYPERLINK(склад2въезд13192021222[[#This Row],[RelativePath]])</f>
        <v>9 Ангар пилорама\E33149364_1_20251201T222449Z.jpg</v>
      </c>
    </row>
    <row r="227" spans="1:13" x14ac:dyDescent="0.25">
      <c r="A227" s="2" t="s">
        <v>14</v>
      </c>
      <c r="B227" s="4">
        <v>45993</v>
      </c>
      <c r="C227" s="5">
        <v>2.792824074074074E-2</v>
      </c>
      <c r="D227" t="s">
        <v>4</v>
      </c>
      <c r="E227" t="s">
        <v>9</v>
      </c>
      <c r="H227" t="s">
        <v>2936</v>
      </c>
      <c r="I227" t="s">
        <v>4666</v>
      </c>
      <c r="J227" t="s">
        <v>2993</v>
      </c>
      <c r="K227" t="s">
        <v>4667</v>
      </c>
      <c r="L227" t="s">
        <v>4668</v>
      </c>
      <c r="M227" s="3" t="str">
        <f>HYPERLINK(склад2въезд13192021222[[#This Row],[RelativePath]])</f>
        <v>9 Ангар пилорама\E33149364_1_20251202T004013Z.jpg</v>
      </c>
    </row>
    <row r="228" spans="1:13" x14ac:dyDescent="0.25">
      <c r="A228" s="2" t="s">
        <v>14</v>
      </c>
      <c r="B228" s="4">
        <v>45993</v>
      </c>
      <c r="C228" s="5">
        <v>0.29055555555555557</v>
      </c>
      <c r="D228" t="s">
        <v>4</v>
      </c>
      <c r="E228" t="s">
        <v>9</v>
      </c>
      <c r="H228" t="s">
        <v>2936</v>
      </c>
      <c r="I228" t="s">
        <v>4669</v>
      </c>
      <c r="J228" t="s">
        <v>2993</v>
      </c>
      <c r="K228" t="s">
        <v>4670</v>
      </c>
      <c r="L228" t="s">
        <v>4671</v>
      </c>
      <c r="M228" s="3" t="str">
        <f>HYPERLINK(склад2въезд13192021222[[#This Row],[RelativePath]])</f>
        <v>9 Ангар пилорама\E33149364_1_20251202T065824Z.jpg</v>
      </c>
    </row>
    <row r="229" spans="1:13" x14ac:dyDescent="0.25">
      <c r="A229" s="2" t="s">
        <v>14</v>
      </c>
      <c r="B229" s="4">
        <v>45993</v>
      </c>
      <c r="C229" s="5">
        <v>0.35776620370370371</v>
      </c>
      <c r="D229" t="s">
        <v>4</v>
      </c>
      <c r="E229" t="s">
        <v>9</v>
      </c>
      <c r="H229" t="s">
        <v>2936</v>
      </c>
      <c r="I229" t="s">
        <v>4672</v>
      </c>
      <c r="J229" t="s">
        <v>2993</v>
      </c>
      <c r="K229" t="s">
        <v>4673</v>
      </c>
      <c r="L229" t="s">
        <v>4674</v>
      </c>
      <c r="M229" s="3" t="str">
        <f>HYPERLINK(склад2въезд13192021222[[#This Row],[RelativePath]])</f>
        <v>9 Ангар пилорама\E33149364_1_20251202T083511Z.jpg</v>
      </c>
    </row>
    <row r="230" spans="1:13" x14ac:dyDescent="0.25">
      <c r="A230" s="2" t="s">
        <v>14</v>
      </c>
      <c r="B230" s="4">
        <v>45993</v>
      </c>
      <c r="C230" s="5">
        <v>0.37357638888888889</v>
      </c>
      <c r="D230" t="s">
        <v>4</v>
      </c>
      <c r="E230" t="s">
        <v>9</v>
      </c>
      <c r="H230" t="s">
        <v>2936</v>
      </c>
      <c r="I230" t="s">
        <v>4675</v>
      </c>
      <c r="J230" t="s">
        <v>2993</v>
      </c>
      <c r="K230" t="s">
        <v>4676</v>
      </c>
      <c r="L230" t="s">
        <v>4677</v>
      </c>
      <c r="M230" s="3" t="str">
        <f>HYPERLINK(склад2въезд13192021222[[#This Row],[RelativePath]])</f>
        <v>9 Ангар пилорама\E33149364_1_20251202T085757Z.jpg</v>
      </c>
    </row>
    <row r="231" spans="1:13" x14ac:dyDescent="0.25">
      <c r="A231" s="2" t="s">
        <v>14</v>
      </c>
      <c r="B231" s="4">
        <v>45993</v>
      </c>
      <c r="C231" s="5">
        <v>0.40696759259259258</v>
      </c>
      <c r="D231" t="s">
        <v>1091</v>
      </c>
      <c r="E231" t="s">
        <v>1607</v>
      </c>
      <c r="F231" t="s">
        <v>58</v>
      </c>
      <c r="I231" t="s">
        <v>4678</v>
      </c>
      <c r="J231" t="s">
        <v>2993</v>
      </c>
      <c r="K231" t="s">
        <v>4679</v>
      </c>
      <c r="L231" t="s">
        <v>4680</v>
      </c>
      <c r="M231" s="3" t="str">
        <f>HYPERLINK(склад2въезд13192021222[[#This Row],[RelativePath]])</f>
        <v>9 Ангар пилорама\E33149364_1_20251202T094602Z.jpg</v>
      </c>
    </row>
    <row r="232" spans="1:13" x14ac:dyDescent="0.25">
      <c r="A232" s="2" t="s">
        <v>14</v>
      </c>
      <c r="B232" s="4">
        <v>45993</v>
      </c>
      <c r="C232" s="5">
        <v>0.45527777777777778</v>
      </c>
      <c r="D232" t="s">
        <v>4</v>
      </c>
      <c r="E232" t="s">
        <v>9</v>
      </c>
      <c r="H232" t="s">
        <v>2936</v>
      </c>
      <c r="I232" t="s">
        <v>4681</v>
      </c>
      <c r="J232" t="s">
        <v>2993</v>
      </c>
      <c r="K232" t="s">
        <v>4682</v>
      </c>
      <c r="L232" t="s">
        <v>4683</v>
      </c>
      <c r="M232" s="3" t="str">
        <f>HYPERLINK(склад2въезд13192021222[[#This Row],[RelativePath]])</f>
        <v>9 Ангар пилорама\E33149364_1_20251202T105536Z.jpg</v>
      </c>
    </row>
    <row r="233" spans="1:13" x14ac:dyDescent="0.25">
      <c r="A233" s="2" t="s">
        <v>14</v>
      </c>
      <c r="B233" s="4">
        <v>45993</v>
      </c>
      <c r="C233" s="5">
        <v>0.4909027777777778</v>
      </c>
      <c r="D233" t="s">
        <v>1091</v>
      </c>
      <c r="E233" t="s">
        <v>1607</v>
      </c>
      <c r="F233" t="s">
        <v>58</v>
      </c>
      <c r="I233" t="s">
        <v>4684</v>
      </c>
      <c r="J233" t="s">
        <v>2993</v>
      </c>
      <c r="K233" t="s">
        <v>4685</v>
      </c>
      <c r="L233" t="s">
        <v>4686</v>
      </c>
      <c r="M233" s="3" t="str">
        <f>HYPERLINK(склад2въезд13192021222[[#This Row],[RelativePath]])</f>
        <v>9 Ангар пилорама\E33149364_1_20251202T114654Z.jpg</v>
      </c>
    </row>
    <row r="234" spans="1:13" x14ac:dyDescent="0.25">
      <c r="A234" s="2" t="s">
        <v>14</v>
      </c>
      <c r="B234" s="4">
        <v>45993</v>
      </c>
      <c r="C234" s="5">
        <v>0.52810185185185188</v>
      </c>
      <c r="D234" t="s">
        <v>4</v>
      </c>
      <c r="E234" t="s">
        <v>9</v>
      </c>
      <c r="H234" t="s">
        <v>2936</v>
      </c>
      <c r="I234" t="s">
        <v>4687</v>
      </c>
      <c r="J234" t="s">
        <v>2993</v>
      </c>
      <c r="K234" t="s">
        <v>4688</v>
      </c>
      <c r="L234" t="s">
        <v>4689</v>
      </c>
      <c r="M234" s="3" t="str">
        <f>HYPERLINK(склад2въезд13192021222[[#This Row],[RelativePath]])</f>
        <v>9 Ангар пилорама\E33149364_1_20251202T124028Z.jpg</v>
      </c>
    </row>
    <row r="235" spans="1:13" x14ac:dyDescent="0.25">
      <c r="A235" s="2" t="s">
        <v>14</v>
      </c>
      <c r="B235" s="4">
        <v>45993</v>
      </c>
      <c r="C235" s="5">
        <v>0.63230324074074074</v>
      </c>
      <c r="D235" t="s">
        <v>1091</v>
      </c>
      <c r="E235" t="s">
        <v>1607</v>
      </c>
      <c r="F235" t="s">
        <v>58</v>
      </c>
      <c r="I235" t="s">
        <v>4690</v>
      </c>
      <c r="J235" t="s">
        <v>2993</v>
      </c>
      <c r="K235" t="s">
        <v>4691</v>
      </c>
      <c r="L235" t="s">
        <v>4692</v>
      </c>
      <c r="M235" s="3" t="str">
        <f>HYPERLINK(склад2въезд13192021222[[#This Row],[RelativePath]])</f>
        <v>9 Ангар пилорама\E33149364_1_20251202T151031Z.jpg</v>
      </c>
    </row>
    <row r="236" spans="1:13" x14ac:dyDescent="0.25">
      <c r="A236" s="2" t="s">
        <v>14</v>
      </c>
      <c r="B236" s="4">
        <v>45993</v>
      </c>
      <c r="C236" s="5">
        <v>0.6548842592592593</v>
      </c>
      <c r="D236" t="s">
        <v>4</v>
      </c>
      <c r="E236" t="s">
        <v>9</v>
      </c>
      <c r="H236" t="s">
        <v>2936</v>
      </c>
      <c r="I236" t="s">
        <v>4693</v>
      </c>
      <c r="J236" t="s">
        <v>2993</v>
      </c>
      <c r="K236" t="s">
        <v>4694</v>
      </c>
      <c r="L236" t="s">
        <v>4695</v>
      </c>
      <c r="M236" s="3" t="str">
        <f>HYPERLINK(склад2въезд13192021222[[#This Row],[RelativePath]])</f>
        <v>9 Ангар пилорама\E33149364_1_20251202T154302Z.jpg</v>
      </c>
    </row>
    <row r="237" spans="1:13" x14ac:dyDescent="0.25">
      <c r="A237" s="2" t="s">
        <v>14</v>
      </c>
      <c r="B237" s="4">
        <v>45993</v>
      </c>
      <c r="C237" s="5">
        <v>0.68059027777777781</v>
      </c>
      <c r="D237" t="s">
        <v>1091</v>
      </c>
      <c r="E237" t="s">
        <v>1607</v>
      </c>
      <c r="F237" t="s">
        <v>58</v>
      </c>
      <c r="I237" t="s">
        <v>4696</v>
      </c>
      <c r="J237" t="s">
        <v>2993</v>
      </c>
      <c r="K237" t="s">
        <v>4697</v>
      </c>
      <c r="L237" t="s">
        <v>4698</v>
      </c>
      <c r="M237" s="3" t="str">
        <f>HYPERLINK(склад2въезд13192021222[[#This Row],[RelativePath]])</f>
        <v>9 Ангар пилорама\E33149364_1_20251202T162003Z.jpg</v>
      </c>
    </row>
    <row r="238" spans="1:13" x14ac:dyDescent="0.25">
      <c r="A238" s="2" t="s">
        <v>14</v>
      </c>
      <c r="B238" s="4">
        <v>45993</v>
      </c>
      <c r="C238" s="5">
        <v>0.86738425925925922</v>
      </c>
      <c r="D238" t="s">
        <v>4</v>
      </c>
      <c r="E238" t="s">
        <v>9</v>
      </c>
      <c r="I238" t="s">
        <v>4699</v>
      </c>
      <c r="J238" t="s">
        <v>2993</v>
      </c>
      <c r="K238" t="s">
        <v>4700</v>
      </c>
      <c r="L238" t="s">
        <v>4701</v>
      </c>
      <c r="M238" s="3" t="str">
        <f>HYPERLINK(склад2въезд13192021222[[#This Row],[RelativePath]])</f>
        <v>9 Ангар пилорама\E33149364_1_20251202T204902Z.jpg</v>
      </c>
    </row>
    <row r="239" spans="1:13" x14ac:dyDescent="0.25">
      <c r="A239" s="2" t="s">
        <v>14</v>
      </c>
      <c r="B239" s="4">
        <v>45993</v>
      </c>
      <c r="C239" s="5">
        <v>0.89799768518518519</v>
      </c>
      <c r="D239" t="s">
        <v>4</v>
      </c>
      <c r="E239" t="s">
        <v>9</v>
      </c>
      <c r="H239" t="s">
        <v>2936</v>
      </c>
      <c r="I239" t="s">
        <v>4702</v>
      </c>
      <c r="J239" t="s">
        <v>2993</v>
      </c>
      <c r="K239" t="s">
        <v>4703</v>
      </c>
      <c r="L239" t="s">
        <v>4704</v>
      </c>
      <c r="M239" s="3" t="str">
        <f>HYPERLINK(склад2въезд13192021222[[#This Row],[RelativePath]])</f>
        <v>9 Ангар пилорама\E33149364_1_20251202T213307Z.jpg</v>
      </c>
    </row>
    <row r="240" spans="1:13" x14ac:dyDescent="0.25">
      <c r="A240" s="2" t="s">
        <v>14</v>
      </c>
      <c r="B240" s="4">
        <v>45993</v>
      </c>
      <c r="C240" s="5">
        <v>0.93125000000000002</v>
      </c>
      <c r="D240" t="s">
        <v>4</v>
      </c>
      <c r="E240" t="s">
        <v>9</v>
      </c>
      <c r="H240" t="s">
        <v>2936</v>
      </c>
      <c r="I240" t="s">
        <v>4705</v>
      </c>
      <c r="J240" t="s">
        <v>2993</v>
      </c>
      <c r="K240" t="s">
        <v>4706</v>
      </c>
      <c r="L240" t="s">
        <v>4707</v>
      </c>
      <c r="M240" s="3" t="str">
        <f>HYPERLINK(склад2въезд13192021222[[#This Row],[RelativePath]])</f>
        <v>9 Ангар пилорама\E33149364_1_20251202T222100Z.jpg</v>
      </c>
    </row>
    <row r="241" spans="1:13" x14ac:dyDescent="0.25">
      <c r="A241" s="2" t="s">
        <v>14</v>
      </c>
      <c r="B241" s="4">
        <v>45993</v>
      </c>
      <c r="C241" s="5">
        <v>0.95002314814814814</v>
      </c>
      <c r="D241" t="s">
        <v>4</v>
      </c>
      <c r="E241" t="s">
        <v>9</v>
      </c>
      <c r="H241" t="s">
        <v>2936</v>
      </c>
      <c r="I241" t="s">
        <v>4708</v>
      </c>
      <c r="J241" t="s">
        <v>2993</v>
      </c>
      <c r="K241" t="s">
        <v>4709</v>
      </c>
      <c r="L241" t="s">
        <v>4710</v>
      </c>
      <c r="M241" s="3" t="str">
        <f>HYPERLINK(склад2въезд13192021222[[#This Row],[RelativePath]])</f>
        <v>9 Ангар пилорама\E33149364_1_20251202T224802Z.jpg</v>
      </c>
    </row>
    <row r="242" spans="1:13" x14ac:dyDescent="0.25">
      <c r="A242" s="2" t="s">
        <v>15</v>
      </c>
      <c r="B242" s="4">
        <v>45994</v>
      </c>
      <c r="C242" s="5">
        <v>0.2439699074074074</v>
      </c>
      <c r="D242" t="s">
        <v>4</v>
      </c>
      <c r="E242" t="s">
        <v>9</v>
      </c>
      <c r="H242" t="s">
        <v>2936</v>
      </c>
      <c r="I242" t="s">
        <v>4711</v>
      </c>
      <c r="J242" t="s">
        <v>2993</v>
      </c>
      <c r="K242" t="s">
        <v>4712</v>
      </c>
      <c r="L242" t="s">
        <v>4713</v>
      </c>
      <c r="M242" s="3" t="str">
        <f>HYPERLINK(склад2въезд13192021222[[#This Row],[RelativePath]])</f>
        <v>9 Ангар пилорама\E33149364_1_20251203T055119Z.jpg</v>
      </c>
    </row>
    <row r="243" spans="1:13" x14ac:dyDescent="0.25">
      <c r="A243" s="2" t="s">
        <v>15</v>
      </c>
      <c r="B243" s="4">
        <v>45994</v>
      </c>
      <c r="C243" s="5">
        <v>0.3001388888888889</v>
      </c>
      <c r="D243" t="s">
        <v>4</v>
      </c>
      <c r="E243" t="s">
        <v>9</v>
      </c>
      <c r="H243" t="s">
        <v>2936</v>
      </c>
      <c r="I243" t="s">
        <v>4714</v>
      </c>
      <c r="J243" t="s">
        <v>2993</v>
      </c>
      <c r="K243" t="s">
        <v>4715</v>
      </c>
      <c r="L243" t="s">
        <v>4716</v>
      </c>
      <c r="M243" s="3" t="str">
        <f>HYPERLINK(склад2въезд13192021222[[#This Row],[RelativePath]])</f>
        <v>9 Ангар пилорама\E33149364_1_20251203T071212Z.jpg</v>
      </c>
    </row>
    <row r="244" spans="1:13" x14ac:dyDescent="0.25">
      <c r="A244" s="2" t="s">
        <v>15</v>
      </c>
      <c r="B244" s="4">
        <v>45994</v>
      </c>
      <c r="C244" s="5">
        <v>0.38429398148148147</v>
      </c>
      <c r="D244" t="s">
        <v>1091</v>
      </c>
      <c r="E244" t="s">
        <v>531</v>
      </c>
      <c r="F244" t="s">
        <v>2944</v>
      </c>
      <c r="I244" t="s">
        <v>4717</v>
      </c>
      <c r="J244" t="s">
        <v>2993</v>
      </c>
      <c r="K244" t="s">
        <v>4718</v>
      </c>
      <c r="L244" t="s">
        <v>4719</v>
      </c>
      <c r="M244" s="3" t="str">
        <f>HYPERLINK(склад2въезд13192021222[[#This Row],[RelativePath]])</f>
        <v>9 Ангар пилорама\E33149364_1_20251203T091323Z.jpg</v>
      </c>
    </row>
    <row r="245" spans="1:13" x14ac:dyDescent="0.25">
      <c r="A245" s="2" t="s">
        <v>15</v>
      </c>
      <c r="B245" s="4">
        <v>45994</v>
      </c>
      <c r="C245" s="5">
        <v>0.48265046296296299</v>
      </c>
      <c r="D245" t="s">
        <v>4</v>
      </c>
      <c r="E245" t="s">
        <v>9</v>
      </c>
      <c r="H245" t="s">
        <v>2936</v>
      </c>
      <c r="I245" t="s">
        <v>4720</v>
      </c>
      <c r="J245" t="s">
        <v>2993</v>
      </c>
      <c r="K245" t="s">
        <v>4721</v>
      </c>
      <c r="L245" t="s">
        <v>4722</v>
      </c>
      <c r="M245" s="3" t="str">
        <f>HYPERLINK(склад2въезд13192021222[[#This Row],[RelativePath]])</f>
        <v>9 Ангар пилорама\E33149364_1_20251203T113501Z.jpg</v>
      </c>
    </row>
    <row r="246" spans="1:13" x14ac:dyDescent="0.25">
      <c r="A246" s="2" t="s">
        <v>15</v>
      </c>
      <c r="B246" s="4">
        <v>45994</v>
      </c>
      <c r="C246" s="5">
        <v>0.59920138888888885</v>
      </c>
      <c r="D246" t="s">
        <v>1091</v>
      </c>
      <c r="E246" t="s">
        <v>1607</v>
      </c>
      <c r="F246" t="s">
        <v>58</v>
      </c>
      <c r="I246" t="s">
        <v>4723</v>
      </c>
      <c r="J246" t="s">
        <v>2993</v>
      </c>
      <c r="K246" t="s">
        <v>4724</v>
      </c>
      <c r="L246" t="s">
        <v>4725</v>
      </c>
      <c r="M246" s="3" t="str">
        <f>HYPERLINK(склад2въезд13192021222[[#This Row],[RelativePath]])</f>
        <v>9 Ангар пилорама\E33149364_1_20251203T142251Z.jpg</v>
      </c>
    </row>
    <row r="247" spans="1:13" x14ac:dyDescent="0.25">
      <c r="A247" s="2" t="s">
        <v>15</v>
      </c>
      <c r="B247" s="4">
        <v>45994</v>
      </c>
      <c r="C247" s="5">
        <v>0.66181712962962957</v>
      </c>
      <c r="D247" t="s">
        <v>4</v>
      </c>
      <c r="E247" t="s">
        <v>9</v>
      </c>
      <c r="H247" t="s">
        <v>2936</v>
      </c>
      <c r="I247" t="s">
        <v>4726</v>
      </c>
      <c r="J247" t="s">
        <v>2993</v>
      </c>
      <c r="K247" t="s">
        <v>4727</v>
      </c>
      <c r="L247" t="s">
        <v>4728</v>
      </c>
      <c r="M247" s="3" t="str">
        <f>HYPERLINK(склад2въезд13192021222[[#This Row],[RelativePath]])</f>
        <v>9 Ангар пилорама\E33149364_1_20251203T155301Z.jpg</v>
      </c>
    </row>
    <row r="248" spans="1:13" x14ac:dyDescent="0.25">
      <c r="A248" s="2" t="s">
        <v>15</v>
      </c>
      <c r="B248" s="4">
        <v>45994</v>
      </c>
      <c r="C248" s="5">
        <v>0.66238425925925926</v>
      </c>
      <c r="D248" t="s">
        <v>1091</v>
      </c>
      <c r="E248" t="s">
        <v>1607</v>
      </c>
      <c r="F248" t="s">
        <v>58</v>
      </c>
      <c r="I248" t="s">
        <v>4729</v>
      </c>
      <c r="J248" t="s">
        <v>2993</v>
      </c>
      <c r="K248" t="s">
        <v>4730</v>
      </c>
      <c r="L248" t="s">
        <v>4731</v>
      </c>
      <c r="M248" s="3" t="str">
        <f>HYPERLINK(склад2въезд13192021222[[#This Row],[RelativePath]])</f>
        <v>9 Ангар пилорама\E33149364_1_20251203T155350Z.jpg</v>
      </c>
    </row>
    <row r="249" spans="1:13" x14ac:dyDescent="0.25">
      <c r="A249" s="2" t="s">
        <v>15</v>
      </c>
      <c r="B249" s="4">
        <v>45994</v>
      </c>
      <c r="C249" s="5">
        <v>0.81554398148148144</v>
      </c>
      <c r="D249" t="s">
        <v>4</v>
      </c>
      <c r="E249" t="s">
        <v>9</v>
      </c>
      <c r="H249" t="s">
        <v>2936</v>
      </c>
      <c r="I249" t="s">
        <v>4732</v>
      </c>
      <c r="J249" t="s">
        <v>2993</v>
      </c>
      <c r="K249" t="s">
        <v>4733</v>
      </c>
      <c r="L249" t="s">
        <v>4734</v>
      </c>
      <c r="M249" s="3" t="str">
        <f>HYPERLINK(склад2въезд13192021222[[#This Row],[RelativePath]])</f>
        <v>9 Ангар пилорама\E33149364_1_20251203T193423Z.jpg</v>
      </c>
    </row>
    <row r="250" spans="1:13" x14ac:dyDescent="0.25">
      <c r="A250" s="2" t="s">
        <v>15</v>
      </c>
      <c r="B250" s="4">
        <v>45994</v>
      </c>
      <c r="C250" s="5">
        <v>0.84813657407407406</v>
      </c>
      <c r="D250" t="s">
        <v>4</v>
      </c>
      <c r="E250" t="s">
        <v>9</v>
      </c>
      <c r="H250" t="s">
        <v>2936</v>
      </c>
      <c r="I250" t="s">
        <v>4735</v>
      </c>
      <c r="J250" t="s">
        <v>2993</v>
      </c>
      <c r="K250" t="s">
        <v>4736</v>
      </c>
      <c r="L250" t="s">
        <v>4737</v>
      </c>
      <c r="M250" s="3" t="str">
        <f>HYPERLINK(склад2въезд13192021222[[#This Row],[RelativePath]])</f>
        <v>9 Ангар пилорама\E33149364_1_20251203T202119Z.jpg</v>
      </c>
    </row>
    <row r="251" spans="1:13" x14ac:dyDescent="0.25">
      <c r="A251" s="2" t="s">
        <v>15</v>
      </c>
      <c r="B251" s="4">
        <v>45994</v>
      </c>
      <c r="C251" s="5">
        <v>0.86496527777777776</v>
      </c>
      <c r="D251" t="s">
        <v>4</v>
      </c>
      <c r="E251" t="s">
        <v>9</v>
      </c>
      <c r="H251" t="s">
        <v>2936</v>
      </c>
      <c r="I251" t="s">
        <v>4738</v>
      </c>
      <c r="J251" t="s">
        <v>2993</v>
      </c>
      <c r="K251" t="s">
        <v>4739</v>
      </c>
      <c r="L251" t="s">
        <v>4740</v>
      </c>
      <c r="M251" s="3" t="str">
        <f>HYPERLINK(склад2въезд13192021222[[#This Row],[RelativePath]])</f>
        <v>9 Ангар пилорама\E33149364_1_20251203T204533Z.jpg</v>
      </c>
    </row>
    <row r="252" spans="1:13" x14ac:dyDescent="0.25">
      <c r="A252" s="2" t="s">
        <v>15</v>
      </c>
      <c r="B252" s="4">
        <v>45994</v>
      </c>
      <c r="C252" s="5">
        <v>0.89991898148148153</v>
      </c>
      <c r="D252" t="s">
        <v>4</v>
      </c>
      <c r="E252" t="s">
        <v>9</v>
      </c>
      <c r="H252" t="s">
        <v>2936</v>
      </c>
      <c r="I252" t="s">
        <v>4741</v>
      </c>
      <c r="J252" t="s">
        <v>2993</v>
      </c>
      <c r="K252" t="s">
        <v>4742</v>
      </c>
      <c r="L252" t="s">
        <v>4743</v>
      </c>
      <c r="M252" s="3" t="str">
        <f>HYPERLINK(склад2въезд13192021222[[#This Row],[RelativePath]])</f>
        <v>9 Ангар пилорама\E33149364_1_20251203T213553Z.jpg</v>
      </c>
    </row>
    <row r="253" spans="1:13" x14ac:dyDescent="0.25">
      <c r="A253" s="2" t="s">
        <v>15</v>
      </c>
      <c r="B253" s="4">
        <v>45994</v>
      </c>
      <c r="C253" s="5">
        <v>0.96967592592592589</v>
      </c>
      <c r="D253" t="s">
        <v>4</v>
      </c>
      <c r="E253" t="s">
        <v>9</v>
      </c>
      <c r="H253" t="s">
        <v>2936</v>
      </c>
      <c r="I253" t="s">
        <v>4744</v>
      </c>
      <c r="J253" t="s">
        <v>2993</v>
      </c>
      <c r="K253" t="s">
        <v>4745</v>
      </c>
      <c r="L253" t="s">
        <v>4746</v>
      </c>
      <c r="M253" s="3" t="str">
        <f>HYPERLINK(склад2въезд13192021222[[#This Row],[RelativePath]])</f>
        <v>9 Ангар пилорама\E33149364_1_20251203T231620Z.jpg</v>
      </c>
    </row>
    <row r="254" spans="1:13" x14ac:dyDescent="0.25">
      <c r="A254" s="2" t="s">
        <v>16</v>
      </c>
      <c r="B254" s="4">
        <v>45995</v>
      </c>
      <c r="C254" s="5">
        <v>0.25947916666666665</v>
      </c>
      <c r="D254" t="s">
        <v>4</v>
      </c>
      <c r="E254" t="s">
        <v>9</v>
      </c>
      <c r="H254" t="s">
        <v>2936</v>
      </c>
      <c r="I254" t="s">
        <v>4747</v>
      </c>
      <c r="J254" t="s">
        <v>2993</v>
      </c>
      <c r="K254" t="s">
        <v>4748</v>
      </c>
      <c r="L254" t="s">
        <v>4749</v>
      </c>
      <c r="M254" s="3" t="str">
        <f>HYPERLINK(склад2въезд13192021222[[#This Row],[RelativePath]])</f>
        <v>9 Ангар пилорама\E33149364_1_20251204T061339Z.jpg</v>
      </c>
    </row>
    <row r="255" spans="1:13" x14ac:dyDescent="0.25">
      <c r="A255" s="2" t="s">
        <v>16</v>
      </c>
      <c r="B255" s="4">
        <v>45995</v>
      </c>
      <c r="C255" s="5">
        <v>0.41024305555555557</v>
      </c>
      <c r="D255" t="s">
        <v>4</v>
      </c>
      <c r="E255" t="s">
        <v>9</v>
      </c>
      <c r="H255" t="s">
        <v>2936</v>
      </c>
      <c r="I255" t="s">
        <v>4750</v>
      </c>
      <c r="J255" t="s">
        <v>2993</v>
      </c>
      <c r="K255" t="s">
        <v>4751</v>
      </c>
      <c r="L255" t="s">
        <v>4752</v>
      </c>
      <c r="M255" s="3" t="str">
        <f>HYPERLINK(склад2въезд13192021222[[#This Row],[RelativePath]])</f>
        <v>9 Ангар пилорама\E33149364_1_20251204T095045Z.jpg</v>
      </c>
    </row>
    <row r="256" spans="1:13" x14ac:dyDescent="0.25">
      <c r="A256" s="2" t="s">
        <v>16</v>
      </c>
      <c r="B256" s="4">
        <v>45995</v>
      </c>
      <c r="C256" s="5">
        <v>0.51766203703703706</v>
      </c>
      <c r="D256" t="s">
        <v>4</v>
      </c>
      <c r="E256" t="s">
        <v>531</v>
      </c>
      <c r="F256" t="s">
        <v>1099</v>
      </c>
      <c r="H256" t="s">
        <v>5138</v>
      </c>
      <c r="I256" t="s">
        <v>4753</v>
      </c>
      <c r="J256" t="s">
        <v>2993</v>
      </c>
      <c r="K256" t="s">
        <v>4754</v>
      </c>
      <c r="L256" t="s">
        <v>4755</v>
      </c>
      <c r="M256" s="3" t="str">
        <f>HYPERLINK(склад2въезд13192021222[[#This Row],[RelativePath]])</f>
        <v>9 Ангар пилорама\E33149364_1_20251204T122526Z.jpg</v>
      </c>
    </row>
    <row r="257" spans="1:13" x14ac:dyDescent="0.25">
      <c r="A257" s="2" t="s">
        <v>16</v>
      </c>
      <c r="B257" s="4">
        <v>45995</v>
      </c>
      <c r="C257" s="5">
        <v>0.65459490740740744</v>
      </c>
      <c r="D257" t="s">
        <v>4</v>
      </c>
      <c r="E257" t="s">
        <v>9</v>
      </c>
      <c r="H257" t="s">
        <v>2936</v>
      </c>
      <c r="I257" t="s">
        <v>4756</v>
      </c>
      <c r="J257" t="s">
        <v>2993</v>
      </c>
      <c r="K257" t="s">
        <v>4757</v>
      </c>
      <c r="L257" t="s">
        <v>4758</v>
      </c>
      <c r="M257" s="3" t="str">
        <f>HYPERLINK(склад2въезд13192021222[[#This Row],[RelativePath]])</f>
        <v>9 Ангар пилорама\E33149364_1_20251204T154237Z.jpg</v>
      </c>
    </row>
    <row r="258" spans="1:13" x14ac:dyDescent="0.25">
      <c r="A258" s="2" t="s">
        <v>16</v>
      </c>
      <c r="B258" s="4">
        <v>45995</v>
      </c>
      <c r="C258" s="5">
        <v>0.66618055555555555</v>
      </c>
      <c r="D258" t="s">
        <v>1091</v>
      </c>
      <c r="E258" t="s">
        <v>1607</v>
      </c>
      <c r="F258" t="s">
        <v>58</v>
      </c>
      <c r="I258" t="s">
        <v>4759</v>
      </c>
      <c r="J258" t="s">
        <v>2993</v>
      </c>
      <c r="K258" t="s">
        <v>4760</v>
      </c>
      <c r="L258" t="s">
        <v>4761</v>
      </c>
      <c r="M258" s="3" t="str">
        <f>HYPERLINK(склад2въезд13192021222[[#This Row],[RelativePath]])</f>
        <v>9 Ангар пилорама\E33149364_1_20251204T155918Z.jpg</v>
      </c>
    </row>
    <row r="259" spans="1:13" x14ac:dyDescent="0.25">
      <c r="A259" s="2" t="s">
        <v>16</v>
      </c>
      <c r="B259" s="4">
        <v>45995</v>
      </c>
      <c r="C259" s="5">
        <v>0.68076388888888884</v>
      </c>
      <c r="D259" t="s">
        <v>4</v>
      </c>
      <c r="E259" t="s">
        <v>9</v>
      </c>
      <c r="H259" t="s">
        <v>2936</v>
      </c>
      <c r="I259" t="s">
        <v>4762</v>
      </c>
      <c r="J259" t="s">
        <v>2993</v>
      </c>
      <c r="K259" t="s">
        <v>4763</v>
      </c>
      <c r="L259" t="s">
        <v>4764</v>
      </c>
      <c r="M259" s="3" t="str">
        <f>HYPERLINK(склад2въезд13192021222[[#This Row],[RelativePath]])</f>
        <v>9 Ангар пилорама\E33149364_1_20251204T162018Z.jpg</v>
      </c>
    </row>
    <row r="260" spans="1:13" x14ac:dyDescent="0.25">
      <c r="A260" s="2" t="s">
        <v>16</v>
      </c>
      <c r="B260" s="4">
        <v>45995</v>
      </c>
      <c r="C260" s="5">
        <v>0.68359953703703702</v>
      </c>
      <c r="D260" t="s">
        <v>1091</v>
      </c>
      <c r="E260" t="s">
        <v>1607</v>
      </c>
      <c r="F260" t="s">
        <v>58</v>
      </c>
      <c r="I260" t="s">
        <v>4765</v>
      </c>
      <c r="J260" t="s">
        <v>2993</v>
      </c>
      <c r="K260" t="s">
        <v>4766</v>
      </c>
      <c r="L260" t="s">
        <v>4767</v>
      </c>
      <c r="M260" s="3" t="str">
        <f>HYPERLINK(склад2въезд13192021222[[#This Row],[RelativePath]])</f>
        <v>9 Ангар пилорама\E33149364_1_20251204T162423Z.jpg</v>
      </c>
    </row>
    <row r="261" spans="1:13" x14ac:dyDescent="0.25">
      <c r="A261" s="2" t="s">
        <v>16</v>
      </c>
      <c r="B261" s="4">
        <v>45995</v>
      </c>
      <c r="C261" s="5">
        <v>0.90062500000000001</v>
      </c>
      <c r="D261" t="s">
        <v>4</v>
      </c>
      <c r="E261" t="s">
        <v>9</v>
      </c>
      <c r="H261" t="s">
        <v>2936</v>
      </c>
      <c r="I261" t="s">
        <v>4768</v>
      </c>
      <c r="J261" t="s">
        <v>2993</v>
      </c>
      <c r="K261" t="s">
        <v>4769</v>
      </c>
      <c r="L261" t="s">
        <v>4770</v>
      </c>
      <c r="M261" s="3" t="str">
        <f>HYPERLINK(склад2въезд13192021222[[#This Row],[RelativePath]])</f>
        <v>9 Ангар пилорама\E33149364_1_20251204T213654Z.jpg</v>
      </c>
    </row>
    <row r="262" spans="1:13" x14ac:dyDescent="0.25">
      <c r="A262" s="2" t="s">
        <v>16</v>
      </c>
      <c r="B262" s="4">
        <v>45995</v>
      </c>
      <c r="C262" s="5">
        <v>0.92106481481481484</v>
      </c>
      <c r="D262" t="s">
        <v>4</v>
      </c>
      <c r="E262" t="s">
        <v>9</v>
      </c>
      <c r="H262" t="s">
        <v>2936</v>
      </c>
      <c r="I262" t="s">
        <v>4771</v>
      </c>
      <c r="J262" t="s">
        <v>2993</v>
      </c>
      <c r="K262" t="s">
        <v>4772</v>
      </c>
      <c r="L262" t="s">
        <v>4773</v>
      </c>
      <c r="M262" s="3" t="str">
        <f>HYPERLINK(склад2въезд13192021222[[#This Row],[RelativePath]])</f>
        <v>9 Ангар пилорама\E33149364_1_20251204T220620Z.jpg</v>
      </c>
    </row>
    <row r="263" spans="1:13" x14ac:dyDescent="0.25">
      <c r="A263" s="2" t="s">
        <v>17</v>
      </c>
      <c r="B263" s="4">
        <v>45996</v>
      </c>
      <c r="C263" s="5">
        <v>0.28946759259259258</v>
      </c>
      <c r="D263" t="s">
        <v>4</v>
      </c>
      <c r="E263" t="s">
        <v>9</v>
      </c>
      <c r="H263" t="s">
        <v>2936</v>
      </c>
      <c r="I263" t="s">
        <v>4774</v>
      </c>
      <c r="J263" t="s">
        <v>2993</v>
      </c>
      <c r="K263" t="s">
        <v>4775</v>
      </c>
      <c r="L263" t="s">
        <v>4776</v>
      </c>
      <c r="M263" s="3" t="str">
        <f>HYPERLINK(склад2въезд13192021222[[#This Row],[RelativePath]])</f>
        <v>9 Ангар пилорама\E33149364_1_20251205T065650Z.jpg</v>
      </c>
    </row>
    <row r="264" spans="1:13" x14ac:dyDescent="0.25">
      <c r="A264" s="2" t="s">
        <v>17</v>
      </c>
      <c r="B264" s="4">
        <v>45996</v>
      </c>
      <c r="C264" s="5">
        <v>0.29925925925925928</v>
      </c>
      <c r="D264" t="s">
        <v>4</v>
      </c>
      <c r="E264" t="s">
        <v>9</v>
      </c>
      <c r="H264" t="s">
        <v>2936</v>
      </c>
      <c r="I264" t="s">
        <v>4777</v>
      </c>
      <c r="J264" t="s">
        <v>2993</v>
      </c>
      <c r="K264" t="s">
        <v>4778</v>
      </c>
      <c r="L264" t="s">
        <v>4779</v>
      </c>
      <c r="M264" s="3" t="str">
        <f>HYPERLINK(склад2въезд13192021222[[#This Row],[RelativePath]])</f>
        <v>9 Ангар пилорама\E33149364_1_20251205T071056Z.jpg</v>
      </c>
    </row>
    <row r="265" spans="1:13" x14ac:dyDescent="0.25">
      <c r="A265" s="2" t="s">
        <v>17</v>
      </c>
      <c r="B265" s="4">
        <v>45996</v>
      </c>
      <c r="C265" s="5">
        <v>0.32488425925925923</v>
      </c>
      <c r="D265" t="s">
        <v>4</v>
      </c>
      <c r="E265" t="s">
        <v>9</v>
      </c>
      <c r="H265" t="s">
        <v>2936</v>
      </c>
      <c r="I265" t="s">
        <v>4780</v>
      </c>
      <c r="J265" t="s">
        <v>2993</v>
      </c>
      <c r="K265" t="s">
        <v>4781</v>
      </c>
      <c r="L265" t="s">
        <v>4782</v>
      </c>
      <c r="M265" s="3" t="str">
        <f>HYPERLINK(склад2въезд13192021222[[#This Row],[RelativePath]])</f>
        <v>9 Ангар пилорама\E33149364_1_20251205T074750Z.jpg</v>
      </c>
    </row>
    <row r="266" spans="1:13" x14ac:dyDescent="0.25">
      <c r="A266" s="2" t="s">
        <v>17</v>
      </c>
      <c r="B266" s="4">
        <v>45996</v>
      </c>
      <c r="C266" s="5">
        <v>0.39282407407407405</v>
      </c>
      <c r="D266" t="s">
        <v>1091</v>
      </c>
      <c r="E266" t="s">
        <v>1607</v>
      </c>
      <c r="F266" t="s">
        <v>58</v>
      </c>
      <c r="I266" t="s">
        <v>4783</v>
      </c>
      <c r="J266" t="s">
        <v>2993</v>
      </c>
      <c r="K266" t="s">
        <v>4784</v>
      </c>
      <c r="L266" t="s">
        <v>4785</v>
      </c>
      <c r="M266" s="3" t="str">
        <f>HYPERLINK(склад2въезд13192021222[[#This Row],[RelativePath]])</f>
        <v>9 Ангар пилорама\E33149364_1_20251205T092540Z.jpg</v>
      </c>
    </row>
    <row r="267" spans="1:13" x14ac:dyDescent="0.25">
      <c r="A267" s="2" t="s">
        <v>17</v>
      </c>
      <c r="B267" s="4">
        <v>45996</v>
      </c>
      <c r="C267" s="5">
        <v>0.39864583333333331</v>
      </c>
      <c r="D267" t="s">
        <v>4</v>
      </c>
      <c r="E267" t="s">
        <v>9</v>
      </c>
      <c r="H267" t="s">
        <v>2936</v>
      </c>
      <c r="I267" t="s">
        <v>4786</v>
      </c>
      <c r="J267" t="s">
        <v>2993</v>
      </c>
      <c r="K267" t="s">
        <v>4787</v>
      </c>
      <c r="L267" t="s">
        <v>4788</v>
      </c>
      <c r="M267" s="3" t="str">
        <f>HYPERLINK(склад2въезд13192021222[[#This Row],[RelativePath]])</f>
        <v>9 Ангар пилорама\E33149364_1_20251205T093403Z.jpg</v>
      </c>
    </row>
    <row r="268" spans="1:13" x14ac:dyDescent="0.25">
      <c r="A268" s="2" t="s">
        <v>17</v>
      </c>
      <c r="B268" s="4">
        <v>45996</v>
      </c>
      <c r="C268" s="5">
        <v>0.4754976851851852</v>
      </c>
      <c r="D268" t="s">
        <v>1091</v>
      </c>
      <c r="E268" t="s">
        <v>1607</v>
      </c>
      <c r="F268" t="s">
        <v>58</v>
      </c>
      <c r="I268" t="s">
        <v>4789</v>
      </c>
      <c r="J268" t="s">
        <v>2993</v>
      </c>
      <c r="K268" t="s">
        <v>4790</v>
      </c>
      <c r="L268" t="s">
        <v>4791</v>
      </c>
      <c r="M268" s="3" t="str">
        <f>HYPERLINK(склад2въезд13192021222[[#This Row],[RelativePath]])</f>
        <v>9 Ангар пилорама\E33149364_1_20251205T112443Z.jpg</v>
      </c>
    </row>
    <row r="269" spans="1:13" x14ac:dyDescent="0.25">
      <c r="A269" s="2" t="s">
        <v>17</v>
      </c>
      <c r="B269" s="4">
        <v>45996</v>
      </c>
      <c r="C269" s="5">
        <v>0.62062499999999998</v>
      </c>
      <c r="D269" t="s">
        <v>4</v>
      </c>
      <c r="E269" t="s">
        <v>9</v>
      </c>
      <c r="H269" t="s">
        <v>2936</v>
      </c>
      <c r="I269" t="s">
        <v>4792</v>
      </c>
      <c r="J269" t="s">
        <v>2993</v>
      </c>
      <c r="K269" t="s">
        <v>4793</v>
      </c>
      <c r="L269" t="s">
        <v>4794</v>
      </c>
      <c r="M269" s="3" t="str">
        <f>HYPERLINK(склад2въезд13192021222[[#This Row],[RelativePath]])</f>
        <v>9 Ангар пилорама\E33149364_1_20251205T145342Z.jpg</v>
      </c>
    </row>
    <row r="270" spans="1:13" x14ac:dyDescent="0.25">
      <c r="A270" s="2" t="s">
        <v>17</v>
      </c>
      <c r="B270" s="4">
        <v>45996</v>
      </c>
      <c r="C270" s="5">
        <v>0.87179398148148146</v>
      </c>
      <c r="D270" t="s">
        <v>4</v>
      </c>
      <c r="E270" t="s">
        <v>9</v>
      </c>
      <c r="H270" t="s">
        <v>2936</v>
      </c>
      <c r="I270" t="s">
        <v>4795</v>
      </c>
      <c r="J270" t="s">
        <v>2993</v>
      </c>
      <c r="K270" t="s">
        <v>4796</v>
      </c>
      <c r="L270" t="s">
        <v>4797</v>
      </c>
      <c r="M270" s="3" t="str">
        <f>HYPERLINK(склад2въезд13192021222[[#This Row],[RelativePath]])</f>
        <v>9 Ангар пилорама\E33149364_1_20251205T205523Z.jpg</v>
      </c>
    </row>
    <row r="271" spans="1:13" x14ac:dyDescent="0.25">
      <c r="A271" s="2" t="s">
        <v>17</v>
      </c>
      <c r="B271" s="4">
        <v>45996</v>
      </c>
      <c r="C271" s="5">
        <v>0.89598379629629632</v>
      </c>
      <c r="D271" t="s">
        <v>4</v>
      </c>
      <c r="E271" t="s">
        <v>9</v>
      </c>
      <c r="H271" t="s">
        <v>2936</v>
      </c>
      <c r="I271" t="s">
        <v>4798</v>
      </c>
      <c r="J271" t="s">
        <v>2993</v>
      </c>
      <c r="K271" t="s">
        <v>4799</v>
      </c>
      <c r="L271" t="s">
        <v>4800</v>
      </c>
      <c r="M271" s="3" t="str">
        <f>HYPERLINK(склад2въезд13192021222[[#This Row],[RelativePath]])</f>
        <v>9 Ангар пилорама\E33149364_1_20251205T213013Z.jpg</v>
      </c>
    </row>
    <row r="272" spans="1:13" x14ac:dyDescent="0.25">
      <c r="A272" s="2" t="s">
        <v>17</v>
      </c>
      <c r="B272" s="4">
        <v>45996</v>
      </c>
      <c r="C272" s="5">
        <v>0.99971064814814814</v>
      </c>
      <c r="D272" t="s">
        <v>4</v>
      </c>
      <c r="E272" t="s">
        <v>9</v>
      </c>
      <c r="H272" t="s">
        <v>2936</v>
      </c>
      <c r="I272" t="s">
        <v>4801</v>
      </c>
      <c r="J272" t="s">
        <v>2993</v>
      </c>
      <c r="K272" t="s">
        <v>4802</v>
      </c>
      <c r="L272" t="s">
        <v>4803</v>
      </c>
      <c r="M272" s="3" t="str">
        <f>HYPERLINK(склад2въезд13192021222[[#This Row],[RelativePath]])</f>
        <v>9 Ангар пилорама\E33149364_1_20251205T235935Z.jpg</v>
      </c>
    </row>
    <row r="273" spans="1:13" x14ac:dyDescent="0.25">
      <c r="A273" s="2" t="s">
        <v>18</v>
      </c>
      <c r="B273" s="4">
        <v>45997</v>
      </c>
      <c r="C273" s="5">
        <v>0.45976851851851852</v>
      </c>
      <c r="D273" t="s">
        <v>4</v>
      </c>
      <c r="E273" t="s">
        <v>9</v>
      </c>
      <c r="H273" t="s">
        <v>2936</v>
      </c>
      <c r="I273" t="s">
        <v>4804</v>
      </c>
      <c r="J273" t="s">
        <v>2993</v>
      </c>
      <c r="K273" t="s">
        <v>4805</v>
      </c>
      <c r="L273" t="s">
        <v>4806</v>
      </c>
      <c r="M273" s="3" t="str">
        <f>HYPERLINK(склад2въезд13192021222[[#This Row],[RelativePath]])</f>
        <v>9 Ангар пилорама\E33149364_1_20251206T110204Z.jpg</v>
      </c>
    </row>
    <row r="274" spans="1:13" x14ac:dyDescent="0.25">
      <c r="A274" s="2" t="s">
        <v>18</v>
      </c>
      <c r="B274" s="4">
        <v>45997</v>
      </c>
      <c r="C274" s="5">
        <v>0.640162037037037</v>
      </c>
      <c r="D274" t="s">
        <v>4</v>
      </c>
      <c r="E274" t="s">
        <v>9</v>
      </c>
      <c r="H274" t="s">
        <v>2936</v>
      </c>
      <c r="I274" t="s">
        <v>4807</v>
      </c>
      <c r="J274" t="s">
        <v>2993</v>
      </c>
      <c r="K274" t="s">
        <v>4808</v>
      </c>
      <c r="L274" t="s">
        <v>4809</v>
      </c>
      <c r="M274" s="3" t="str">
        <f>HYPERLINK(склад2въезд13192021222[[#This Row],[RelativePath]])</f>
        <v>9 Ангар пилорама\E33149364_1_20251206T152150Z.jpg</v>
      </c>
    </row>
    <row r="275" spans="1:13" x14ac:dyDescent="0.25">
      <c r="A275" s="2" t="s">
        <v>18</v>
      </c>
      <c r="B275" s="4">
        <v>45997</v>
      </c>
      <c r="C275" s="5">
        <v>0.67186342592592596</v>
      </c>
      <c r="D275" t="s">
        <v>4</v>
      </c>
      <c r="E275" t="s">
        <v>9</v>
      </c>
      <c r="H275" t="s">
        <v>2936</v>
      </c>
      <c r="I275" t="s">
        <v>4810</v>
      </c>
      <c r="J275" t="s">
        <v>2993</v>
      </c>
      <c r="K275" t="s">
        <v>4811</v>
      </c>
      <c r="L275" t="s">
        <v>4812</v>
      </c>
      <c r="M275" s="3" t="str">
        <f>HYPERLINK(склад2въезд13192021222[[#This Row],[RelativePath]])</f>
        <v>9 Ангар пилорама\E33149364_1_20251206T160729Z.jpg</v>
      </c>
    </row>
    <row r="276" spans="1:13" x14ac:dyDescent="0.25">
      <c r="A276" s="2" t="s">
        <v>18</v>
      </c>
      <c r="B276" s="4">
        <v>45997</v>
      </c>
      <c r="C276" s="5">
        <v>0.69884259259259263</v>
      </c>
      <c r="D276" t="s">
        <v>4</v>
      </c>
      <c r="E276" t="s">
        <v>9</v>
      </c>
      <c r="H276" t="s">
        <v>2936</v>
      </c>
      <c r="I276" t="s">
        <v>4813</v>
      </c>
      <c r="J276" t="s">
        <v>2993</v>
      </c>
      <c r="K276" t="s">
        <v>4814</v>
      </c>
      <c r="L276" t="s">
        <v>4815</v>
      </c>
      <c r="M276" s="3" t="str">
        <f>HYPERLINK(склад2въезд13192021222[[#This Row],[RelativePath]])</f>
        <v>9 Ангар пилорама\E33149364_1_20251206T164620Z.jpg</v>
      </c>
    </row>
    <row r="277" spans="1:13" x14ac:dyDescent="0.25">
      <c r="A277" s="2" t="s">
        <v>18</v>
      </c>
      <c r="B277" s="4">
        <v>45997</v>
      </c>
      <c r="C277" s="5">
        <v>0.72089120370370374</v>
      </c>
      <c r="D277" t="s">
        <v>4</v>
      </c>
      <c r="E277" t="s">
        <v>9</v>
      </c>
      <c r="H277" t="s">
        <v>2936</v>
      </c>
      <c r="I277" t="s">
        <v>4816</v>
      </c>
      <c r="J277" t="s">
        <v>2993</v>
      </c>
      <c r="K277" t="s">
        <v>4817</v>
      </c>
      <c r="L277" t="s">
        <v>4818</v>
      </c>
      <c r="M277" s="3" t="str">
        <f>HYPERLINK(склад2въезд13192021222[[#This Row],[RelativePath]])</f>
        <v>9 Ангар пилорама\E33149364_1_20251206T171805Z.jpg</v>
      </c>
    </row>
    <row r="278" spans="1:13" x14ac:dyDescent="0.25">
      <c r="A278" s="2" t="s">
        <v>18</v>
      </c>
      <c r="B278" s="4">
        <v>45997</v>
      </c>
      <c r="C278" s="5">
        <v>0.79390046296296302</v>
      </c>
      <c r="D278" t="s">
        <v>4</v>
      </c>
      <c r="E278" t="s">
        <v>9</v>
      </c>
      <c r="H278" t="s">
        <v>2936</v>
      </c>
      <c r="I278" t="s">
        <v>4819</v>
      </c>
      <c r="J278" t="s">
        <v>2993</v>
      </c>
      <c r="K278" t="s">
        <v>4820</v>
      </c>
      <c r="L278" t="s">
        <v>4821</v>
      </c>
      <c r="M278" s="3" t="str">
        <f>HYPERLINK(склад2въезд13192021222[[#This Row],[RelativePath]])</f>
        <v>9 Ангар пилорама\E33149364_1_20251206T190313Z.jpg</v>
      </c>
    </row>
    <row r="279" spans="1:13" x14ac:dyDescent="0.25">
      <c r="A279" s="2" t="s">
        <v>18</v>
      </c>
      <c r="B279" s="4">
        <v>45997</v>
      </c>
      <c r="C279" s="5">
        <v>0.81437499999999996</v>
      </c>
      <c r="D279" t="s">
        <v>4</v>
      </c>
      <c r="E279" t="s">
        <v>9</v>
      </c>
      <c r="H279" t="s">
        <v>2936</v>
      </c>
      <c r="I279" t="s">
        <v>4822</v>
      </c>
      <c r="J279" t="s">
        <v>2993</v>
      </c>
      <c r="K279" t="s">
        <v>4823</v>
      </c>
      <c r="L279" t="s">
        <v>4824</v>
      </c>
      <c r="M279" s="3" t="str">
        <f>HYPERLINK(склад2въезд13192021222[[#This Row],[RelativePath]])</f>
        <v>9 Ангар пилорама\E33149364_1_20251206T193242Z.jpg</v>
      </c>
    </row>
    <row r="280" spans="1:13" x14ac:dyDescent="0.25">
      <c r="A280" s="2" t="s">
        <v>18</v>
      </c>
      <c r="B280" s="4">
        <v>45997</v>
      </c>
      <c r="C280" s="5">
        <v>0.85775462962962967</v>
      </c>
      <c r="D280" t="s">
        <v>4</v>
      </c>
      <c r="E280" t="s">
        <v>9</v>
      </c>
      <c r="H280" t="s">
        <v>2936</v>
      </c>
      <c r="I280" t="s">
        <v>4825</v>
      </c>
      <c r="J280" t="s">
        <v>2993</v>
      </c>
      <c r="K280" t="s">
        <v>4826</v>
      </c>
      <c r="L280" t="s">
        <v>4827</v>
      </c>
      <c r="M280" s="3" t="str">
        <f>HYPERLINK(склад2въезд13192021222[[#This Row],[RelativePath]])</f>
        <v>9 Ангар пилорама\E33149364_1_20251206T203510Z.jpg</v>
      </c>
    </row>
    <row r="281" spans="1:13" x14ac:dyDescent="0.25">
      <c r="A281" s="2" t="s">
        <v>18</v>
      </c>
      <c r="B281" s="4">
        <v>45997</v>
      </c>
      <c r="C281" s="5">
        <v>0.87701388888888887</v>
      </c>
      <c r="D281" t="s">
        <v>4</v>
      </c>
      <c r="E281" t="s">
        <v>9</v>
      </c>
      <c r="H281" t="s">
        <v>2936</v>
      </c>
      <c r="I281" t="s">
        <v>4828</v>
      </c>
      <c r="J281" t="s">
        <v>2993</v>
      </c>
      <c r="K281" t="s">
        <v>4829</v>
      </c>
      <c r="L281" t="s">
        <v>4830</v>
      </c>
      <c r="M281" s="3" t="str">
        <f>HYPERLINK(склад2въезд13192021222[[#This Row],[RelativePath]])</f>
        <v>9 Ангар пилорама\E33149364_1_20251206T210254Z.jpg</v>
      </c>
    </row>
    <row r="282" spans="1:13" x14ac:dyDescent="0.25">
      <c r="A282" s="2" t="s">
        <v>22</v>
      </c>
      <c r="B282" s="4">
        <v>45998</v>
      </c>
      <c r="C282" s="5">
        <v>0.40778935185185183</v>
      </c>
      <c r="D282" t="s">
        <v>4</v>
      </c>
      <c r="E282" t="s">
        <v>9</v>
      </c>
      <c r="I282" t="s">
        <v>5232</v>
      </c>
      <c r="J282" t="s">
        <v>2993</v>
      </c>
      <c r="K282" t="s">
        <v>5233</v>
      </c>
      <c r="L282" t="s">
        <v>5234</v>
      </c>
      <c r="M282" s="3" t="str">
        <f>HYPERLINK(склад2въезд13192021222[[#This Row],[RelativePath]])</f>
        <v>9 Ангар пилорама\E33149364_1_20251207T094713Z.jpg</v>
      </c>
    </row>
    <row r="283" spans="1:13" x14ac:dyDescent="0.25">
      <c r="A283" s="2" t="s">
        <v>22</v>
      </c>
      <c r="B283" s="4">
        <v>45998</v>
      </c>
      <c r="C283" s="5">
        <v>0.61848379629629635</v>
      </c>
      <c r="D283" t="s">
        <v>4</v>
      </c>
      <c r="E283" t="s">
        <v>9</v>
      </c>
      <c r="H283" t="s">
        <v>5264</v>
      </c>
      <c r="I283" t="s">
        <v>5235</v>
      </c>
      <c r="J283" t="s">
        <v>2993</v>
      </c>
      <c r="K283" t="s">
        <v>5236</v>
      </c>
      <c r="L283" t="s">
        <v>5237</v>
      </c>
      <c r="M283" s="3" t="str">
        <f>HYPERLINK(склад2въезд13192021222[[#This Row],[RelativePath]])</f>
        <v>9 Ангар пилорама\E33149364_1_20251207T145037Z.jpg</v>
      </c>
    </row>
    <row r="284" spans="1:13" x14ac:dyDescent="0.25">
      <c r="A284" s="2" t="s">
        <v>22</v>
      </c>
      <c r="B284" s="4">
        <v>45998</v>
      </c>
      <c r="C284" s="5">
        <v>0.64888888888888885</v>
      </c>
      <c r="D284" t="s">
        <v>2024</v>
      </c>
      <c r="E284" t="s">
        <v>1304</v>
      </c>
      <c r="I284" t="s">
        <v>5238</v>
      </c>
      <c r="J284" t="s">
        <v>2993</v>
      </c>
      <c r="K284" t="s">
        <v>5239</v>
      </c>
      <c r="L284" t="s">
        <v>5240</v>
      </c>
      <c r="M284" s="3" t="str">
        <f>HYPERLINK(склад2въезд13192021222[[#This Row],[RelativePath]])</f>
        <v>9 Ангар пилорама\E33149364_1_20251207T153424Z.jpg</v>
      </c>
    </row>
    <row r="285" spans="1:13" x14ac:dyDescent="0.25">
      <c r="A285" s="2" t="s">
        <v>22</v>
      </c>
      <c r="B285" s="4">
        <v>45998</v>
      </c>
      <c r="C285" s="5">
        <v>0.6753703703703704</v>
      </c>
      <c r="D285" t="s">
        <v>2024</v>
      </c>
      <c r="E285" t="s">
        <v>1304</v>
      </c>
      <c r="I285" t="s">
        <v>5241</v>
      </c>
      <c r="J285" t="s">
        <v>2993</v>
      </c>
      <c r="K285" t="s">
        <v>5242</v>
      </c>
      <c r="L285" t="s">
        <v>5243</v>
      </c>
      <c r="M285" s="3" t="str">
        <f>HYPERLINK(склад2въезд13192021222[[#This Row],[RelativePath]])</f>
        <v>9 Ангар пилорама\E33149364_1_20251207T161232Z.jpg</v>
      </c>
    </row>
    <row r="286" spans="1:13" x14ac:dyDescent="0.25">
      <c r="A286" s="2" t="s">
        <v>22</v>
      </c>
      <c r="B286" s="4">
        <v>45998</v>
      </c>
      <c r="C286" s="5">
        <v>0.72339120370370369</v>
      </c>
      <c r="D286" t="s">
        <v>4</v>
      </c>
      <c r="E286" t="s">
        <v>9</v>
      </c>
      <c r="H286" t="s">
        <v>2936</v>
      </c>
      <c r="I286" t="s">
        <v>5244</v>
      </c>
      <c r="J286" t="s">
        <v>2993</v>
      </c>
      <c r="K286" t="s">
        <v>5245</v>
      </c>
      <c r="L286" t="s">
        <v>5246</v>
      </c>
      <c r="M286" s="3" t="str">
        <f>HYPERLINK(склад2въезд13192021222[[#This Row],[RelativePath]])</f>
        <v>9 Ангар пилорама\E33149364_1_20251207T172141Z.jpg</v>
      </c>
    </row>
    <row r="287" spans="1:13" x14ac:dyDescent="0.25">
      <c r="A287" s="2" t="s">
        <v>22</v>
      </c>
      <c r="B287" s="4">
        <v>45998</v>
      </c>
      <c r="C287" s="5">
        <v>0.75164351851851852</v>
      </c>
      <c r="D287" t="s">
        <v>4</v>
      </c>
      <c r="E287" t="s">
        <v>9</v>
      </c>
      <c r="H287" t="s">
        <v>2936</v>
      </c>
      <c r="I287" t="s">
        <v>5247</v>
      </c>
      <c r="J287" t="s">
        <v>2993</v>
      </c>
      <c r="K287" t="s">
        <v>5248</v>
      </c>
      <c r="L287" t="s">
        <v>5249</v>
      </c>
      <c r="M287" s="3" t="str">
        <f>HYPERLINK(склад2въезд13192021222[[#This Row],[RelativePath]])</f>
        <v>9 Ангар пилорама\E33149364_1_20251207T180222Z.jpg</v>
      </c>
    </row>
    <row r="288" spans="1:13" x14ac:dyDescent="0.25">
      <c r="A288" s="2" t="s">
        <v>22</v>
      </c>
      <c r="B288" s="4">
        <v>45998</v>
      </c>
      <c r="C288" s="5">
        <v>0.79090277777777773</v>
      </c>
      <c r="D288" t="s">
        <v>4</v>
      </c>
      <c r="E288" t="s">
        <v>9</v>
      </c>
      <c r="H288" t="s">
        <v>2936</v>
      </c>
      <c r="I288" t="s">
        <v>5250</v>
      </c>
      <c r="J288" t="s">
        <v>2993</v>
      </c>
      <c r="K288" t="s">
        <v>5251</v>
      </c>
      <c r="L288" t="s">
        <v>5252</v>
      </c>
      <c r="M288" s="3" t="str">
        <f>HYPERLINK(склад2въезд13192021222[[#This Row],[RelativePath]])</f>
        <v>9 Ангар пилорама\E33149364_1_20251207T185854Z.jpg</v>
      </c>
    </row>
    <row r="289" spans="1:13" x14ac:dyDescent="0.25">
      <c r="A289" s="2" t="s">
        <v>22</v>
      </c>
      <c r="B289" s="4">
        <v>45998</v>
      </c>
      <c r="C289" s="5">
        <v>0.86960648148148145</v>
      </c>
      <c r="D289" t="s">
        <v>4</v>
      </c>
      <c r="E289" t="s">
        <v>9</v>
      </c>
      <c r="H289" t="s">
        <v>2936</v>
      </c>
      <c r="I289" t="s">
        <v>5253</v>
      </c>
      <c r="J289" t="s">
        <v>2993</v>
      </c>
      <c r="K289" t="s">
        <v>5254</v>
      </c>
      <c r="L289" t="s">
        <v>5255</v>
      </c>
      <c r="M289" s="3" t="str">
        <f>HYPERLINK(склад2въезд13192021222[[#This Row],[RelativePath]])</f>
        <v>9 Ангар пилорама\E33149364_1_20251207T205214Z.jpg</v>
      </c>
    </row>
    <row r="290" spans="1:13" x14ac:dyDescent="0.25">
      <c r="A290" s="2" t="s">
        <v>22</v>
      </c>
      <c r="B290" s="4">
        <v>45998</v>
      </c>
      <c r="C290" s="5">
        <v>0.90892361111111108</v>
      </c>
      <c r="D290" t="s">
        <v>4</v>
      </c>
      <c r="E290" t="s">
        <v>9</v>
      </c>
      <c r="H290" t="s">
        <v>2936</v>
      </c>
      <c r="I290" t="s">
        <v>5256</v>
      </c>
      <c r="J290" t="s">
        <v>2993</v>
      </c>
      <c r="K290" t="s">
        <v>5257</v>
      </c>
      <c r="L290" t="s">
        <v>5258</v>
      </c>
      <c r="M290" s="3" t="str">
        <f>HYPERLINK(склад2въезд13192021222[[#This Row],[RelativePath]])</f>
        <v>9 Ангар пилорама\E33149364_1_20251207T214851Z.jpg</v>
      </c>
    </row>
    <row r="291" spans="1:13" x14ac:dyDescent="0.25">
      <c r="A291" s="2" t="s">
        <v>13</v>
      </c>
      <c r="B291" s="4">
        <v>45999</v>
      </c>
      <c r="C291" s="5">
        <v>0.30021990740740739</v>
      </c>
      <c r="D291" t="s">
        <v>4</v>
      </c>
      <c r="E291" t="s">
        <v>9</v>
      </c>
      <c r="I291" t="s">
        <v>5328</v>
      </c>
      <c r="J291" t="s">
        <v>2993</v>
      </c>
      <c r="K291" t="s">
        <v>5329</v>
      </c>
      <c r="L291" t="s">
        <v>5330</v>
      </c>
      <c r="M291" s="3" t="str">
        <f>HYPERLINK(склад2въезд13192021222[[#This Row],[RelativePath]])</f>
        <v>9 Ангар пилорама\E33149364_1_20251208T071219Z.jpg</v>
      </c>
    </row>
    <row r="292" spans="1:13" x14ac:dyDescent="0.25">
      <c r="A292" s="2" t="s">
        <v>13</v>
      </c>
      <c r="B292" s="4">
        <v>45999</v>
      </c>
      <c r="C292" s="5">
        <v>0.31190972222222224</v>
      </c>
      <c r="D292" t="s">
        <v>4</v>
      </c>
      <c r="E292" t="s">
        <v>9</v>
      </c>
      <c r="H292" t="s">
        <v>2936</v>
      </c>
      <c r="I292" t="s">
        <v>5331</v>
      </c>
      <c r="J292" t="s">
        <v>2993</v>
      </c>
      <c r="K292" t="s">
        <v>5332</v>
      </c>
      <c r="L292" t="s">
        <v>5333</v>
      </c>
      <c r="M292" s="3" t="str">
        <f>HYPERLINK(склад2въезд13192021222[[#This Row],[RelativePath]])</f>
        <v>9 Ангар пилорама\E33149364_1_20251208T072909Z.jpg</v>
      </c>
    </row>
    <row r="293" spans="1:13" x14ac:dyDescent="0.25">
      <c r="A293" s="2" t="s">
        <v>13</v>
      </c>
      <c r="B293" s="4">
        <v>45999</v>
      </c>
      <c r="C293" s="5">
        <v>0.32190972222222225</v>
      </c>
      <c r="D293" t="s">
        <v>4</v>
      </c>
      <c r="E293" t="s">
        <v>9</v>
      </c>
      <c r="H293" t="s">
        <v>2936</v>
      </c>
      <c r="I293" t="s">
        <v>5334</v>
      </c>
      <c r="J293" t="s">
        <v>2993</v>
      </c>
      <c r="K293" t="s">
        <v>5335</v>
      </c>
      <c r="L293" t="s">
        <v>5336</v>
      </c>
      <c r="M293" s="3" t="str">
        <f>HYPERLINK(склад2въезд13192021222[[#This Row],[RelativePath]])</f>
        <v>9 Ангар пилорама\E33149364_1_20251208T074333Z.jpg</v>
      </c>
    </row>
    <row r="294" spans="1:13" x14ac:dyDescent="0.25">
      <c r="A294" s="2" t="s">
        <v>13</v>
      </c>
      <c r="B294" s="4">
        <v>45999</v>
      </c>
      <c r="C294" s="5">
        <v>0.36814814814814817</v>
      </c>
      <c r="D294" t="s">
        <v>5136</v>
      </c>
      <c r="I294" t="s">
        <v>5337</v>
      </c>
      <c r="J294" t="s">
        <v>2993</v>
      </c>
      <c r="K294" t="s">
        <v>5338</v>
      </c>
      <c r="L294" t="s">
        <v>5339</v>
      </c>
      <c r="M294" s="3" t="str">
        <f>HYPERLINK(склад2въезд13192021222[[#This Row],[RelativePath]])</f>
        <v>9 Ангар пилорама\E33149364_1_20251208T085008Z.jpg</v>
      </c>
    </row>
    <row r="295" spans="1:13" x14ac:dyDescent="0.25">
      <c r="A295" s="2" t="s">
        <v>13</v>
      </c>
      <c r="B295" s="4">
        <v>45999</v>
      </c>
      <c r="C295" s="5">
        <v>0.38108796296296299</v>
      </c>
      <c r="D295" t="s">
        <v>4</v>
      </c>
      <c r="E295" t="s">
        <v>53</v>
      </c>
      <c r="I295" t="s">
        <v>5340</v>
      </c>
      <c r="J295" t="s">
        <v>2993</v>
      </c>
      <c r="K295" t="s">
        <v>5341</v>
      </c>
      <c r="L295" t="s">
        <v>5342</v>
      </c>
      <c r="M295" s="3" t="str">
        <f>HYPERLINK(склад2въезд13192021222[[#This Row],[RelativePath]])</f>
        <v>9 Ангар пилорама\E33149364_1_20251208T090846Z.jpg</v>
      </c>
    </row>
    <row r="296" spans="1:13" x14ac:dyDescent="0.25">
      <c r="A296" s="2" t="s">
        <v>13</v>
      </c>
      <c r="B296" s="4">
        <v>45999</v>
      </c>
      <c r="C296" s="5">
        <v>0.3870601851851852</v>
      </c>
      <c r="D296" t="s">
        <v>1091</v>
      </c>
      <c r="E296" t="s">
        <v>53</v>
      </c>
      <c r="I296" t="s">
        <v>5343</v>
      </c>
      <c r="J296" t="s">
        <v>2993</v>
      </c>
      <c r="K296" t="s">
        <v>5344</v>
      </c>
      <c r="L296" t="s">
        <v>5345</v>
      </c>
      <c r="M296" s="3" t="str">
        <f>HYPERLINK(склад2въезд13192021222[[#This Row],[RelativePath]])</f>
        <v>9 Ангар пилорама\E33149364_1_20251208T091722Z.jpg</v>
      </c>
    </row>
    <row r="297" spans="1:13" x14ac:dyDescent="0.25">
      <c r="A297" s="2" t="s">
        <v>13</v>
      </c>
      <c r="B297" s="4">
        <v>45999</v>
      </c>
      <c r="C297" s="5">
        <v>0.39564814814814814</v>
      </c>
      <c r="D297" t="s">
        <v>1091</v>
      </c>
      <c r="E297" t="s">
        <v>58</v>
      </c>
      <c r="I297" t="s">
        <v>5346</v>
      </c>
      <c r="J297" t="s">
        <v>2993</v>
      </c>
      <c r="K297" t="s">
        <v>5347</v>
      </c>
      <c r="L297" t="s">
        <v>5348</v>
      </c>
      <c r="M297" s="3" t="str">
        <f>HYPERLINK(склад2въезд13192021222[[#This Row],[RelativePath]])</f>
        <v>9 Ангар пилорама\E33149364_1_20251208T092944Z.jpg</v>
      </c>
    </row>
    <row r="298" spans="1:13" x14ac:dyDescent="0.25">
      <c r="A298" s="2" t="s">
        <v>13</v>
      </c>
      <c r="B298" s="4">
        <v>45999</v>
      </c>
      <c r="C298" s="5">
        <v>0.39848379629629632</v>
      </c>
      <c r="D298" t="s">
        <v>4</v>
      </c>
      <c r="E298" t="s">
        <v>9</v>
      </c>
      <c r="H298" t="s">
        <v>2936</v>
      </c>
      <c r="I298" t="s">
        <v>5349</v>
      </c>
      <c r="J298" t="s">
        <v>2993</v>
      </c>
      <c r="K298" t="s">
        <v>5350</v>
      </c>
      <c r="L298" t="s">
        <v>5351</v>
      </c>
      <c r="M298" s="3" t="str">
        <f>HYPERLINK(склад2въезд13192021222[[#This Row],[RelativePath]])</f>
        <v>9 Ангар пилорама\E33149364_1_20251208T093349Z.jpg</v>
      </c>
    </row>
    <row r="299" spans="1:13" x14ac:dyDescent="0.25">
      <c r="A299" s="2" t="s">
        <v>13</v>
      </c>
      <c r="B299" s="4">
        <v>45999</v>
      </c>
      <c r="C299" s="5">
        <v>0.40478009259259257</v>
      </c>
      <c r="D299" t="s">
        <v>4</v>
      </c>
      <c r="E299" t="s">
        <v>9</v>
      </c>
      <c r="H299" t="s">
        <v>2936</v>
      </c>
      <c r="I299" t="s">
        <v>5352</v>
      </c>
      <c r="J299" t="s">
        <v>2993</v>
      </c>
      <c r="K299" t="s">
        <v>5353</v>
      </c>
      <c r="L299" t="s">
        <v>5354</v>
      </c>
      <c r="M299" s="3" t="str">
        <f>HYPERLINK(склад2въезд13192021222[[#This Row],[RelativePath]])</f>
        <v>9 Ангар пилорама\E33149364_1_20251208T094253Z.jpg</v>
      </c>
    </row>
    <row r="300" spans="1:13" x14ac:dyDescent="0.25">
      <c r="A300" s="2" t="s">
        <v>13</v>
      </c>
      <c r="B300" s="4">
        <v>45999</v>
      </c>
      <c r="C300" s="5">
        <v>0.41697916666666668</v>
      </c>
      <c r="D300" t="s">
        <v>4</v>
      </c>
      <c r="E300" t="s">
        <v>9</v>
      </c>
      <c r="H300" t="s">
        <v>2936</v>
      </c>
      <c r="I300" t="s">
        <v>5355</v>
      </c>
      <c r="J300" t="s">
        <v>2993</v>
      </c>
      <c r="K300" t="s">
        <v>5356</v>
      </c>
      <c r="L300" t="s">
        <v>5357</v>
      </c>
      <c r="M300" s="3" t="str">
        <f>HYPERLINK(склад2въезд13192021222[[#This Row],[RelativePath]])</f>
        <v>9 Ангар пилорама\E33149364_1_20251208T100027Z.jpg</v>
      </c>
    </row>
    <row r="301" spans="1:13" x14ac:dyDescent="0.25">
      <c r="A301" s="2" t="s">
        <v>13</v>
      </c>
      <c r="B301" s="4">
        <v>45999</v>
      </c>
      <c r="C301" s="5">
        <v>0.41915509259259259</v>
      </c>
      <c r="D301" t="s">
        <v>5476</v>
      </c>
      <c r="E301" t="s">
        <v>86</v>
      </c>
      <c r="F301" t="s">
        <v>58</v>
      </c>
      <c r="I301" t="s">
        <v>5358</v>
      </c>
      <c r="J301" t="s">
        <v>2993</v>
      </c>
      <c r="K301" t="s">
        <v>5359</v>
      </c>
      <c r="L301" t="s">
        <v>5360</v>
      </c>
      <c r="M301" s="3" t="str">
        <f>HYPERLINK(склад2въезд13192021222[[#This Row],[RelativePath]])</f>
        <v>9 Ангар пилорама\E33149364_1_20251208T100335Z.jpg</v>
      </c>
    </row>
    <row r="302" spans="1:13" x14ac:dyDescent="0.25">
      <c r="A302" s="2" t="s">
        <v>13</v>
      </c>
      <c r="B302" s="4">
        <v>45999</v>
      </c>
      <c r="C302" s="5">
        <v>0.42311342592592593</v>
      </c>
      <c r="D302" t="s">
        <v>5476</v>
      </c>
      <c r="E302" t="s">
        <v>86</v>
      </c>
      <c r="F302" t="s">
        <v>58</v>
      </c>
      <c r="I302" t="s">
        <v>5361</v>
      </c>
      <c r="J302" t="s">
        <v>2993</v>
      </c>
      <c r="K302" t="s">
        <v>5362</v>
      </c>
      <c r="L302" t="s">
        <v>5363</v>
      </c>
      <c r="M302" s="3" t="str">
        <f>HYPERLINK(склад2въезд13192021222[[#This Row],[RelativePath]])</f>
        <v>9 Ангар пилорама\E33149364_1_20251208T100917Z.jpg</v>
      </c>
    </row>
    <row r="303" spans="1:13" x14ac:dyDescent="0.25">
      <c r="A303" s="2" t="s">
        <v>13</v>
      </c>
      <c r="B303" s="4">
        <v>45999</v>
      </c>
      <c r="C303" s="5">
        <v>0.4281712962962963</v>
      </c>
      <c r="D303" t="s">
        <v>4</v>
      </c>
      <c r="E303" t="s">
        <v>5477</v>
      </c>
      <c r="I303" t="s">
        <v>5364</v>
      </c>
      <c r="J303" t="s">
        <v>2993</v>
      </c>
      <c r="K303" t="s">
        <v>5365</v>
      </c>
      <c r="L303" t="s">
        <v>5366</v>
      </c>
      <c r="M303" s="3" t="str">
        <f>HYPERLINK(склад2въезд13192021222[[#This Row],[RelativePath]])</f>
        <v>9 Ангар пилорама\E33149364_1_20251208T101634Z.jpg</v>
      </c>
    </row>
    <row r="304" spans="1:13" x14ac:dyDescent="0.25">
      <c r="A304" s="2" t="s">
        <v>13</v>
      </c>
      <c r="B304" s="4">
        <v>45999</v>
      </c>
      <c r="C304" s="5">
        <v>0.44516203703703705</v>
      </c>
      <c r="D304" t="s">
        <v>4</v>
      </c>
      <c r="E304" t="s">
        <v>9</v>
      </c>
      <c r="I304" t="s">
        <v>5367</v>
      </c>
      <c r="J304" t="s">
        <v>2993</v>
      </c>
      <c r="K304" t="s">
        <v>5368</v>
      </c>
      <c r="L304" t="s">
        <v>5369</v>
      </c>
      <c r="M304" s="3" t="str">
        <f>HYPERLINK(склад2въезд13192021222[[#This Row],[RelativePath]])</f>
        <v>9 Ангар пилорама\E33149364_1_20251208T104102Z.jpg</v>
      </c>
    </row>
    <row r="305" spans="1:13" x14ac:dyDescent="0.25">
      <c r="A305" s="2" t="s">
        <v>13</v>
      </c>
      <c r="B305" s="4">
        <v>45999</v>
      </c>
      <c r="C305" s="5">
        <v>0.45057870370370373</v>
      </c>
      <c r="D305" t="s">
        <v>4</v>
      </c>
      <c r="E305" t="s">
        <v>9</v>
      </c>
      <c r="H305" t="s">
        <v>2936</v>
      </c>
      <c r="I305" t="s">
        <v>5370</v>
      </c>
      <c r="J305" t="s">
        <v>2993</v>
      </c>
      <c r="K305" t="s">
        <v>5371</v>
      </c>
      <c r="L305" t="s">
        <v>5372</v>
      </c>
      <c r="M305" s="3" t="str">
        <f>HYPERLINK(склад2въезд13192021222[[#This Row],[RelativePath]])</f>
        <v>9 Ангар пилорама\E33149364_1_20251208T104850Z.jpg</v>
      </c>
    </row>
    <row r="306" spans="1:13" x14ac:dyDescent="0.25">
      <c r="A306" s="2" t="s">
        <v>13</v>
      </c>
      <c r="B306" s="4">
        <v>45999</v>
      </c>
      <c r="C306" s="5">
        <v>0.46060185185185187</v>
      </c>
      <c r="D306" t="s">
        <v>4</v>
      </c>
      <c r="E306" t="s">
        <v>9</v>
      </c>
      <c r="H306" t="s">
        <v>2936</v>
      </c>
      <c r="I306" t="s">
        <v>5373</v>
      </c>
      <c r="J306" t="s">
        <v>2993</v>
      </c>
      <c r="K306" t="s">
        <v>5374</v>
      </c>
      <c r="L306" t="s">
        <v>5375</v>
      </c>
      <c r="M306" s="3" t="str">
        <f>HYPERLINK(склад2въезд13192021222[[#This Row],[RelativePath]])</f>
        <v>9 Ангар пилорама\E33149364_1_20251208T110316Z.jpg</v>
      </c>
    </row>
    <row r="307" spans="1:13" x14ac:dyDescent="0.25">
      <c r="A307" s="2" t="s">
        <v>13</v>
      </c>
      <c r="B307" s="4">
        <v>45999</v>
      </c>
      <c r="C307" s="5">
        <v>0.46185185185185185</v>
      </c>
      <c r="D307" t="s">
        <v>5476</v>
      </c>
      <c r="E307" t="s">
        <v>86</v>
      </c>
      <c r="F307" t="s">
        <v>58</v>
      </c>
      <c r="I307" t="s">
        <v>5376</v>
      </c>
      <c r="J307" t="s">
        <v>2993</v>
      </c>
      <c r="K307" t="s">
        <v>5377</v>
      </c>
      <c r="L307" t="s">
        <v>5378</v>
      </c>
      <c r="M307" s="3" t="str">
        <f>HYPERLINK(склад2въезд13192021222[[#This Row],[RelativePath]])</f>
        <v>9 Ангар пилорама\E33149364_1_20251208T110504Z.jpg</v>
      </c>
    </row>
    <row r="308" spans="1:13" x14ac:dyDescent="0.25">
      <c r="A308" s="2" t="s">
        <v>13</v>
      </c>
      <c r="B308" s="4">
        <v>45999</v>
      </c>
      <c r="C308" s="5">
        <v>0.58391203703703709</v>
      </c>
      <c r="D308" t="s">
        <v>4</v>
      </c>
      <c r="E308" t="s">
        <v>9</v>
      </c>
      <c r="I308" t="s">
        <v>5379</v>
      </c>
      <c r="J308" t="s">
        <v>2993</v>
      </c>
      <c r="K308" t="s">
        <v>5380</v>
      </c>
      <c r="L308" t="s">
        <v>5381</v>
      </c>
      <c r="M308" s="3" t="str">
        <f>HYPERLINK(склад2въезд13192021222[[#This Row],[RelativePath]])</f>
        <v>9 Ангар пилорама\E33149364_1_20251208T140050Z.jpg</v>
      </c>
    </row>
    <row r="309" spans="1:13" x14ac:dyDescent="0.25">
      <c r="A309" s="2" t="s">
        <v>13</v>
      </c>
      <c r="B309" s="4">
        <v>45999</v>
      </c>
      <c r="C309" s="5">
        <v>0.92942129629629633</v>
      </c>
      <c r="D309" t="s">
        <v>4</v>
      </c>
      <c r="E309" t="s">
        <v>9</v>
      </c>
      <c r="I309" t="s">
        <v>5382</v>
      </c>
      <c r="J309" t="s">
        <v>2993</v>
      </c>
      <c r="K309" t="s">
        <v>5383</v>
      </c>
      <c r="L309" t="s">
        <v>5384</v>
      </c>
      <c r="M309" s="3" t="str">
        <f>HYPERLINK(склад2въезд13192021222[[#This Row],[RelativePath]])</f>
        <v>9 Ангар пилорама\E33149364_1_20251208T221822Z.jpg</v>
      </c>
    </row>
    <row r="310" spans="1:13" x14ac:dyDescent="0.25">
      <c r="A310" s="2" t="s">
        <v>14</v>
      </c>
      <c r="B310" s="4">
        <v>46000</v>
      </c>
      <c r="C310" s="5">
        <v>0.52533564814814815</v>
      </c>
      <c r="D310" t="s">
        <v>4</v>
      </c>
      <c r="E310" t="s">
        <v>9</v>
      </c>
      <c r="I310" t="s">
        <v>5558</v>
      </c>
      <c r="J310" t="s">
        <v>2993</v>
      </c>
      <c r="K310" t="s">
        <v>5559</v>
      </c>
      <c r="L310" t="s">
        <v>5560</v>
      </c>
      <c r="M310" s="3" t="str">
        <f>HYPERLINK(склад2въезд13192021222[[#This Row],[RelativePath]])</f>
        <v>9 Ангар пилорама\E33149364_1_20251209T123629Z.jpg</v>
      </c>
    </row>
    <row r="311" spans="1:13" x14ac:dyDescent="0.25">
      <c r="A311" s="2" t="s">
        <v>14</v>
      </c>
      <c r="B311" s="4">
        <v>46000</v>
      </c>
      <c r="C311" s="5">
        <v>0.62208333333333332</v>
      </c>
      <c r="D311" t="s">
        <v>4</v>
      </c>
      <c r="E311" t="s">
        <v>86</v>
      </c>
      <c r="F311" t="s">
        <v>528</v>
      </c>
      <c r="H311" t="s">
        <v>6179</v>
      </c>
      <c r="I311" t="s">
        <v>5561</v>
      </c>
      <c r="J311" t="s">
        <v>2993</v>
      </c>
      <c r="K311" t="s">
        <v>5562</v>
      </c>
      <c r="L311" t="s">
        <v>5563</v>
      </c>
      <c r="M311" s="3" t="str">
        <f>HYPERLINK(склад2въезд13192021222[[#This Row],[RelativePath]])</f>
        <v>9 Ангар пилорама\E33149364_1_20251209T145548Z.jpg</v>
      </c>
    </row>
    <row r="312" spans="1:13" x14ac:dyDescent="0.25">
      <c r="A312" s="2" t="s">
        <v>14</v>
      </c>
      <c r="B312" s="4">
        <v>46000</v>
      </c>
      <c r="C312" s="5">
        <v>0.62842592592592594</v>
      </c>
      <c r="D312" t="s">
        <v>4</v>
      </c>
      <c r="E312" t="s">
        <v>9</v>
      </c>
      <c r="H312" t="s">
        <v>2936</v>
      </c>
      <c r="I312" t="s">
        <v>5564</v>
      </c>
      <c r="J312" t="s">
        <v>2993</v>
      </c>
      <c r="K312" t="s">
        <v>5565</v>
      </c>
      <c r="L312" t="s">
        <v>5566</v>
      </c>
      <c r="M312" s="3" t="str">
        <f>HYPERLINK(склад2въезд13192021222[[#This Row],[RelativePath]])</f>
        <v>9 Ангар пилорама\E33149364_1_20251209T150456Z.jpg</v>
      </c>
    </row>
    <row r="313" spans="1:13" x14ac:dyDescent="0.25">
      <c r="A313" s="2" t="s">
        <v>14</v>
      </c>
      <c r="B313" s="4">
        <v>46000</v>
      </c>
      <c r="C313" s="5">
        <v>0.65432870370370366</v>
      </c>
      <c r="D313" t="s">
        <v>4</v>
      </c>
      <c r="E313" t="s">
        <v>9</v>
      </c>
      <c r="H313" t="s">
        <v>2936</v>
      </c>
      <c r="I313" t="s">
        <v>5567</v>
      </c>
      <c r="J313" t="s">
        <v>2993</v>
      </c>
      <c r="K313" t="s">
        <v>5568</v>
      </c>
      <c r="L313" t="s">
        <v>5569</v>
      </c>
      <c r="M313" s="3" t="str">
        <f>HYPERLINK(склад2въезд13192021222[[#This Row],[RelativePath]])</f>
        <v>9 Ангар пилорама\E33149364_1_20251209T154214Z.jpg</v>
      </c>
    </row>
    <row r="314" spans="1:13" x14ac:dyDescent="0.25">
      <c r="A314" s="2" t="s">
        <v>14</v>
      </c>
      <c r="B314" s="4">
        <v>46000</v>
      </c>
      <c r="C314" s="5">
        <v>0.67598379629629635</v>
      </c>
      <c r="D314" t="s">
        <v>4</v>
      </c>
      <c r="E314" t="s">
        <v>9</v>
      </c>
      <c r="H314" t="s">
        <v>2936</v>
      </c>
      <c r="I314" t="s">
        <v>5570</v>
      </c>
      <c r="J314" t="s">
        <v>2993</v>
      </c>
      <c r="K314" t="s">
        <v>5571</v>
      </c>
      <c r="L314" t="s">
        <v>5572</v>
      </c>
      <c r="M314" s="3" t="str">
        <f>HYPERLINK(склад2въезд13192021222[[#This Row],[RelativePath]])</f>
        <v>9 Ангар пилорама\E33149364_1_20251209T161325Z.jpg</v>
      </c>
    </row>
    <row r="315" spans="1:13" x14ac:dyDescent="0.25">
      <c r="A315" s="2" t="s">
        <v>14</v>
      </c>
      <c r="B315" s="4">
        <v>46000</v>
      </c>
      <c r="C315" s="5">
        <v>0.68395833333333333</v>
      </c>
      <c r="D315" t="s">
        <v>4</v>
      </c>
      <c r="E315" t="s">
        <v>9</v>
      </c>
      <c r="H315" t="s">
        <v>2936</v>
      </c>
      <c r="I315" t="s">
        <v>5573</v>
      </c>
      <c r="J315" t="s">
        <v>2993</v>
      </c>
      <c r="K315" t="s">
        <v>5574</v>
      </c>
      <c r="L315" t="s">
        <v>5575</v>
      </c>
      <c r="M315" s="3" t="str">
        <f>HYPERLINK(склад2въезд13192021222[[#This Row],[RelativePath]])</f>
        <v>9 Ангар пилорама\E33149364_1_20251209T162454Z.jpg</v>
      </c>
    </row>
    <row r="316" spans="1:13" x14ac:dyDescent="0.25">
      <c r="A316" s="2" t="s">
        <v>14</v>
      </c>
      <c r="B316" s="4">
        <v>46000</v>
      </c>
      <c r="C316" s="5">
        <v>0.84094907407407404</v>
      </c>
      <c r="D316" t="s">
        <v>4</v>
      </c>
      <c r="E316" t="s">
        <v>9</v>
      </c>
      <c r="H316" t="s">
        <v>2936</v>
      </c>
      <c r="I316" t="s">
        <v>5576</v>
      </c>
      <c r="J316" t="s">
        <v>2993</v>
      </c>
      <c r="K316" t="s">
        <v>5577</v>
      </c>
      <c r="L316" t="s">
        <v>5578</v>
      </c>
      <c r="M316" s="3" t="str">
        <f>HYPERLINK(склад2въезд13192021222[[#This Row],[RelativePath]])</f>
        <v>9 Ангар пилорама\E33149364_1_20251209T201058Z.jpg</v>
      </c>
    </row>
    <row r="317" spans="1:13" x14ac:dyDescent="0.25">
      <c r="A317" s="2" t="s">
        <v>14</v>
      </c>
      <c r="B317" s="4">
        <v>46000</v>
      </c>
      <c r="C317" s="5">
        <v>0.94755787037037043</v>
      </c>
      <c r="D317" t="s">
        <v>4</v>
      </c>
      <c r="E317" t="s">
        <v>9</v>
      </c>
      <c r="H317" t="s">
        <v>2936</v>
      </c>
      <c r="I317" t="s">
        <v>5579</v>
      </c>
      <c r="J317" t="s">
        <v>2993</v>
      </c>
      <c r="K317" t="s">
        <v>5580</v>
      </c>
      <c r="L317" t="s">
        <v>5581</v>
      </c>
      <c r="M317" s="3" t="str">
        <f>HYPERLINK(склад2въезд13192021222[[#This Row],[RelativePath]])</f>
        <v>9 Ангар пилорама\E33149364_1_20251209T224429Z.jpg</v>
      </c>
    </row>
    <row r="318" spans="1:13" x14ac:dyDescent="0.25">
      <c r="A318" s="2" t="s">
        <v>14</v>
      </c>
      <c r="B318" s="4">
        <v>46000</v>
      </c>
      <c r="C318" s="5">
        <v>0.97392361111111114</v>
      </c>
      <c r="D318" t="s">
        <v>4</v>
      </c>
      <c r="E318" t="s">
        <v>9</v>
      </c>
      <c r="H318" t="s">
        <v>2936</v>
      </c>
      <c r="I318" t="s">
        <v>5582</v>
      </c>
      <c r="J318" t="s">
        <v>2993</v>
      </c>
      <c r="K318" t="s">
        <v>5583</v>
      </c>
      <c r="L318" t="s">
        <v>5584</v>
      </c>
      <c r="M318" s="3" t="str">
        <f>HYPERLINK(склад2въезд13192021222[[#This Row],[RelativePath]])</f>
        <v>9 Ангар пилорама\E33149364_1_20251209T232227Z.jpg</v>
      </c>
    </row>
    <row r="319" spans="1:13" x14ac:dyDescent="0.25">
      <c r="A319" s="2" t="s">
        <v>15</v>
      </c>
      <c r="B319" s="4">
        <v>46001</v>
      </c>
      <c r="C319" s="5">
        <v>0.35613425925925923</v>
      </c>
      <c r="D319" t="s">
        <v>4</v>
      </c>
      <c r="E319" t="s">
        <v>9</v>
      </c>
      <c r="H319" t="s">
        <v>2936</v>
      </c>
      <c r="I319" t="s">
        <v>5585</v>
      </c>
      <c r="J319" t="s">
        <v>2993</v>
      </c>
      <c r="K319" t="s">
        <v>5586</v>
      </c>
      <c r="L319" t="s">
        <v>5587</v>
      </c>
      <c r="M319" s="3" t="str">
        <f>HYPERLINK(склад2въезд13192021222[[#This Row],[RelativePath]])</f>
        <v>9 Ангар пилорама\E33149364_1_20251210T083250Z.jpg</v>
      </c>
    </row>
    <row r="320" spans="1:13" x14ac:dyDescent="0.25">
      <c r="A320" s="2" t="s">
        <v>15</v>
      </c>
      <c r="B320" s="4">
        <v>46001</v>
      </c>
      <c r="C320" s="5">
        <v>0.41414351851851849</v>
      </c>
      <c r="D320" t="s">
        <v>4</v>
      </c>
      <c r="E320" t="s">
        <v>9</v>
      </c>
      <c r="H320" t="s">
        <v>2936</v>
      </c>
      <c r="I320" t="s">
        <v>5588</v>
      </c>
      <c r="J320" t="s">
        <v>2993</v>
      </c>
      <c r="K320" t="s">
        <v>5589</v>
      </c>
      <c r="L320" t="s">
        <v>5590</v>
      </c>
      <c r="M320" s="3" t="str">
        <f>HYPERLINK(склад2въезд13192021222[[#This Row],[RelativePath]])</f>
        <v>9 Ангар пилорама\E33149364_1_20251210T095622Z.jpg</v>
      </c>
    </row>
    <row r="321" spans="1:13" x14ac:dyDescent="0.25">
      <c r="A321" s="2" t="s">
        <v>15</v>
      </c>
      <c r="B321" s="4">
        <v>46001</v>
      </c>
      <c r="C321" s="5">
        <v>0.45811342592592591</v>
      </c>
      <c r="D321" t="s">
        <v>6180</v>
      </c>
      <c r="I321" t="s">
        <v>5591</v>
      </c>
      <c r="J321" t="s">
        <v>2993</v>
      </c>
      <c r="K321" t="s">
        <v>5592</v>
      </c>
      <c r="L321" t="s">
        <v>5593</v>
      </c>
      <c r="M321" s="3" t="str">
        <f>HYPERLINK(склад2въезд13192021222[[#This Row],[RelativePath]])</f>
        <v>9 Ангар пилорама\E33149364_1_20251210T105941Z.jpg</v>
      </c>
    </row>
    <row r="322" spans="1:13" x14ac:dyDescent="0.25">
      <c r="A322" s="2" t="s">
        <v>15</v>
      </c>
      <c r="B322" s="4">
        <v>46001</v>
      </c>
      <c r="C322" s="5">
        <v>0.46269675925925924</v>
      </c>
      <c r="D322" t="s">
        <v>1091</v>
      </c>
      <c r="E322" t="s">
        <v>531</v>
      </c>
      <c r="F322" t="s">
        <v>6181</v>
      </c>
      <c r="I322" t="s">
        <v>5594</v>
      </c>
      <c r="J322" t="s">
        <v>2993</v>
      </c>
      <c r="K322" t="s">
        <v>5595</v>
      </c>
      <c r="L322" t="s">
        <v>5596</v>
      </c>
      <c r="M322" s="3" t="str">
        <f>HYPERLINK(склад2въезд13192021222[[#This Row],[RelativePath]])</f>
        <v>9 Ангар пилорама\E33149364_1_20251210T110617Z.jpg</v>
      </c>
    </row>
    <row r="323" spans="1:13" x14ac:dyDescent="0.25">
      <c r="A323" s="2" t="s">
        <v>15</v>
      </c>
      <c r="B323" s="4">
        <v>46001</v>
      </c>
      <c r="C323" s="5">
        <v>0.49589120370370371</v>
      </c>
      <c r="D323" t="s">
        <v>4</v>
      </c>
      <c r="E323" t="s">
        <v>9</v>
      </c>
      <c r="I323" t="s">
        <v>5597</v>
      </c>
      <c r="J323" t="s">
        <v>2993</v>
      </c>
      <c r="K323" t="s">
        <v>5598</v>
      </c>
      <c r="L323" t="s">
        <v>5599</v>
      </c>
      <c r="M323" s="3" t="str">
        <f>HYPERLINK(склад2въезд13192021222[[#This Row],[RelativePath]])</f>
        <v>9 Ангар пилорама\E33149364_1_20251210T115405Z.jpg</v>
      </c>
    </row>
    <row r="324" spans="1:13" x14ac:dyDescent="0.25">
      <c r="A324" s="2" t="s">
        <v>15</v>
      </c>
      <c r="B324" s="4">
        <v>46001</v>
      </c>
      <c r="C324" s="5">
        <v>0.50521990740740741</v>
      </c>
      <c r="D324" t="s">
        <v>4</v>
      </c>
      <c r="E324" t="s">
        <v>9</v>
      </c>
      <c r="I324" t="s">
        <v>5600</v>
      </c>
      <c r="J324" t="s">
        <v>2993</v>
      </c>
      <c r="K324" t="s">
        <v>5601</v>
      </c>
      <c r="L324" t="s">
        <v>5602</v>
      </c>
      <c r="M324" s="3" t="str">
        <f>HYPERLINK(склад2въезд13192021222[[#This Row],[RelativePath]])</f>
        <v>9 Ангар пилорама\E33149364_1_20251210T120731Z.jpg</v>
      </c>
    </row>
    <row r="325" spans="1:13" x14ac:dyDescent="0.25">
      <c r="A325" s="2" t="s">
        <v>15</v>
      </c>
      <c r="B325" s="4">
        <v>46001</v>
      </c>
      <c r="C325" s="5">
        <v>0.5220717592592593</v>
      </c>
      <c r="D325" t="s">
        <v>4</v>
      </c>
      <c r="E325" t="s">
        <v>9</v>
      </c>
      <c r="I325" t="s">
        <v>5603</v>
      </c>
      <c r="J325" t="s">
        <v>2993</v>
      </c>
      <c r="K325" t="s">
        <v>5604</v>
      </c>
      <c r="L325" t="s">
        <v>5605</v>
      </c>
      <c r="M325" s="3" t="str">
        <f>HYPERLINK(склад2въезд13192021222[[#This Row],[RelativePath]])</f>
        <v>9 Ангар пилорама\E33149364_1_20251210T123147Z.jpg</v>
      </c>
    </row>
    <row r="326" spans="1:13" x14ac:dyDescent="0.25">
      <c r="A326" s="2" t="s">
        <v>15</v>
      </c>
      <c r="B326" s="4">
        <v>46001</v>
      </c>
      <c r="C326" s="5">
        <v>0.53940972222222228</v>
      </c>
      <c r="D326" t="s">
        <v>4</v>
      </c>
      <c r="E326" t="s">
        <v>9</v>
      </c>
      <c r="I326" t="s">
        <v>5606</v>
      </c>
      <c r="J326" t="s">
        <v>2993</v>
      </c>
      <c r="K326" t="s">
        <v>5607</v>
      </c>
      <c r="L326" t="s">
        <v>5608</v>
      </c>
      <c r="M326" s="3" t="str">
        <f>HYPERLINK(склад2въезд13192021222[[#This Row],[RelativePath]])</f>
        <v>9 Ангар пилорама\E33149364_1_20251210T125645Z.jpg</v>
      </c>
    </row>
    <row r="327" spans="1:13" x14ac:dyDescent="0.25">
      <c r="A327" s="2" t="s">
        <v>15</v>
      </c>
      <c r="B327" s="4">
        <v>46001</v>
      </c>
      <c r="C327" s="5">
        <v>0.65284722222222225</v>
      </c>
      <c r="D327" t="s">
        <v>6180</v>
      </c>
      <c r="I327" t="s">
        <v>5609</v>
      </c>
      <c r="J327" t="s">
        <v>2993</v>
      </c>
      <c r="K327" t="s">
        <v>5610</v>
      </c>
      <c r="L327" t="s">
        <v>5611</v>
      </c>
      <c r="M327" s="3" t="str">
        <f>HYPERLINK(склад2въезд13192021222[[#This Row],[RelativePath]])</f>
        <v>9 Ангар пилорама\E33149364_1_20251210T154006Z.jpg</v>
      </c>
    </row>
    <row r="328" spans="1:13" x14ac:dyDescent="0.25">
      <c r="A328" s="2" t="s">
        <v>15</v>
      </c>
      <c r="B328" s="4">
        <v>46001</v>
      </c>
      <c r="C328" s="5">
        <v>0.65546296296296291</v>
      </c>
      <c r="D328" t="s">
        <v>6182</v>
      </c>
      <c r="E328" t="s">
        <v>531</v>
      </c>
      <c r="F328" t="s">
        <v>6181</v>
      </c>
      <c r="I328" t="s">
        <v>5612</v>
      </c>
      <c r="J328" t="s">
        <v>2993</v>
      </c>
      <c r="K328" t="s">
        <v>5613</v>
      </c>
      <c r="L328" t="s">
        <v>5614</v>
      </c>
      <c r="M328" s="3" t="str">
        <f>HYPERLINK(склад2въезд13192021222[[#This Row],[RelativePath]])</f>
        <v>9 Ангар пилорама\E33149364_1_20251210T154352Z.jpg</v>
      </c>
    </row>
    <row r="329" spans="1:13" x14ac:dyDescent="0.25">
      <c r="A329" s="2" t="s">
        <v>15</v>
      </c>
      <c r="B329" s="4">
        <v>46001</v>
      </c>
      <c r="C329" s="5">
        <v>0.66635416666666669</v>
      </c>
      <c r="D329" t="s">
        <v>4</v>
      </c>
      <c r="E329" t="s">
        <v>9</v>
      </c>
      <c r="I329" t="s">
        <v>5615</v>
      </c>
      <c r="J329" t="s">
        <v>2993</v>
      </c>
      <c r="K329" t="s">
        <v>5616</v>
      </c>
      <c r="L329" t="s">
        <v>5617</v>
      </c>
      <c r="M329" s="3" t="str">
        <f>HYPERLINK(склад2въезд13192021222[[#This Row],[RelativePath]])</f>
        <v>9 Ангар пилорама\E33149364_1_20251210T155933Z.jpg</v>
      </c>
    </row>
    <row r="330" spans="1:13" x14ac:dyDescent="0.25">
      <c r="A330" s="2" t="s">
        <v>16</v>
      </c>
      <c r="B330" s="4">
        <v>46002</v>
      </c>
      <c r="C330" s="5">
        <v>0.3835763888888889</v>
      </c>
      <c r="D330" t="s">
        <v>4</v>
      </c>
      <c r="E330" t="s">
        <v>9</v>
      </c>
      <c r="I330" t="s">
        <v>5618</v>
      </c>
      <c r="J330" t="s">
        <v>2993</v>
      </c>
      <c r="K330" t="s">
        <v>5619</v>
      </c>
      <c r="L330" t="s">
        <v>5620</v>
      </c>
      <c r="M330" s="3" t="str">
        <f>HYPERLINK(склад2въезд13192021222[[#This Row],[RelativePath]])</f>
        <v>9 Ангар пилорама\E33149364_1_20251211T091221Z.jpg</v>
      </c>
    </row>
    <row r="331" spans="1:13" x14ac:dyDescent="0.25">
      <c r="A331" s="2" t="s">
        <v>16</v>
      </c>
      <c r="B331" s="4">
        <v>46002</v>
      </c>
      <c r="C331" s="5">
        <v>0.84232638888888889</v>
      </c>
      <c r="D331" t="s">
        <v>4</v>
      </c>
      <c r="E331" t="s">
        <v>9</v>
      </c>
      <c r="H331" t="s">
        <v>2936</v>
      </c>
      <c r="I331" t="s">
        <v>5621</v>
      </c>
      <c r="J331" t="s">
        <v>2993</v>
      </c>
      <c r="K331" t="s">
        <v>5622</v>
      </c>
      <c r="L331" t="s">
        <v>5623</v>
      </c>
      <c r="M331" s="3" t="str">
        <f>HYPERLINK(склад2въезд13192021222[[#This Row],[RelativePath]])</f>
        <v>9 Ангар пилорама\E33149364_1_20251211T201257Z.jpg</v>
      </c>
    </row>
    <row r="332" spans="1:13" x14ac:dyDescent="0.25">
      <c r="A332" s="2" t="s">
        <v>16</v>
      </c>
      <c r="B332" s="4">
        <v>46002</v>
      </c>
      <c r="C332" s="5">
        <v>0.85605324074074074</v>
      </c>
      <c r="D332" t="s">
        <v>4</v>
      </c>
      <c r="E332" t="s">
        <v>9</v>
      </c>
      <c r="H332" t="s">
        <v>2936</v>
      </c>
      <c r="I332" t="s">
        <v>5624</v>
      </c>
      <c r="J332" t="s">
        <v>2993</v>
      </c>
      <c r="K332" t="s">
        <v>5625</v>
      </c>
      <c r="L332" t="s">
        <v>5626</v>
      </c>
      <c r="M332" s="3" t="str">
        <f>HYPERLINK(склад2въезд13192021222[[#This Row],[RelativePath]])</f>
        <v>9 Ангар пилорама\E33149364_1_20251211T203243Z.jpg</v>
      </c>
    </row>
    <row r="333" spans="1:13" x14ac:dyDescent="0.25">
      <c r="A333" s="2" t="s">
        <v>16</v>
      </c>
      <c r="B333" s="4">
        <v>46002</v>
      </c>
      <c r="C333" s="5">
        <v>0.90348379629629627</v>
      </c>
      <c r="D333" t="s">
        <v>4</v>
      </c>
      <c r="E333" t="s">
        <v>9</v>
      </c>
      <c r="H333" t="s">
        <v>2936</v>
      </c>
      <c r="I333" t="s">
        <v>5627</v>
      </c>
      <c r="J333" t="s">
        <v>2993</v>
      </c>
      <c r="K333" t="s">
        <v>5628</v>
      </c>
      <c r="L333" t="s">
        <v>5629</v>
      </c>
      <c r="M333" s="3" t="str">
        <f>HYPERLINK(склад2въезд13192021222[[#This Row],[RelativePath]])</f>
        <v>9 Ангар пилорама\E33149364_1_20251211T214101Z.jpg</v>
      </c>
    </row>
    <row r="334" spans="1:13" x14ac:dyDescent="0.25">
      <c r="A334" s="2" t="s">
        <v>16</v>
      </c>
      <c r="B334" s="4">
        <v>46002</v>
      </c>
      <c r="C334" s="5">
        <v>0.97010416666666666</v>
      </c>
      <c r="D334" t="s">
        <v>4</v>
      </c>
      <c r="E334" t="s">
        <v>9</v>
      </c>
      <c r="H334" t="s">
        <v>2936</v>
      </c>
      <c r="I334" t="s">
        <v>5630</v>
      </c>
      <c r="J334" t="s">
        <v>2993</v>
      </c>
      <c r="K334" t="s">
        <v>5631</v>
      </c>
      <c r="L334" t="s">
        <v>5632</v>
      </c>
      <c r="M334" s="3" t="str">
        <f>HYPERLINK(склад2въезд13192021222[[#This Row],[RelativePath]])</f>
        <v>9 Ангар пилорама\E33149364_1_20251211T231657Z.jpg</v>
      </c>
    </row>
    <row r="335" spans="1:13" x14ac:dyDescent="0.25">
      <c r="A335" s="2" t="s">
        <v>17</v>
      </c>
      <c r="B335" s="4">
        <v>46003</v>
      </c>
      <c r="C335" s="5">
        <v>1.861111111111111E-2</v>
      </c>
      <c r="D335" t="s">
        <v>4</v>
      </c>
      <c r="E335" t="s">
        <v>9</v>
      </c>
      <c r="H335" t="s">
        <v>2936</v>
      </c>
      <c r="I335" t="s">
        <v>5935</v>
      </c>
      <c r="J335" t="s">
        <v>2993</v>
      </c>
      <c r="K335" t="s">
        <v>5936</v>
      </c>
      <c r="L335" t="s">
        <v>5937</v>
      </c>
      <c r="M335" s="3" t="str">
        <f>HYPERLINK(склад2въезд13192021222[[#This Row],[RelativePath]])</f>
        <v>9 Ангар пилорама\E33149364_1_20251212T002648Z.jpg</v>
      </c>
    </row>
    <row r="336" spans="1:13" x14ac:dyDescent="0.25">
      <c r="A336" s="2" t="s">
        <v>17</v>
      </c>
      <c r="B336" s="4">
        <v>46003</v>
      </c>
      <c r="C336" s="5">
        <v>3.079861111111111E-2</v>
      </c>
      <c r="D336" t="s">
        <v>4</v>
      </c>
      <c r="E336" t="s">
        <v>9</v>
      </c>
      <c r="H336" t="s">
        <v>2936</v>
      </c>
      <c r="I336" t="s">
        <v>5938</v>
      </c>
      <c r="J336" t="s">
        <v>2993</v>
      </c>
      <c r="K336" t="s">
        <v>5939</v>
      </c>
      <c r="L336" t="s">
        <v>5940</v>
      </c>
      <c r="M336" s="3" t="str">
        <f>HYPERLINK(склад2въезд13192021222[[#This Row],[RelativePath]])</f>
        <v>9 Ангар пилорама\E33149364_1_20251212T004421Z.jpg</v>
      </c>
    </row>
    <row r="337" spans="1:13" x14ac:dyDescent="0.25">
      <c r="A337" s="2" t="s">
        <v>17</v>
      </c>
      <c r="B337" s="4">
        <v>46003</v>
      </c>
      <c r="C337" s="5">
        <v>4.1053240740740737E-2</v>
      </c>
      <c r="D337" t="s">
        <v>4</v>
      </c>
      <c r="E337" t="s">
        <v>9</v>
      </c>
      <c r="H337" t="s">
        <v>2936</v>
      </c>
      <c r="I337" t="s">
        <v>5941</v>
      </c>
      <c r="J337" t="s">
        <v>2993</v>
      </c>
      <c r="K337" t="s">
        <v>5942</v>
      </c>
      <c r="L337" t="s">
        <v>5943</v>
      </c>
      <c r="M337" s="3" t="str">
        <f>HYPERLINK(склад2въезд13192021222[[#This Row],[RelativePath]])</f>
        <v>9 Ангар пилорама\E33149364_1_20251212T005907Z.jpg</v>
      </c>
    </row>
    <row r="338" spans="1:13" x14ac:dyDescent="0.25">
      <c r="A338" s="2" t="s">
        <v>17</v>
      </c>
      <c r="B338" s="4">
        <v>46003</v>
      </c>
      <c r="C338" s="5">
        <v>0.30113425925925924</v>
      </c>
      <c r="D338" t="s">
        <v>4</v>
      </c>
      <c r="E338" t="s">
        <v>9</v>
      </c>
      <c r="H338" t="s">
        <v>2936</v>
      </c>
      <c r="I338" t="s">
        <v>5944</v>
      </c>
      <c r="J338" t="s">
        <v>2993</v>
      </c>
      <c r="K338" t="s">
        <v>5945</v>
      </c>
      <c r="L338" t="s">
        <v>5946</v>
      </c>
      <c r="M338" s="3" t="str">
        <f>HYPERLINK(склад2въезд13192021222[[#This Row],[RelativePath]])</f>
        <v>9 Ангар пилорама\E33149364_1_20251212T071338Z.jpg</v>
      </c>
    </row>
    <row r="339" spans="1:13" x14ac:dyDescent="0.25">
      <c r="A339" s="2" t="s">
        <v>17</v>
      </c>
      <c r="B339" s="4">
        <v>46003</v>
      </c>
      <c r="C339" s="5">
        <v>0.32002314814814814</v>
      </c>
      <c r="D339" t="s">
        <v>4</v>
      </c>
      <c r="E339" t="s">
        <v>9</v>
      </c>
      <c r="H339" t="s">
        <v>2936</v>
      </c>
      <c r="I339" t="s">
        <v>5947</v>
      </c>
      <c r="J339" t="s">
        <v>2993</v>
      </c>
      <c r="K339" t="s">
        <v>5948</v>
      </c>
      <c r="L339" t="s">
        <v>5949</v>
      </c>
      <c r="M339" s="3" t="str">
        <f>HYPERLINK(склад2въезд13192021222[[#This Row],[RelativePath]])</f>
        <v>9 Ангар пилорама\E33149364_1_20251212T074050Z.jpg</v>
      </c>
    </row>
    <row r="340" spans="1:13" x14ac:dyDescent="0.25">
      <c r="A340" s="2" t="s">
        <v>17</v>
      </c>
      <c r="B340" s="4">
        <v>46003</v>
      </c>
      <c r="C340" s="5">
        <v>0.35215277777777776</v>
      </c>
      <c r="D340" t="s">
        <v>4</v>
      </c>
      <c r="E340" t="s">
        <v>9</v>
      </c>
      <c r="H340" t="s">
        <v>2936</v>
      </c>
      <c r="I340" t="s">
        <v>5950</v>
      </c>
      <c r="J340" t="s">
        <v>2993</v>
      </c>
      <c r="K340" t="s">
        <v>5951</v>
      </c>
      <c r="L340" t="s">
        <v>5952</v>
      </c>
      <c r="M340" s="3" t="str">
        <f>HYPERLINK(склад2въезд13192021222[[#This Row],[RelativePath]])</f>
        <v>9 Ангар пилорама\E33149364_1_20251212T082706Z.jpg</v>
      </c>
    </row>
    <row r="341" spans="1:13" x14ac:dyDescent="0.25">
      <c r="A341" s="2" t="s">
        <v>17</v>
      </c>
      <c r="B341" s="4">
        <v>46003</v>
      </c>
      <c r="C341" s="5">
        <v>0.35690972222222223</v>
      </c>
      <c r="D341" t="s">
        <v>4</v>
      </c>
      <c r="E341" t="s">
        <v>9</v>
      </c>
      <c r="H341" t="s">
        <v>2936</v>
      </c>
      <c r="I341" t="s">
        <v>5953</v>
      </c>
      <c r="J341" t="s">
        <v>2993</v>
      </c>
      <c r="K341" t="s">
        <v>5954</v>
      </c>
      <c r="L341" t="s">
        <v>5955</v>
      </c>
      <c r="M341" s="3" t="str">
        <f>HYPERLINK(склад2въезд13192021222[[#This Row],[RelativePath]])</f>
        <v>9 Ангар пилорама\E33149364_1_20251212T083357Z.jpg</v>
      </c>
    </row>
    <row r="342" spans="1:13" x14ac:dyDescent="0.25">
      <c r="A342" s="2" t="s">
        <v>17</v>
      </c>
      <c r="B342" s="4">
        <v>46003</v>
      </c>
      <c r="C342" s="5">
        <v>0.36461805555555554</v>
      </c>
      <c r="D342" t="s">
        <v>4</v>
      </c>
      <c r="E342" t="s">
        <v>9</v>
      </c>
      <c r="H342" t="s">
        <v>2936</v>
      </c>
      <c r="I342" t="s">
        <v>5956</v>
      </c>
      <c r="J342" t="s">
        <v>2993</v>
      </c>
      <c r="K342" t="s">
        <v>5957</v>
      </c>
      <c r="L342" t="s">
        <v>5958</v>
      </c>
      <c r="M342" s="3" t="str">
        <f>HYPERLINK(склад2въезд13192021222[[#This Row],[RelativePath]])</f>
        <v>9 Ангар пилорама\E33149364_1_20251212T084503Z.jpg</v>
      </c>
    </row>
    <row r="343" spans="1:13" x14ac:dyDescent="0.25">
      <c r="A343" s="2" t="s">
        <v>17</v>
      </c>
      <c r="B343" s="4">
        <v>46003</v>
      </c>
      <c r="C343" s="5">
        <v>0.36774305555555553</v>
      </c>
      <c r="D343" t="s">
        <v>4</v>
      </c>
      <c r="E343" t="s">
        <v>9</v>
      </c>
      <c r="H343" t="s">
        <v>2936</v>
      </c>
      <c r="I343" t="s">
        <v>5959</v>
      </c>
      <c r="J343" t="s">
        <v>2993</v>
      </c>
      <c r="K343" t="s">
        <v>5960</v>
      </c>
      <c r="L343" t="s">
        <v>5961</v>
      </c>
      <c r="M343" s="3" t="str">
        <f>HYPERLINK(склад2въезд13192021222[[#This Row],[RelativePath]])</f>
        <v>9 Ангар пилорама\E33149364_1_20251212T084933Z.jpg</v>
      </c>
    </row>
    <row r="344" spans="1:13" x14ac:dyDescent="0.25">
      <c r="A344" s="2" t="s">
        <v>17</v>
      </c>
      <c r="B344" s="4">
        <v>46003</v>
      </c>
      <c r="C344" s="5">
        <v>0.37748842592592591</v>
      </c>
      <c r="D344" t="s">
        <v>1091</v>
      </c>
      <c r="E344" t="s">
        <v>58</v>
      </c>
      <c r="I344" t="s">
        <v>5962</v>
      </c>
      <c r="J344" t="s">
        <v>2993</v>
      </c>
      <c r="K344" t="s">
        <v>5963</v>
      </c>
      <c r="L344" t="s">
        <v>5964</v>
      </c>
      <c r="M344" s="3" t="str">
        <f>HYPERLINK(склад2въезд13192021222[[#This Row],[RelativePath]])</f>
        <v>9 Ангар пилорама\E33149364_1_20251212T090335Z.jpg</v>
      </c>
    </row>
    <row r="345" spans="1:13" x14ac:dyDescent="0.25">
      <c r="A345" s="2" t="s">
        <v>17</v>
      </c>
      <c r="B345" s="4">
        <v>46003</v>
      </c>
      <c r="C345" s="5">
        <v>0.38756944444444447</v>
      </c>
      <c r="D345" t="s">
        <v>1091</v>
      </c>
      <c r="E345" t="s">
        <v>6183</v>
      </c>
      <c r="I345" t="s">
        <v>5965</v>
      </c>
      <c r="J345" t="s">
        <v>2993</v>
      </c>
      <c r="K345" t="s">
        <v>5966</v>
      </c>
      <c r="L345" t="s">
        <v>5967</v>
      </c>
      <c r="M345" s="3" t="str">
        <f>HYPERLINK(склад2въезд13192021222[[#This Row],[RelativePath]])</f>
        <v>9 Ангар пилорама\E33149364_1_20251212T091806Z.jpg</v>
      </c>
    </row>
    <row r="346" spans="1:13" x14ac:dyDescent="0.25">
      <c r="A346" s="2" t="s">
        <v>17</v>
      </c>
      <c r="B346" s="4">
        <v>46003</v>
      </c>
      <c r="C346" s="5">
        <v>0.42334490740740743</v>
      </c>
      <c r="D346" t="s">
        <v>4</v>
      </c>
      <c r="E346" t="s">
        <v>9</v>
      </c>
      <c r="I346" t="s">
        <v>5968</v>
      </c>
      <c r="J346" t="s">
        <v>2993</v>
      </c>
      <c r="K346" t="s">
        <v>5969</v>
      </c>
      <c r="L346" t="s">
        <v>5970</v>
      </c>
      <c r="M346" s="3" t="str">
        <f>HYPERLINK(склад2въезд13192021222[[#This Row],[RelativePath]])</f>
        <v>9 Ангар пилорама\E33149364_1_20251212T100937Z.jpg</v>
      </c>
    </row>
    <row r="347" spans="1:13" x14ac:dyDescent="0.25">
      <c r="A347" s="2" t="s">
        <v>17</v>
      </c>
      <c r="B347" s="4">
        <v>46003</v>
      </c>
      <c r="C347" s="5">
        <v>0.44680555555555557</v>
      </c>
      <c r="D347" t="s">
        <v>4</v>
      </c>
      <c r="E347" t="s">
        <v>9</v>
      </c>
      <c r="H347" t="s">
        <v>2936</v>
      </c>
      <c r="I347" t="s">
        <v>5971</v>
      </c>
      <c r="J347" t="s">
        <v>2993</v>
      </c>
      <c r="K347" t="s">
        <v>5972</v>
      </c>
      <c r="L347" t="s">
        <v>5973</v>
      </c>
      <c r="M347" s="3" t="str">
        <f>HYPERLINK(склад2въезд13192021222[[#This Row],[RelativePath]])</f>
        <v>9 Ангар пилорама\E33149364_1_20251212T104324Z.jpg</v>
      </c>
    </row>
    <row r="348" spans="1:13" x14ac:dyDescent="0.25">
      <c r="A348" s="2" t="s">
        <v>17</v>
      </c>
      <c r="B348" s="4">
        <v>46003</v>
      </c>
      <c r="C348" s="5">
        <v>0.51659722222222226</v>
      </c>
      <c r="D348" t="s">
        <v>4</v>
      </c>
      <c r="E348" t="s">
        <v>9</v>
      </c>
      <c r="H348" t="s">
        <v>2936</v>
      </c>
      <c r="I348" t="s">
        <v>5974</v>
      </c>
      <c r="J348" t="s">
        <v>2993</v>
      </c>
      <c r="K348" t="s">
        <v>5975</v>
      </c>
      <c r="L348" t="s">
        <v>5976</v>
      </c>
      <c r="M348" s="3" t="str">
        <f>HYPERLINK(склад2въезд13192021222[[#This Row],[RelativePath]])</f>
        <v>9 Ангар пилорама\E33149364_1_20251212T122354Z.jpg</v>
      </c>
    </row>
    <row r="349" spans="1:13" x14ac:dyDescent="0.25">
      <c r="A349" s="2" t="s">
        <v>17</v>
      </c>
      <c r="B349" s="4">
        <v>46003</v>
      </c>
      <c r="C349" s="5">
        <v>0.82158564814814816</v>
      </c>
      <c r="D349" t="s">
        <v>4</v>
      </c>
      <c r="E349" t="s">
        <v>9</v>
      </c>
      <c r="H349" t="s">
        <v>2936</v>
      </c>
      <c r="I349" t="s">
        <v>5977</v>
      </c>
      <c r="J349" t="s">
        <v>2993</v>
      </c>
      <c r="K349" t="s">
        <v>5978</v>
      </c>
      <c r="L349" t="s">
        <v>5979</v>
      </c>
      <c r="M349" s="3" t="str">
        <f>HYPERLINK(склад2въезд13192021222[[#This Row],[RelativePath]])</f>
        <v>9 Ангар пилорама\E33149364_1_20251212T194305Z.jpg</v>
      </c>
    </row>
    <row r="350" spans="1:13" x14ac:dyDescent="0.25">
      <c r="A350" s="2" t="s">
        <v>17</v>
      </c>
      <c r="B350" s="4">
        <v>46003</v>
      </c>
      <c r="C350" s="5">
        <v>0.84995370370370371</v>
      </c>
      <c r="D350" t="s">
        <v>4</v>
      </c>
      <c r="E350" t="s">
        <v>9</v>
      </c>
      <c r="H350" t="s">
        <v>2936</v>
      </c>
      <c r="I350" t="s">
        <v>5980</v>
      </c>
      <c r="J350" t="s">
        <v>2993</v>
      </c>
      <c r="K350" t="s">
        <v>5981</v>
      </c>
      <c r="L350" t="s">
        <v>5982</v>
      </c>
      <c r="M350" s="3" t="str">
        <f>HYPERLINK(склад2въезд13192021222[[#This Row],[RelativePath]])</f>
        <v>9 Ангар пилорама\E33149364_1_20251212T202356Z.jpg</v>
      </c>
    </row>
    <row r="351" spans="1:13" x14ac:dyDescent="0.25">
      <c r="A351" s="2" t="s">
        <v>17</v>
      </c>
      <c r="B351" s="4">
        <v>46003</v>
      </c>
      <c r="C351" s="5">
        <v>0.87767361111111108</v>
      </c>
      <c r="D351" t="s">
        <v>4</v>
      </c>
      <c r="E351" t="s">
        <v>9</v>
      </c>
      <c r="H351" t="s">
        <v>2936</v>
      </c>
      <c r="I351" t="s">
        <v>5983</v>
      </c>
      <c r="J351" t="s">
        <v>2993</v>
      </c>
      <c r="K351" t="s">
        <v>5984</v>
      </c>
      <c r="L351" t="s">
        <v>5985</v>
      </c>
      <c r="M351" s="3" t="str">
        <f>HYPERLINK(склад2въезд13192021222[[#This Row],[RelativePath]])</f>
        <v>9 Ангар пилорама\E33149364_1_20251212T210351Z.jpg</v>
      </c>
    </row>
    <row r="352" spans="1:13" x14ac:dyDescent="0.25">
      <c r="A352" s="2" t="s">
        <v>17</v>
      </c>
      <c r="B352" s="4">
        <v>46003</v>
      </c>
      <c r="C352" s="5">
        <v>0.93428240740740742</v>
      </c>
      <c r="D352" t="s">
        <v>4</v>
      </c>
      <c r="E352" t="s">
        <v>9</v>
      </c>
      <c r="H352" t="s">
        <v>2936</v>
      </c>
      <c r="I352" t="s">
        <v>5986</v>
      </c>
      <c r="J352" t="s">
        <v>2993</v>
      </c>
      <c r="K352" t="s">
        <v>5987</v>
      </c>
      <c r="L352" t="s">
        <v>5988</v>
      </c>
      <c r="M352" s="3" t="str">
        <f>HYPERLINK(склад2въезд13192021222[[#This Row],[RelativePath]])</f>
        <v>9 Ангар пилорама\E33149364_1_20251212T222522Z.jpg</v>
      </c>
    </row>
    <row r="353" spans="1:13" x14ac:dyDescent="0.25">
      <c r="A353" s="2" t="s">
        <v>17</v>
      </c>
      <c r="B353" s="4">
        <v>46003</v>
      </c>
      <c r="C353" s="5">
        <v>0.95846064814814813</v>
      </c>
      <c r="D353" t="s">
        <v>4</v>
      </c>
      <c r="E353" t="s">
        <v>9</v>
      </c>
      <c r="H353" t="s">
        <v>2936</v>
      </c>
      <c r="I353" t="s">
        <v>5989</v>
      </c>
      <c r="J353" t="s">
        <v>2993</v>
      </c>
      <c r="K353" t="s">
        <v>5990</v>
      </c>
      <c r="L353" t="s">
        <v>5991</v>
      </c>
      <c r="M353" s="3" t="str">
        <f>HYPERLINK(склад2въезд13192021222[[#This Row],[RelativePath]])</f>
        <v>9 Ангар пилорама\E33149364_1_20251212T230011Z.jpg</v>
      </c>
    </row>
    <row r="354" spans="1:13" x14ac:dyDescent="0.25">
      <c r="A354" s="2" t="s">
        <v>18</v>
      </c>
      <c r="B354" s="4">
        <v>46004</v>
      </c>
      <c r="C354" s="5">
        <v>0.35418981481481482</v>
      </c>
      <c r="D354" t="s">
        <v>4</v>
      </c>
      <c r="E354" t="s">
        <v>9</v>
      </c>
      <c r="H354" t="s">
        <v>2936</v>
      </c>
      <c r="I354" t="s">
        <v>6085</v>
      </c>
      <c r="J354" t="s">
        <v>2993</v>
      </c>
      <c r="K354" t="s">
        <v>6086</v>
      </c>
      <c r="L354" t="s">
        <v>6087</v>
      </c>
      <c r="M354" s="3" t="str">
        <f>HYPERLINK(склад2въезд13192021222[[#This Row],[RelativePath]])</f>
        <v>9 Ангар пилорама\E33149364_1_20251213T083002Z.jpg</v>
      </c>
    </row>
    <row r="355" spans="1:13" x14ac:dyDescent="0.25">
      <c r="A355" s="2" t="s">
        <v>18</v>
      </c>
      <c r="B355" s="4">
        <v>46004</v>
      </c>
      <c r="C355" s="5">
        <v>0.37368055555555557</v>
      </c>
      <c r="D355" t="s">
        <v>4</v>
      </c>
      <c r="E355" t="s">
        <v>9</v>
      </c>
      <c r="H355" t="s">
        <v>2936</v>
      </c>
      <c r="I355" t="s">
        <v>6088</v>
      </c>
      <c r="J355" t="s">
        <v>2993</v>
      </c>
      <c r="K355" t="s">
        <v>6089</v>
      </c>
      <c r="L355" t="s">
        <v>6090</v>
      </c>
      <c r="M355" s="3" t="str">
        <f>HYPERLINK(склад2въезд13192021222[[#This Row],[RelativePath]])</f>
        <v>9 Ангар пилорама\E33149364_1_20251213T085806Z.jpg</v>
      </c>
    </row>
    <row r="356" spans="1:13" x14ac:dyDescent="0.25">
      <c r="A356" s="2" t="s">
        <v>18</v>
      </c>
      <c r="B356" s="4">
        <v>46004</v>
      </c>
      <c r="C356" s="5">
        <v>0.4193634259259259</v>
      </c>
      <c r="D356" t="s">
        <v>4</v>
      </c>
      <c r="E356" t="s">
        <v>9</v>
      </c>
      <c r="H356" t="s">
        <v>2936</v>
      </c>
      <c r="I356" t="s">
        <v>6091</v>
      </c>
      <c r="J356" t="s">
        <v>2993</v>
      </c>
      <c r="K356" t="s">
        <v>6092</v>
      </c>
      <c r="L356" t="s">
        <v>6093</v>
      </c>
      <c r="M356" s="3" t="str">
        <f>HYPERLINK(склад2въезд13192021222[[#This Row],[RelativePath]])</f>
        <v>9 Ангар пилорама\E33149364_1_20251213T100353Z.jpg</v>
      </c>
    </row>
    <row r="357" spans="1:13" x14ac:dyDescent="0.25">
      <c r="A357" s="2" t="s">
        <v>18</v>
      </c>
      <c r="B357" s="4">
        <v>46004</v>
      </c>
      <c r="C357" s="5">
        <v>0.68322916666666667</v>
      </c>
      <c r="D357" t="s">
        <v>4</v>
      </c>
      <c r="E357" t="s">
        <v>9</v>
      </c>
      <c r="I357" t="s">
        <v>6094</v>
      </c>
      <c r="J357" t="s">
        <v>2993</v>
      </c>
      <c r="K357" t="s">
        <v>6095</v>
      </c>
      <c r="L357" t="s">
        <v>6096</v>
      </c>
      <c r="M357" s="3" t="str">
        <f>HYPERLINK(склад2въезд13192021222[[#This Row],[RelativePath]])</f>
        <v>9 Ангар пилорама\E33149364_1_20251213T162351Z.jpg</v>
      </c>
    </row>
  </sheetData>
  <conditionalFormatting sqref="D358:D368 E358:E371 G2:H357 D2:E357">
    <cfRule type="containsText" dxfId="393" priority="14" operator="containsText" text="Выезд с территории">
      <formula>NOT(ISERROR(SEARCH("Выезд с территории",D2)))</formula>
    </cfRule>
  </conditionalFormatting>
  <conditionalFormatting sqref="F2:F357">
    <cfRule type="notContainsText" dxfId="392" priority="13" operator="notContains" text="порожний">
      <formula>ISERROR(SEARCH("порожний",F2))</formula>
    </cfRule>
  </conditionalFormatting>
  <conditionalFormatting sqref="E2:E371">
    <cfRule type="containsText" dxfId="391" priority="11" operator="containsText" text="Газель базы">
      <formula>NOT(ISERROR(SEARCH("Газель базы",E2)))</formula>
    </cfRule>
    <cfRule type="containsText" dxfId="390" priority="12" operator="containsText" text="Погрузчик базы">
      <formula>NOT(ISERROR(SEARCH("Погрузчик базы",E2)))</formula>
    </cfRule>
  </conditionalFormatting>
  <conditionalFormatting sqref="E2:E371">
    <cfRule type="containsText" dxfId="389" priority="10" operator="containsText" text="Трактор базы">
      <formula>NOT(ISERROR(SEARCH("Трактор базы",E2)))</formula>
    </cfRule>
  </conditionalFormatting>
  <conditionalFormatting sqref="A2:C357">
    <cfRule type="expression" dxfId="388" priority="9">
      <formula>$A2="пн"</formula>
    </cfRule>
  </conditionalFormatting>
  <conditionalFormatting sqref="A2:C359">
    <cfRule type="expression" dxfId="387" priority="3">
      <formula>$A2="вс"</formula>
    </cfRule>
    <cfRule type="expression" dxfId="386" priority="4">
      <formula>$A2="сб"</formula>
    </cfRule>
    <cfRule type="expression" dxfId="385" priority="5">
      <formula>$A2="пт"</formula>
    </cfRule>
    <cfRule type="expression" dxfId="384" priority="6">
      <formula>$A2="чт"</formula>
    </cfRule>
    <cfRule type="expression" dxfId="383" priority="7">
      <formula>$A2="ср"</formula>
    </cfRule>
    <cfRule type="expression" dxfId="382" priority="8">
      <formula>$A2="вт"</formula>
    </cfRule>
  </conditionalFormatting>
  <conditionalFormatting sqref="D2:D368">
    <cfRule type="containsText" dxfId="381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368">
    <cfRule type="containsText" dxfId="380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7E6A-C342-4F3E-A85F-C59A3988141D}">
  <sheetPr>
    <tabColor theme="5" tint="-0.249977111117893"/>
  </sheetPr>
  <dimension ref="A1:M346"/>
  <sheetViews>
    <sheetView zoomScale="90" zoomScaleNormal="90" workbookViewId="0">
      <pane ySplit="1" topLeftCell="A326" activePane="bottomLeft" state="frozen"/>
      <selection pane="bottomLeft" activeCell="I1" sqref="I1:L1048576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28" bestFit="1" customWidth="1"/>
    <col min="5" max="5" width="39.28515625" bestFit="1" customWidth="1"/>
    <col min="6" max="6" width="22.140625" bestFit="1" customWidth="1"/>
    <col min="7" max="7" width="7.28515625" bestFit="1" customWidth="1"/>
    <col min="8" max="8" width="46.7109375" bestFit="1" customWidth="1"/>
    <col min="9" max="9" width="35.42578125" hidden="1" customWidth="1"/>
    <col min="10" max="10" width="41.7109375" hidden="1" customWidth="1"/>
    <col min="11" max="11" width="52.85546875" hidden="1" customWidth="1"/>
    <col min="12" max="12" width="24.5703125" hidden="1" customWidth="1"/>
    <col min="13" max="13" width="52.85546875" bestFit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0.35249999999999998</v>
      </c>
      <c r="D2" t="s">
        <v>4</v>
      </c>
      <c r="E2" t="s">
        <v>8</v>
      </c>
      <c r="H2" t="s">
        <v>5</v>
      </c>
      <c r="I2" t="s">
        <v>1307</v>
      </c>
      <c r="J2" t="s">
        <v>2985</v>
      </c>
      <c r="K2" t="s">
        <v>1309</v>
      </c>
      <c r="L2" t="s">
        <v>1310</v>
      </c>
      <c r="M2" s="3" t="str">
        <f>HYPERLINK(склад2въезд131920212223[[#This Row],[RelativePath]])</f>
        <v>10 Сушилка навес\E33149364_3_20251110T082736Z.jpg</v>
      </c>
    </row>
    <row r="3" spans="1:13" x14ac:dyDescent="0.25">
      <c r="A3" s="2" t="s">
        <v>13</v>
      </c>
      <c r="B3" s="4">
        <v>45971</v>
      </c>
      <c r="C3" s="5">
        <v>0.36761574074074072</v>
      </c>
      <c r="D3" t="s">
        <v>4</v>
      </c>
      <c r="E3" t="s">
        <v>8</v>
      </c>
      <c r="I3" t="s">
        <v>1311</v>
      </c>
      <c r="J3" t="s">
        <v>2985</v>
      </c>
      <c r="K3" t="s">
        <v>1312</v>
      </c>
      <c r="L3" t="s">
        <v>1313</v>
      </c>
      <c r="M3" s="3" t="str">
        <f>HYPERLINK(склад2въезд131920212223[[#This Row],[RelativePath]])</f>
        <v>10 Сушилка навес\E33149364_3_20251110T084922Z.jpg</v>
      </c>
    </row>
    <row r="4" spans="1:13" x14ac:dyDescent="0.25">
      <c r="A4" s="2" t="s">
        <v>13</v>
      </c>
      <c r="B4" s="4">
        <v>45971</v>
      </c>
      <c r="C4" s="5">
        <v>0.38142361111111112</v>
      </c>
      <c r="D4" t="s">
        <v>4</v>
      </c>
      <c r="E4" t="s">
        <v>8</v>
      </c>
      <c r="I4" t="s">
        <v>1314</v>
      </c>
      <c r="J4" t="s">
        <v>2985</v>
      </c>
      <c r="K4" t="s">
        <v>1315</v>
      </c>
      <c r="L4" t="s">
        <v>1316</v>
      </c>
      <c r="M4" s="3" t="str">
        <f>HYPERLINK(склад2въезд131920212223[[#This Row],[RelativePath]])</f>
        <v>10 Сушилка навес\E33149364_3_20251110T090915Z.jpg</v>
      </c>
    </row>
    <row r="5" spans="1:13" x14ac:dyDescent="0.25">
      <c r="A5" s="2" t="s">
        <v>13</v>
      </c>
      <c r="B5" s="4">
        <v>45971</v>
      </c>
      <c r="C5" s="5">
        <v>0.38827546296296295</v>
      </c>
      <c r="D5" t="s">
        <v>1604</v>
      </c>
      <c r="E5" t="s">
        <v>1097</v>
      </c>
      <c r="I5" t="s">
        <v>1317</v>
      </c>
      <c r="J5" t="s">
        <v>2985</v>
      </c>
      <c r="K5" t="s">
        <v>1318</v>
      </c>
      <c r="L5" t="s">
        <v>1319</v>
      </c>
      <c r="M5" s="3" t="str">
        <f>HYPERLINK(склад2въезд131920212223[[#This Row],[RelativePath]])</f>
        <v>10 Сушилка навес\E33149364_3_20251110T091907Z.jpg</v>
      </c>
    </row>
    <row r="6" spans="1:13" x14ac:dyDescent="0.25">
      <c r="A6" s="2" t="s">
        <v>13</v>
      </c>
      <c r="B6" s="4">
        <v>45971</v>
      </c>
      <c r="C6" s="5">
        <v>0.38836805555555554</v>
      </c>
      <c r="D6" t="s">
        <v>1604</v>
      </c>
      <c r="E6" t="s">
        <v>1097</v>
      </c>
      <c r="I6" t="s">
        <v>1320</v>
      </c>
      <c r="J6" t="s">
        <v>2985</v>
      </c>
      <c r="K6" t="s">
        <v>1321</v>
      </c>
      <c r="L6" t="s">
        <v>1322</v>
      </c>
      <c r="M6" s="3" t="str">
        <f>HYPERLINK(склад2въезд131920212223[[#This Row],[RelativePath]])</f>
        <v>10 Сушилка навес\E33149364_3_20251110T091915Z.jpg</v>
      </c>
    </row>
    <row r="7" spans="1:13" x14ac:dyDescent="0.25">
      <c r="A7" s="2" t="s">
        <v>13</v>
      </c>
      <c r="B7" s="4">
        <v>45971</v>
      </c>
      <c r="C7" s="5">
        <v>0.38846064814814812</v>
      </c>
      <c r="D7" t="s">
        <v>1604</v>
      </c>
      <c r="E7" t="s">
        <v>1097</v>
      </c>
      <c r="I7" t="s">
        <v>1323</v>
      </c>
      <c r="J7" t="s">
        <v>2985</v>
      </c>
      <c r="K7" t="s">
        <v>1324</v>
      </c>
      <c r="L7" t="s">
        <v>1325</v>
      </c>
      <c r="M7" s="3" t="str">
        <f>HYPERLINK(склад2въезд131920212223[[#This Row],[RelativePath]])</f>
        <v>10 Сушилка навес\E33149364_3_20251110T091923Z.jpg</v>
      </c>
    </row>
    <row r="8" spans="1:13" x14ac:dyDescent="0.25">
      <c r="A8" s="2" t="s">
        <v>13</v>
      </c>
      <c r="B8" s="4">
        <v>45971</v>
      </c>
      <c r="C8" s="5">
        <v>0.38942129629629629</v>
      </c>
      <c r="D8" t="s">
        <v>1604</v>
      </c>
      <c r="E8" t="s">
        <v>1097</v>
      </c>
      <c r="I8" t="s">
        <v>1326</v>
      </c>
      <c r="J8" t="s">
        <v>2985</v>
      </c>
      <c r="K8" t="s">
        <v>1327</v>
      </c>
      <c r="L8" t="s">
        <v>1328</v>
      </c>
      <c r="M8" s="3" t="str">
        <f>HYPERLINK(склад2въезд131920212223[[#This Row],[RelativePath]])</f>
        <v>10 Сушилка навес\E33149364_3_20251110T092046Z.jpg</v>
      </c>
    </row>
    <row r="9" spans="1:13" x14ac:dyDescent="0.25">
      <c r="A9" s="2" t="s">
        <v>13</v>
      </c>
      <c r="B9" s="4">
        <v>45971</v>
      </c>
      <c r="C9" s="5">
        <v>0.39202546296296298</v>
      </c>
      <c r="D9" t="s">
        <v>159</v>
      </c>
      <c r="E9" t="s">
        <v>86</v>
      </c>
      <c r="F9" t="s">
        <v>60</v>
      </c>
      <c r="H9" t="s">
        <v>1605</v>
      </c>
      <c r="I9" t="s">
        <v>1329</v>
      </c>
      <c r="J9" t="s">
        <v>2985</v>
      </c>
      <c r="K9" t="s">
        <v>1330</v>
      </c>
      <c r="L9" t="s">
        <v>1331</v>
      </c>
      <c r="M9" s="3" t="str">
        <f>HYPERLINK(склад2въезд131920212223[[#This Row],[RelativePath]])</f>
        <v>10 Сушилка навес\E33149364_3_20251110T092431Z.jpg</v>
      </c>
    </row>
    <row r="10" spans="1:13" x14ac:dyDescent="0.25">
      <c r="A10" s="2" t="s">
        <v>13</v>
      </c>
      <c r="B10" s="4">
        <v>45971</v>
      </c>
      <c r="C10" s="5">
        <v>0.39728009259259262</v>
      </c>
      <c r="D10" t="s">
        <v>1094</v>
      </c>
      <c r="E10" t="s">
        <v>1095</v>
      </c>
      <c r="I10" t="s">
        <v>1332</v>
      </c>
      <c r="J10" t="s">
        <v>2985</v>
      </c>
      <c r="K10" t="s">
        <v>1333</v>
      </c>
      <c r="L10" t="s">
        <v>1334</v>
      </c>
      <c r="M10" s="3" t="str">
        <f>HYPERLINK(склад2въезд131920212223[[#This Row],[RelativePath]])</f>
        <v>10 Сушилка навес\E33149364_3_20251110T093205Z.jpg</v>
      </c>
    </row>
    <row r="11" spans="1:13" x14ac:dyDescent="0.25">
      <c r="A11" s="2" t="s">
        <v>13</v>
      </c>
      <c r="B11" s="4">
        <v>45971</v>
      </c>
      <c r="C11" s="5">
        <v>0.40636574074074072</v>
      </c>
      <c r="D11" t="s">
        <v>1094</v>
      </c>
      <c r="E11" t="s">
        <v>1095</v>
      </c>
      <c r="I11" t="s">
        <v>1335</v>
      </c>
      <c r="J11" t="s">
        <v>2985</v>
      </c>
      <c r="K11" t="s">
        <v>1336</v>
      </c>
      <c r="L11" t="s">
        <v>1337</v>
      </c>
      <c r="M11" s="3" t="str">
        <f>HYPERLINK(склад2въезд131920212223[[#This Row],[RelativePath]])</f>
        <v>10 Сушилка навес\E33149364_3_20251110T094510Z.jpg</v>
      </c>
    </row>
    <row r="12" spans="1:13" x14ac:dyDescent="0.25">
      <c r="A12" s="2" t="s">
        <v>13</v>
      </c>
      <c r="B12" s="4">
        <v>45971</v>
      </c>
      <c r="C12" s="5">
        <v>0.41952546296296295</v>
      </c>
      <c r="D12" t="s">
        <v>159</v>
      </c>
      <c r="E12" t="s">
        <v>86</v>
      </c>
      <c r="F12" t="s">
        <v>51</v>
      </c>
      <c r="I12" t="s">
        <v>1338</v>
      </c>
      <c r="J12" t="s">
        <v>2985</v>
      </c>
      <c r="K12" t="s">
        <v>1339</v>
      </c>
      <c r="L12" t="s">
        <v>1340</v>
      </c>
      <c r="M12" s="3" t="str">
        <f>HYPERLINK(склад2въезд131920212223[[#This Row],[RelativePath]])</f>
        <v>10 Сушилка навес\E33149364_3_20251110T100407Z.jpg</v>
      </c>
    </row>
    <row r="13" spans="1:13" x14ac:dyDescent="0.25">
      <c r="A13" s="2" t="s">
        <v>13</v>
      </c>
      <c r="B13" s="4">
        <v>45971</v>
      </c>
      <c r="C13" s="5">
        <v>0.4205787037037037</v>
      </c>
      <c r="D13" t="s">
        <v>1606</v>
      </c>
      <c r="E13" t="s">
        <v>86</v>
      </c>
      <c r="F13" t="s">
        <v>51</v>
      </c>
      <c r="I13" t="s">
        <v>1341</v>
      </c>
      <c r="J13" t="s">
        <v>2985</v>
      </c>
      <c r="K13" t="s">
        <v>1342</v>
      </c>
      <c r="L13" t="s">
        <v>1343</v>
      </c>
      <c r="M13" s="3" t="str">
        <f>HYPERLINK(склад2въезд131920212223[[#This Row],[RelativePath]])</f>
        <v>10 Сушилка навес\E33149364_3_20251110T100538Z.jpg</v>
      </c>
    </row>
    <row r="14" spans="1:13" x14ac:dyDescent="0.25">
      <c r="A14" s="2" t="s">
        <v>13</v>
      </c>
      <c r="B14" s="4">
        <v>45971</v>
      </c>
      <c r="C14" s="5">
        <v>0.4215740740740741</v>
      </c>
      <c r="D14" t="s">
        <v>289</v>
      </c>
      <c r="E14" t="s">
        <v>86</v>
      </c>
      <c r="F14" t="s">
        <v>53</v>
      </c>
      <c r="G14">
        <v>1</v>
      </c>
      <c r="I14" t="s">
        <v>1344</v>
      </c>
      <c r="J14" t="s">
        <v>2985</v>
      </c>
      <c r="K14" t="s">
        <v>1345</v>
      </c>
      <c r="L14" t="s">
        <v>1346</v>
      </c>
      <c r="M14" s="3" t="str">
        <f>HYPERLINK(склад2въезд131920212223[[#This Row],[RelativePath]])</f>
        <v>10 Сушилка навес\E33149364_3_20251110T100704Z.jpg</v>
      </c>
    </row>
    <row r="15" spans="1:13" x14ac:dyDescent="0.25">
      <c r="A15" s="2" t="s">
        <v>13</v>
      </c>
      <c r="B15" s="4">
        <v>45971</v>
      </c>
      <c r="C15" s="5">
        <v>0.42166666666666669</v>
      </c>
      <c r="D15" t="s">
        <v>650</v>
      </c>
      <c r="E15" t="s">
        <v>86</v>
      </c>
      <c r="F15" t="s">
        <v>1609</v>
      </c>
      <c r="I15" t="s">
        <v>1347</v>
      </c>
      <c r="J15" t="s">
        <v>2985</v>
      </c>
      <c r="K15" t="s">
        <v>1348</v>
      </c>
      <c r="L15" t="s">
        <v>1349</v>
      </c>
      <c r="M15" s="3" t="str">
        <f>HYPERLINK(склад2въезд131920212223[[#This Row],[RelativePath]])</f>
        <v>10 Сушилка навес\E33149364_3_20251110T100712Z.jpg</v>
      </c>
    </row>
    <row r="16" spans="1:13" x14ac:dyDescent="0.25">
      <c r="A16" s="2" t="s">
        <v>13</v>
      </c>
      <c r="B16" s="4">
        <v>45971</v>
      </c>
      <c r="C16" s="5">
        <v>0.42212962962962963</v>
      </c>
      <c r="D16" t="s">
        <v>4</v>
      </c>
      <c r="E16" t="s">
        <v>8</v>
      </c>
      <c r="I16" t="s">
        <v>1350</v>
      </c>
      <c r="J16" t="s">
        <v>2985</v>
      </c>
      <c r="K16" t="s">
        <v>1351</v>
      </c>
      <c r="L16" t="s">
        <v>1352</v>
      </c>
      <c r="M16" s="3" t="str">
        <f>HYPERLINK(склад2въезд131920212223[[#This Row],[RelativePath]])</f>
        <v>10 Сушилка навес\E33149364_3_20251110T100752Z.jpg</v>
      </c>
    </row>
    <row r="17" spans="1:13" x14ac:dyDescent="0.25">
      <c r="A17" s="2" t="s">
        <v>13</v>
      </c>
      <c r="B17" s="4">
        <v>45971</v>
      </c>
      <c r="C17" s="5">
        <v>0.42531249999999998</v>
      </c>
      <c r="D17" t="s">
        <v>1606</v>
      </c>
      <c r="E17" t="s">
        <v>86</v>
      </c>
      <c r="F17" t="s">
        <v>51</v>
      </c>
      <c r="I17" t="s">
        <v>1353</v>
      </c>
      <c r="J17" t="s">
        <v>2985</v>
      </c>
      <c r="K17" t="s">
        <v>1354</v>
      </c>
      <c r="L17" t="s">
        <v>1355</v>
      </c>
      <c r="M17" s="3" t="str">
        <f>HYPERLINK(склад2въезд131920212223[[#This Row],[RelativePath]])</f>
        <v>10 Сушилка навес\E33149364_3_20251110T101227Z.jpg</v>
      </c>
    </row>
    <row r="18" spans="1:13" x14ac:dyDescent="0.25">
      <c r="A18" s="2" t="s">
        <v>13</v>
      </c>
      <c r="B18" s="4">
        <v>45971</v>
      </c>
      <c r="C18" s="5">
        <v>0.42618055555555556</v>
      </c>
      <c r="D18" t="s">
        <v>289</v>
      </c>
      <c r="E18" t="s">
        <v>86</v>
      </c>
      <c r="F18" t="s">
        <v>53</v>
      </c>
      <c r="G18">
        <v>1</v>
      </c>
      <c r="I18" t="s">
        <v>1356</v>
      </c>
      <c r="J18" t="s">
        <v>2985</v>
      </c>
      <c r="K18" t="s">
        <v>1357</v>
      </c>
      <c r="L18" t="s">
        <v>1358</v>
      </c>
      <c r="M18" s="3" t="str">
        <f>HYPERLINK(склад2въезд131920212223[[#This Row],[RelativePath]])</f>
        <v>10 Сушилка навес\E33149364_3_20251110T101342Z.jpg</v>
      </c>
    </row>
    <row r="19" spans="1:13" x14ac:dyDescent="0.25">
      <c r="A19" s="2" t="s">
        <v>13</v>
      </c>
      <c r="B19" s="4">
        <v>45971</v>
      </c>
      <c r="C19" s="5">
        <v>0.42623842592592592</v>
      </c>
      <c r="D19" t="s">
        <v>650</v>
      </c>
      <c r="E19" t="s">
        <v>86</v>
      </c>
      <c r="F19" t="s">
        <v>1609</v>
      </c>
      <c r="I19" t="s">
        <v>1359</v>
      </c>
      <c r="J19" t="s">
        <v>2985</v>
      </c>
      <c r="K19" t="s">
        <v>1360</v>
      </c>
      <c r="L19" t="s">
        <v>1361</v>
      </c>
      <c r="M19" s="3" t="str">
        <f>HYPERLINK(склад2въезд131920212223[[#This Row],[RelativePath]])</f>
        <v>10 Сушилка навес\E33149364_3_20251110T101347Z.jpg</v>
      </c>
    </row>
    <row r="20" spans="1:13" x14ac:dyDescent="0.25">
      <c r="A20" s="2" t="s">
        <v>13</v>
      </c>
      <c r="B20" s="4">
        <v>45971</v>
      </c>
      <c r="C20" s="5">
        <v>0.43119212962962961</v>
      </c>
      <c r="D20" t="s">
        <v>1606</v>
      </c>
      <c r="E20" t="s">
        <v>86</v>
      </c>
      <c r="F20" t="s">
        <v>51</v>
      </c>
      <c r="I20" t="s">
        <v>1362</v>
      </c>
      <c r="J20" t="s">
        <v>2985</v>
      </c>
      <c r="K20" t="s">
        <v>1363</v>
      </c>
      <c r="L20" t="s">
        <v>1364</v>
      </c>
      <c r="M20" s="3" t="str">
        <f>HYPERLINK(склад2въезд131920212223[[#This Row],[RelativePath]])</f>
        <v>10 Сушилка навес\E33149364_3_20251110T102055Z.jpg</v>
      </c>
    </row>
    <row r="21" spans="1:13" x14ac:dyDescent="0.25">
      <c r="A21" s="2" t="s">
        <v>13</v>
      </c>
      <c r="B21" s="4">
        <v>45971</v>
      </c>
      <c r="C21" s="5">
        <v>0.43146990740740743</v>
      </c>
      <c r="D21" t="s">
        <v>289</v>
      </c>
      <c r="E21" t="s">
        <v>86</v>
      </c>
      <c r="F21" t="s">
        <v>53</v>
      </c>
      <c r="G21">
        <v>1</v>
      </c>
      <c r="I21" t="s">
        <v>1365</v>
      </c>
      <c r="J21" t="s">
        <v>2985</v>
      </c>
      <c r="K21" t="s">
        <v>1366</v>
      </c>
      <c r="L21" t="s">
        <v>1367</v>
      </c>
      <c r="M21" s="3" t="str">
        <f>HYPERLINK(склад2въезд131920212223[[#This Row],[RelativePath]])</f>
        <v>10 Сушилка навес\E33149364_3_20251110T102119Z.jpg</v>
      </c>
    </row>
    <row r="22" spans="1:13" x14ac:dyDescent="0.25">
      <c r="A22" s="2" t="s">
        <v>13</v>
      </c>
      <c r="B22" s="4">
        <v>45971</v>
      </c>
      <c r="C22" s="5">
        <v>0.43155092592592592</v>
      </c>
      <c r="D22" t="s">
        <v>650</v>
      </c>
      <c r="E22" t="s">
        <v>86</v>
      </c>
      <c r="F22" t="s">
        <v>1609</v>
      </c>
      <c r="I22" t="s">
        <v>1368</v>
      </c>
      <c r="J22" t="s">
        <v>2985</v>
      </c>
      <c r="K22" t="s">
        <v>1369</v>
      </c>
      <c r="L22" t="s">
        <v>1370</v>
      </c>
      <c r="M22" s="3" t="str">
        <f>HYPERLINK(склад2въезд131920212223[[#This Row],[RelativePath]])</f>
        <v>10 Сушилка навес\E33149364_3_20251110T102126Z.jpg</v>
      </c>
    </row>
    <row r="23" spans="1:13" x14ac:dyDescent="0.25">
      <c r="A23" s="2" t="s">
        <v>13</v>
      </c>
      <c r="B23" s="4">
        <v>45971</v>
      </c>
      <c r="C23" s="5">
        <v>0.43638888888888888</v>
      </c>
      <c r="D23" t="s">
        <v>4</v>
      </c>
      <c r="E23" t="s">
        <v>1607</v>
      </c>
      <c r="F23" t="s">
        <v>1608</v>
      </c>
      <c r="I23" t="s">
        <v>1371</v>
      </c>
      <c r="J23" t="s">
        <v>2985</v>
      </c>
      <c r="K23" t="s">
        <v>1372</v>
      </c>
      <c r="L23" t="s">
        <v>1373</v>
      </c>
      <c r="M23" s="3" t="str">
        <f>HYPERLINK(склад2въезд131920212223[[#This Row],[RelativePath]])</f>
        <v>10 Сушилка навес\E33149364_3_20251110T102824Z.jpg</v>
      </c>
    </row>
    <row r="24" spans="1:13" x14ac:dyDescent="0.25">
      <c r="A24" s="2" t="s">
        <v>13</v>
      </c>
      <c r="B24" s="4">
        <v>45971</v>
      </c>
      <c r="C24" s="5">
        <v>0.43645833333333334</v>
      </c>
      <c r="D24" t="s">
        <v>4</v>
      </c>
      <c r="E24" t="s">
        <v>1607</v>
      </c>
      <c r="F24" t="s">
        <v>1608</v>
      </c>
      <c r="I24" t="s">
        <v>1374</v>
      </c>
      <c r="J24" t="s">
        <v>2985</v>
      </c>
      <c r="K24" t="s">
        <v>1375</v>
      </c>
      <c r="L24" t="s">
        <v>1376</v>
      </c>
      <c r="M24" s="3" t="str">
        <f>HYPERLINK(склад2въезд131920212223[[#This Row],[RelativePath]])</f>
        <v>10 Сушилка навес\E33149364_3_20251110T102830Z.jpg</v>
      </c>
    </row>
    <row r="25" spans="1:13" x14ac:dyDescent="0.25">
      <c r="A25" s="2" t="s">
        <v>13</v>
      </c>
      <c r="B25" s="4">
        <v>45971</v>
      </c>
      <c r="C25" s="5">
        <v>0.43714120370370368</v>
      </c>
      <c r="D25" t="s">
        <v>159</v>
      </c>
      <c r="E25" t="s">
        <v>86</v>
      </c>
      <c r="F25" t="s">
        <v>60</v>
      </c>
      <c r="H25" t="s">
        <v>1605</v>
      </c>
      <c r="I25" t="s">
        <v>1377</v>
      </c>
      <c r="J25" t="s">
        <v>2985</v>
      </c>
      <c r="K25" t="s">
        <v>1378</v>
      </c>
      <c r="L25" t="s">
        <v>1379</v>
      </c>
      <c r="M25" s="3" t="str">
        <f>HYPERLINK(склад2въезд131920212223[[#This Row],[RelativePath]])</f>
        <v>10 Сушилка навес\E33149364_3_20251110T102929Z.jpg</v>
      </c>
    </row>
    <row r="26" spans="1:13" x14ac:dyDescent="0.25">
      <c r="A26" s="2" t="s">
        <v>13</v>
      </c>
      <c r="B26" s="4">
        <v>45971</v>
      </c>
      <c r="C26" s="5">
        <v>0.44962962962962966</v>
      </c>
      <c r="D26" t="s">
        <v>4</v>
      </c>
      <c r="E26" t="s">
        <v>8</v>
      </c>
      <c r="I26" t="s">
        <v>1380</v>
      </c>
      <c r="J26" t="s">
        <v>2985</v>
      </c>
      <c r="K26" t="s">
        <v>1381</v>
      </c>
      <c r="L26" t="s">
        <v>1382</v>
      </c>
      <c r="M26" s="3" t="str">
        <f>HYPERLINK(склад2въезд131920212223[[#This Row],[RelativePath]])</f>
        <v>10 Сушилка навес\E33149364_3_20251110T104728Z.jpg</v>
      </c>
    </row>
    <row r="27" spans="1:13" x14ac:dyDescent="0.25">
      <c r="A27" s="2" t="s">
        <v>13</v>
      </c>
      <c r="B27" s="4">
        <v>45971</v>
      </c>
      <c r="C27" s="5">
        <v>0.45780092592592592</v>
      </c>
      <c r="D27" t="s">
        <v>1606</v>
      </c>
      <c r="E27" t="s">
        <v>86</v>
      </c>
      <c r="F27" t="s">
        <v>51</v>
      </c>
      <c r="I27" t="s">
        <v>1383</v>
      </c>
      <c r="J27" t="s">
        <v>2985</v>
      </c>
      <c r="K27" t="s">
        <v>1384</v>
      </c>
      <c r="L27" t="s">
        <v>1385</v>
      </c>
      <c r="M27" s="3" t="str">
        <f>HYPERLINK(склад2въезд131920212223[[#This Row],[RelativePath]])</f>
        <v>10 Сушилка навес\E33149364_3_20251110T105914Z.jpg</v>
      </c>
    </row>
    <row r="28" spans="1:13" x14ac:dyDescent="0.25">
      <c r="A28" s="2" t="s">
        <v>13</v>
      </c>
      <c r="B28" s="4">
        <v>45971</v>
      </c>
      <c r="C28" s="5">
        <v>0.48737268518518517</v>
      </c>
      <c r="D28" t="s">
        <v>4</v>
      </c>
      <c r="E28" t="s">
        <v>8</v>
      </c>
      <c r="I28" t="s">
        <v>1386</v>
      </c>
      <c r="J28" t="s">
        <v>2985</v>
      </c>
      <c r="K28" t="s">
        <v>1387</v>
      </c>
      <c r="L28" t="s">
        <v>1388</v>
      </c>
      <c r="M28" s="3" t="str">
        <f>HYPERLINK(склад2въезд131920212223[[#This Row],[RelativePath]])</f>
        <v>10 Сушилка навес\E33149364_3_20251110T114149Z.jpg</v>
      </c>
    </row>
    <row r="29" spans="1:13" x14ac:dyDescent="0.25">
      <c r="A29" s="2" t="s">
        <v>13</v>
      </c>
      <c r="B29" s="4">
        <v>45971</v>
      </c>
      <c r="C29" s="5">
        <v>0.49100694444444443</v>
      </c>
      <c r="D29" t="s">
        <v>650</v>
      </c>
      <c r="E29" t="s">
        <v>86</v>
      </c>
      <c r="F29" t="s">
        <v>51</v>
      </c>
      <c r="I29" t="s">
        <v>1389</v>
      </c>
      <c r="J29" t="s">
        <v>2985</v>
      </c>
      <c r="K29" t="s">
        <v>1390</v>
      </c>
      <c r="L29" t="s">
        <v>1391</v>
      </c>
      <c r="M29" s="3" t="str">
        <f>HYPERLINK(склад2въезд131920212223[[#This Row],[RelativePath]])</f>
        <v>10 Сушилка навес\E33149364_3_20251110T114703Z.jpg</v>
      </c>
    </row>
    <row r="30" spans="1:13" x14ac:dyDescent="0.25">
      <c r="A30" s="2" t="s">
        <v>13</v>
      </c>
      <c r="B30" s="4">
        <v>45971</v>
      </c>
      <c r="C30" s="5">
        <v>0.49104166666666665</v>
      </c>
      <c r="D30" t="s">
        <v>4</v>
      </c>
      <c r="E30" t="s">
        <v>8</v>
      </c>
      <c r="I30" t="s">
        <v>1392</v>
      </c>
      <c r="J30" t="s">
        <v>2985</v>
      </c>
      <c r="K30" t="s">
        <v>1393</v>
      </c>
      <c r="L30" t="s">
        <v>1394</v>
      </c>
      <c r="M30" s="3" t="str">
        <f>HYPERLINK(склад2въезд131920212223[[#This Row],[RelativePath]])</f>
        <v>10 Сушилка навес\E33149364_3_20251110T114706Z.jpg</v>
      </c>
    </row>
    <row r="31" spans="1:13" x14ac:dyDescent="0.25">
      <c r="A31" s="2" t="s">
        <v>13</v>
      </c>
      <c r="B31" s="4">
        <v>45971</v>
      </c>
      <c r="C31" s="5">
        <v>0.50260416666666663</v>
      </c>
      <c r="D31" t="s">
        <v>1606</v>
      </c>
      <c r="E31" t="s">
        <v>56</v>
      </c>
      <c r="F31" t="s">
        <v>51</v>
      </c>
      <c r="I31" t="s">
        <v>1395</v>
      </c>
      <c r="J31" t="s">
        <v>2985</v>
      </c>
      <c r="K31" t="s">
        <v>1396</v>
      </c>
      <c r="L31" t="s">
        <v>1397</v>
      </c>
      <c r="M31" s="3" t="str">
        <f>HYPERLINK(склад2въезд131920212223[[#This Row],[RelativePath]])</f>
        <v>10 Сушилка навес\E33149364_3_20251110T120345Z.jpg</v>
      </c>
    </row>
    <row r="32" spans="1:13" x14ac:dyDescent="0.25">
      <c r="A32" s="2" t="s">
        <v>13</v>
      </c>
      <c r="B32" s="4">
        <v>45971</v>
      </c>
      <c r="C32" s="5">
        <v>0.51554398148148151</v>
      </c>
      <c r="D32" t="s">
        <v>289</v>
      </c>
      <c r="E32" t="s">
        <v>56</v>
      </c>
      <c r="F32" t="s">
        <v>53</v>
      </c>
      <c r="G32">
        <v>3</v>
      </c>
      <c r="I32" t="s">
        <v>1398</v>
      </c>
      <c r="J32" t="s">
        <v>2985</v>
      </c>
      <c r="K32" t="s">
        <v>1399</v>
      </c>
      <c r="L32" t="s">
        <v>1400</v>
      </c>
      <c r="M32" s="3" t="str">
        <f>HYPERLINK(склад2въезд131920212223[[#This Row],[RelativePath]])</f>
        <v>10 Сушилка навес\E33149364_3_20251110T122223Z.jpg</v>
      </c>
    </row>
    <row r="33" spans="1:13" x14ac:dyDescent="0.25">
      <c r="A33" s="2" t="s">
        <v>13</v>
      </c>
      <c r="B33" s="4">
        <v>45971</v>
      </c>
      <c r="C33" s="5">
        <v>0.515625</v>
      </c>
      <c r="D33" t="s">
        <v>650</v>
      </c>
      <c r="E33" t="s">
        <v>56</v>
      </c>
      <c r="F33" t="s">
        <v>1609</v>
      </c>
      <c r="I33" t="s">
        <v>1401</v>
      </c>
      <c r="J33" t="s">
        <v>2985</v>
      </c>
      <c r="K33" t="s">
        <v>1402</v>
      </c>
      <c r="L33" t="s">
        <v>1403</v>
      </c>
      <c r="M33" s="3" t="str">
        <f>HYPERLINK(склад2въезд131920212223[[#This Row],[RelativePath]])</f>
        <v>10 Сушилка навес\E33149364_3_20251110T122230Z.jpg</v>
      </c>
    </row>
    <row r="34" spans="1:13" x14ac:dyDescent="0.25">
      <c r="A34" s="2" t="s">
        <v>13</v>
      </c>
      <c r="B34" s="4">
        <v>45971</v>
      </c>
      <c r="C34" s="5">
        <v>0.52188657407407413</v>
      </c>
      <c r="D34" t="s">
        <v>533</v>
      </c>
      <c r="E34" t="s">
        <v>531</v>
      </c>
      <c r="F34" t="s">
        <v>58</v>
      </c>
      <c r="H34" t="s">
        <v>1612</v>
      </c>
      <c r="I34" t="s">
        <v>1404</v>
      </c>
      <c r="J34" t="s">
        <v>2985</v>
      </c>
      <c r="K34" t="s">
        <v>1405</v>
      </c>
      <c r="L34" t="s">
        <v>1406</v>
      </c>
      <c r="M34" s="3" t="str">
        <f>HYPERLINK(склад2въезд131920212223[[#This Row],[RelativePath]])</f>
        <v>10 Сушилка навес\E33149364_3_20251110T123131Z.jpg</v>
      </c>
    </row>
    <row r="35" spans="1:13" x14ac:dyDescent="0.25">
      <c r="A35" s="2" t="s">
        <v>13</v>
      </c>
      <c r="B35" s="4">
        <v>45971</v>
      </c>
      <c r="C35" s="5">
        <v>0.52438657407407407</v>
      </c>
      <c r="D35" t="s">
        <v>533</v>
      </c>
      <c r="E35" t="s">
        <v>531</v>
      </c>
      <c r="F35" t="s">
        <v>58</v>
      </c>
      <c r="H35" t="s">
        <v>1612</v>
      </c>
      <c r="I35" t="s">
        <v>1407</v>
      </c>
      <c r="J35" t="s">
        <v>2985</v>
      </c>
      <c r="K35" t="s">
        <v>1408</v>
      </c>
      <c r="L35" t="s">
        <v>1409</v>
      </c>
      <c r="M35" s="3" t="str">
        <f>HYPERLINK(склад2въезд131920212223[[#This Row],[RelativePath]])</f>
        <v>10 Сушилка навес\E33149364_3_20251110T123507Z.jpg</v>
      </c>
    </row>
    <row r="36" spans="1:13" x14ac:dyDescent="0.25">
      <c r="A36" s="2" t="s">
        <v>13</v>
      </c>
      <c r="B36" s="4">
        <v>45971</v>
      </c>
      <c r="C36" s="5">
        <v>0.5244212962962963</v>
      </c>
      <c r="D36" t="s">
        <v>533</v>
      </c>
      <c r="E36" t="s">
        <v>531</v>
      </c>
      <c r="F36" t="s">
        <v>58</v>
      </c>
      <c r="H36" t="s">
        <v>1612</v>
      </c>
      <c r="I36" t="s">
        <v>1410</v>
      </c>
      <c r="J36" t="s">
        <v>2985</v>
      </c>
      <c r="K36" t="s">
        <v>1411</v>
      </c>
      <c r="L36" t="s">
        <v>1412</v>
      </c>
      <c r="M36" s="3" t="str">
        <f>HYPERLINK(склад2въезд131920212223[[#This Row],[RelativePath]])</f>
        <v>10 Сушилка навес\E33149364_3_20251110T123510Z.jpg</v>
      </c>
    </row>
    <row r="37" spans="1:13" x14ac:dyDescent="0.25">
      <c r="A37" s="2" t="s">
        <v>13</v>
      </c>
      <c r="B37" s="4">
        <v>45971</v>
      </c>
      <c r="C37" s="5">
        <v>0.52446759259259257</v>
      </c>
      <c r="D37" t="s">
        <v>533</v>
      </c>
      <c r="E37" t="s">
        <v>531</v>
      </c>
      <c r="F37" t="s">
        <v>58</v>
      </c>
      <c r="H37" t="s">
        <v>1612</v>
      </c>
      <c r="I37" t="s">
        <v>1413</v>
      </c>
      <c r="J37" t="s">
        <v>2985</v>
      </c>
      <c r="K37" t="s">
        <v>1414</v>
      </c>
      <c r="L37" t="s">
        <v>1415</v>
      </c>
      <c r="M37" s="3" t="str">
        <f>HYPERLINK(склад2въезд131920212223[[#This Row],[RelativePath]])</f>
        <v>10 Сушилка навес\E33149364_3_20251110T123514Z.jpg</v>
      </c>
    </row>
    <row r="38" spans="1:13" x14ac:dyDescent="0.25">
      <c r="A38" s="2" t="s">
        <v>13</v>
      </c>
      <c r="B38" s="4">
        <v>45971</v>
      </c>
      <c r="C38" s="5">
        <v>0.52990740740740738</v>
      </c>
      <c r="D38" t="s">
        <v>4</v>
      </c>
      <c r="E38" t="s">
        <v>8</v>
      </c>
      <c r="I38" t="s">
        <v>1416</v>
      </c>
      <c r="J38" t="s">
        <v>2985</v>
      </c>
      <c r="K38" t="s">
        <v>1417</v>
      </c>
      <c r="L38" t="s">
        <v>1418</v>
      </c>
      <c r="M38" s="3" t="str">
        <f>HYPERLINK(склад2въезд131920212223[[#This Row],[RelativePath]])</f>
        <v>10 Сушилка навес\E33149364_3_20251110T124304Z.jpg</v>
      </c>
    </row>
    <row r="39" spans="1:13" x14ac:dyDescent="0.25">
      <c r="A39" s="2" t="s">
        <v>13</v>
      </c>
      <c r="B39" s="4">
        <v>45971</v>
      </c>
      <c r="C39" s="5">
        <v>0.58702546296296299</v>
      </c>
      <c r="D39" t="s">
        <v>533</v>
      </c>
      <c r="E39" t="s">
        <v>1610</v>
      </c>
      <c r="F39" t="s">
        <v>58</v>
      </c>
      <c r="H39" t="s">
        <v>1611</v>
      </c>
      <c r="I39" t="s">
        <v>1419</v>
      </c>
      <c r="J39" t="s">
        <v>2985</v>
      </c>
      <c r="K39" t="s">
        <v>1420</v>
      </c>
      <c r="L39" t="s">
        <v>1421</v>
      </c>
      <c r="M39" s="3" t="str">
        <f>HYPERLINK(склад2въезд131920212223[[#This Row],[RelativePath]])</f>
        <v>10 Сушилка навес\E33149364_3_20251110T140519Z.jpg</v>
      </c>
    </row>
    <row r="40" spans="1:13" x14ac:dyDescent="0.25">
      <c r="A40" s="2" t="s">
        <v>13</v>
      </c>
      <c r="B40" s="4">
        <v>45971</v>
      </c>
      <c r="C40" s="5">
        <v>0.5876851851851852</v>
      </c>
      <c r="D40" t="s">
        <v>533</v>
      </c>
      <c r="E40" t="s">
        <v>1610</v>
      </c>
      <c r="F40" t="s">
        <v>58</v>
      </c>
      <c r="H40" t="s">
        <v>1611</v>
      </c>
      <c r="I40" t="s">
        <v>1422</v>
      </c>
      <c r="J40" t="s">
        <v>2985</v>
      </c>
      <c r="K40" t="s">
        <v>1423</v>
      </c>
      <c r="L40" t="s">
        <v>1424</v>
      </c>
      <c r="M40" s="3" t="str">
        <f>HYPERLINK(склад2въезд131920212223[[#This Row],[RelativePath]])</f>
        <v>10 Сушилка навес\E33149364_3_20251110T140616Z.jpg</v>
      </c>
    </row>
    <row r="41" spans="1:13" x14ac:dyDescent="0.25">
      <c r="A41" s="2" t="s">
        <v>13</v>
      </c>
      <c r="B41" s="4">
        <v>45971</v>
      </c>
      <c r="C41" s="5">
        <v>0.59212962962962967</v>
      </c>
      <c r="D41" t="s">
        <v>533</v>
      </c>
      <c r="E41" t="s">
        <v>1610</v>
      </c>
      <c r="F41" t="s">
        <v>58</v>
      </c>
      <c r="H41" t="s">
        <v>1611</v>
      </c>
      <c r="I41" t="s">
        <v>1425</v>
      </c>
      <c r="J41" t="s">
        <v>2985</v>
      </c>
      <c r="K41" t="s">
        <v>1426</v>
      </c>
      <c r="L41" t="s">
        <v>1427</v>
      </c>
      <c r="M41" s="3" t="str">
        <f>HYPERLINK(склад2въезд131920212223[[#This Row],[RelativePath]])</f>
        <v>10 Сушилка навес\E33149364_3_20251110T141240Z.jpg</v>
      </c>
    </row>
    <row r="42" spans="1:13" x14ac:dyDescent="0.25">
      <c r="A42" s="2" t="s">
        <v>13</v>
      </c>
      <c r="B42" s="4">
        <v>45971</v>
      </c>
      <c r="C42" s="5">
        <v>0.64674768518518522</v>
      </c>
      <c r="D42" t="s">
        <v>533</v>
      </c>
      <c r="E42" t="s">
        <v>531</v>
      </c>
      <c r="F42" t="s">
        <v>58</v>
      </c>
      <c r="H42" t="s">
        <v>1612</v>
      </c>
      <c r="I42" t="s">
        <v>1428</v>
      </c>
      <c r="J42" t="s">
        <v>2985</v>
      </c>
      <c r="K42" t="s">
        <v>1429</v>
      </c>
      <c r="L42" t="s">
        <v>1430</v>
      </c>
      <c r="M42" s="3" t="str">
        <f>HYPERLINK(склад2въезд131920212223[[#This Row],[RelativePath]])</f>
        <v>10 Сушилка навес\E33149364_3_20251110T153119Z.jpg</v>
      </c>
    </row>
    <row r="43" spans="1:13" x14ac:dyDescent="0.25">
      <c r="A43" s="2" t="s">
        <v>13</v>
      </c>
      <c r="B43" s="4">
        <v>45971</v>
      </c>
      <c r="C43" s="5">
        <v>0.68618055555555557</v>
      </c>
      <c r="D43" t="s">
        <v>533</v>
      </c>
      <c r="E43" t="s">
        <v>531</v>
      </c>
      <c r="F43" t="s">
        <v>58</v>
      </c>
      <c r="H43" t="s">
        <v>1612</v>
      </c>
      <c r="I43" t="s">
        <v>1432</v>
      </c>
      <c r="J43" t="s">
        <v>2985</v>
      </c>
      <c r="K43" t="s">
        <v>1433</v>
      </c>
      <c r="L43" t="s">
        <v>1434</v>
      </c>
      <c r="M43" s="3" t="str">
        <f>HYPERLINK(склад2въезд131920212223[[#This Row],[RelativePath]])</f>
        <v>10 Сушилка навес\E33149364_3_20251110T162806Z.jpg</v>
      </c>
    </row>
    <row r="44" spans="1:13" x14ac:dyDescent="0.25">
      <c r="A44" s="2" t="s">
        <v>14</v>
      </c>
      <c r="B44" s="4">
        <v>45972</v>
      </c>
      <c r="C44" s="5">
        <v>0.35731481481481481</v>
      </c>
      <c r="D44" t="s">
        <v>4</v>
      </c>
      <c r="E44" t="s">
        <v>8</v>
      </c>
      <c r="H44" t="s">
        <v>5</v>
      </c>
      <c r="I44" t="s">
        <v>1435</v>
      </c>
      <c r="J44" t="s">
        <v>2985</v>
      </c>
      <c r="K44" t="s">
        <v>1436</v>
      </c>
      <c r="L44" t="s">
        <v>1437</v>
      </c>
      <c r="M44" s="3" t="str">
        <f>HYPERLINK(склад2въезд131920212223[[#This Row],[RelativePath]])</f>
        <v>10 Сушилка навес\E33149364_3_20251111T083432Z.jpg</v>
      </c>
    </row>
    <row r="45" spans="1:13" x14ac:dyDescent="0.25">
      <c r="A45" s="2" t="s">
        <v>14</v>
      </c>
      <c r="B45" s="4">
        <v>45972</v>
      </c>
      <c r="C45" s="5">
        <v>0.45163194444444443</v>
      </c>
      <c r="D45" t="s">
        <v>4</v>
      </c>
      <c r="E45" t="s">
        <v>8</v>
      </c>
      <c r="I45" t="s">
        <v>1438</v>
      </c>
      <c r="J45" t="s">
        <v>2985</v>
      </c>
      <c r="K45" t="s">
        <v>1439</v>
      </c>
      <c r="L45" t="s">
        <v>1440</v>
      </c>
      <c r="M45" s="3" t="str">
        <f>HYPERLINK(склад2въезд131920212223[[#This Row],[RelativePath]])</f>
        <v>10 Сушилка навес\E33149364_3_20251111T105021Z.jpg</v>
      </c>
    </row>
    <row r="46" spans="1:13" x14ac:dyDescent="0.25">
      <c r="A46" s="2" t="s">
        <v>14</v>
      </c>
      <c r="B46" s="4">
        <v>45972</v>
      </c>
      <c r="C46" s="5">
        <v>0.45445601851851852</v>
      </c>
      <c r="D46" t="s">
        <v>289</v>
      </c>
      <c r="E46" t="s">
        <v>86</v>
      </c>
      <c r="F46" t="s">
        <v>1097</v>
      </c>
      <c r="I46" t="s">
        <v>1441</v>
      </c>
      <c r="J46" t="s">
        <v>2985</v>
      </c>
      <c r="K46" t="s">
        <v>1442</v>
      </c>
      <c r="L46" t="s">
        <v>1443</v>
      </c>
      <c r="M46" s="3" t="str">
        <f>HYPERLINK(склад2въезд131920212223[[#This Row],[RelativePath]])</f>
        <v>10 Сушилка навес\E33149364_3_20251111T105425Z.jpg</v>
      </c>
    </row>
    <row r="47" spans="1:13" x14ac:dyDescent="0.25">
      <c r="A47" s="2" t="s">
        <v>14</v>
      </c>
      <c r="B47" s="4">
        <v>45972</v>
      </c>
      <c r="C47" s="5">
        <v>0.45973379629629629</v>
      </c>
      <c r="D47" t="s">
        <v>289</v>
      </c>
      <c r="E47" t="s">
        <v>86</v>
      </c>
      <c r="F47" t="s">
        <v>1095</v>
      </c>
      <c r="I47" t="s">
        <v>1444</v>
      </c>
      <c r="J47" t="s">
        <v>2985</v>
      </c>
      <c r="K47" t="s">
        <v>1445</v>
      </c>
      <c r="L47" t="s">
        <v>1446</v>
      </c>
      <c r="M47" s="3" t="str">
        <f>HYPERLINK(склад2въезд131920212223[[#This Row],[RelativePath]])</f>
        <v>10 Сушилка навес\E33149364_3_20251111T110201Z.jpg</v>
      </c>
    </row>
    <row r="48" spans="1:13" x14ac:dyDescent="0.25">
      <c r="A48" s="2" t="s">
        <v>14</v>
      </c>
      <c r="B48" s="4">
        <v>45972</v>
      </c>
      <c r="C48" s="5">
        <v>0.46041666666666664</v>
      </c>
      <c r="D48" t="s">
        <v>533</v>
      </c>
      <c r="E48" t="s">
        <v>86</v>
      </c>
      <c r="F48" t="s">
        <v>1613</v>
      </c>
      <c r="H48" t="s">
        <v>1612</v>
      </c>
      <c r="I48" t="s">
        <v>1447</v>
      </c>
      <c r="J48" t="s">
        <v>2985</v>
      </c>
      <c r="K48" t="s">
        <v>1448</v>
      </c>
      <c r="L48" t="s">
        <v>1449</v>
      </c>
      <c r="M48" s="3" t="str">
        <f>HYPERLINK(склад2въезд131920212223[[#This Row],[RelativePath]])</f>
        <v>10 Сушилка навес\E33149364_3_20251111T110300Z.jpg</v>
      </c>
    </row>
    <row r="49" spans="1:13" x14ac:dyDescent="0.25">
      <c r="A49" s="2" t="s">
        <v>14</v>
      </c>
      <c r="B49" s="4">
        <v>45972</v>
      </c>
      <c r="C49" s="5">
        <v>0.46240740740740743</v>
      </c>
      <c r="D49" t="s">
        <v>1615</v>
      </c>
      <c r="E49" t="s">
        <v>86</v>
      </c>
      <c r="F49" t="s">
        <v>1614</v>
      </c>
      <c r="I49" t="s">
        <v>1450</v>
      </c>
      <c r="J49" t="s">
        <v>2985</v>
      </c>
      <c r="K49" t="s">
        <v>1451</v>
      </c>
      <c r="L49" t="s">
        <v>1452</v>
      </c>
      <c r="M49" s="3" t="str">
        <f>HYPERLINK(склад2въезд131920212223[[#This Row],[RelativePath]])</f>
        <v>10 Сушилка навес\E33149364_3_20251111T110552Z.jpg</v>
      </c>
    </row>
    <row r="50" spans="1:13" x14ac:dyDescent="0.25">
      <c r="A50" s="2" t="s">
        <v>14</v>
      </c>
      <c r="B50" s="4">
        <v>45972</v>
      </c>
      <c r="C50" s="5">
        <v>0.46350694444444446</v>
      </c>
      <c r="D50" t="s">
        <v>1606</v>
      </c>
      <c r="E50" t="s">
        <v>63</v>
      </c>
      <c r="F50" t="s">
        <v>51</v>
      </c>
      <c r="I50" t="s">
        <v>1453</v>
      </c>
      <c r="J50" t="s">
        <v>2985</v>
      </c>
      <c r="K50" t="s">
        <v>1454</v>
      </c>
      <c r="L50" t="s">
        <v>1455</v>
      </c>
      <c r="M50" s="3" t="str">
        <f>HYPERLINK(склад2въезд131920212223[[#This Row],[RelativePath]])</f>
        <v>10 Сушилка навес\E33149364_3_20251111T110727Z.jpg</v>
      </c>
    </row>
    <row r="51" spans="1:13" x14ac:dyDescent="0.25">
      <c r="A51" s="2" t="s">
        <v>14</v>
      </c>
      <c r="B51" s="4">
        <v>45972</v>
      </c>
      <c r="C51" s="5">
        <v>0.46743055555555557</v>
      </c>
      <c r="D51" t="s">
        <v>289</v>
      </c>
      <c r="E51" t="s">
        <v>63</v>
      </c>
      <c r="F51" t="s">
        <v>58</v>
      </c>
      <c r="H51" t="s">
        <v>1620</v>
      </c>
      <c r="I51" t="s">
        <v>1456</v>
      </c>
      <c r="J51" t="s">
        <v>2985</v>
      </c>
      <c r="K51" t="s">
        <v>1457</v>
      </c>
      <c r="L51" t="s">
        <v>1458</v>
      </c>
      <c r="M51" s="3" t="str">
        <f>HYPERLINK(склад2въезд131920212223[[#This Row],[RelativePath]])</f>
        <v>10 Сушилка навес\E33149364_3_20251111T111306Z.jpg</v>
      </c>
    </row>
    <row r="52" spans="1:13" x14ac:dyDescent="0.25">
      <c r="A52" s="2" t="s">
        <v>14</v>
      </c>
      <c r="B52" s="4">
        <v>45972</v>
      </c>
      <c r="C52" s="5">
        <v>0.47805555555555557</v>
      </c>
      <c r="D52" t="s">
        <v>1999</v>
      </c>
      <c r="E52" t="s">
        <v>63</v>
      </c>
      <c r="F52" t="s">
        <v>58</v>
      </c>
      <c r="H52" t="s">
        <v>1620</v>
      </c>
      <c r="I52" t="s">
        <v>1459</v>
      </c>
      <c r="J52" t="s">
        <v>2985</v>
      </c>
      <c r="K52" t="s">
        <v>1460</v>
      </c>
      <c r="L52" t="s">
        <v>1461</v>
      </c>
      <c r="M52" s="3" t="str">
        <f>HYPERLINK(склад2въезд131920212223[[#This Row],[RelativePath]])</f>
        <v>10 Сушилка навес\E33149364_3_20251111T112824Z.jpg</v>
      </c>
    </row>
    <row r="53" spans="1:13" x14ac:dyDescent="0.25">
      <c r="A53" s="2" t="s">
        <v>14</v>
      </c>
      <c r="B53" s="4">
        <v>45972</v>
      </c>
      <c r="C53" s="5">
        <v>0.48200231481481481</v>
      </c>
      <c r="D53" t="s">
        <v>1999</v>
      </c>
      <c r="E53" t="s">
        <v>63</v>
      </c>
      <c r="F53" t="s">
        <v>58</v>
      </c>
      <c r="H53" t="s">
        <v>1620</v>
      </c>
      <c r="I53" t="s">
        <v>1462</v>
      </c>
      <c r="J53" t="s">
        <v>2985</v>
      </c>
      <c r="K53" t="s">
        <v>1463</v>
      </c>
      <c r="L53" t="s">
        <v>1464</v>
      </c>
      <c r="M53" s="3" t="str">
        <f>HYPERLINK(склад2въезд131920212223[[#This Row],[RelativePath]])</f>
        <v>10 Сушилка навес\E33149364_3_20251111T113405Z.jpg</v>
      </c>
    </row>
    <row r="54" spans="1:13" x14ac:dyDescent="0.25">
      <c r="A54" s="2" t="s">
        <v>14</v>
      </c>
      <c r="B54" s="4">
        <v>45972</v>
      </c>
      <c r="C54" s="5">
        <v>0.48243055555555553</v>
      </c>
      <c r="D54" t="s">
        <v>650</v>
      </c>
      <c r="E54" t="s">
        <v>63</v>
      </c>
      <c r="F54" t="s">
        <v>58</v>
      </c>
      <c r="I54" t="s">
        <v>1465</v>
      </c>
      <c r="J54" t="s">
        <v>2985</v>
      </c>
      <c r="K54" t="s">
        <v>1466</v>
      </c>
      <c r="L54" t="s">
        <v>1467</v>
      </c>
      <c r="M54" s="3" t="str">
        <f>HYPERLINK(склад2въезд131920212223[[#This Row],[RelativePath]])</f>
        <v>10 Сушилка навес\E33149364_3_20251111T113442Z.jpg</v>
      </c>
    </row>
    <row r="55" spans="1:13" x14ac:dyDescent="0.25">
      <c r="A55" s="2" t="s">
        <v>14</v>
      </c>
      <c r="B55" s="4">
        <v>45972</v>
      </c>
      <c r="C55" s="5">
        <v>0.50381944444444449</v>
      </c>
      <c r="D55" t="s">
        <v>1606</v>
      </c>
      <c r="E55" t="s">
        <v>55</v>
      </c>
      <c r="F55" t="s">
        <v>51</v>
      </c>
      <c r="I55" t="s">
        <v>1468</v>
      </c>
      <c r="J55" t="s">
        <v>2985</v>
      </c>
      <c r="K55" t="s">
        <v>1469</v>
      </c>
      <c r="L55" t="s">
        <v>1470</v>
      </c>
      <c r="M55" s="3" t="str">
        <f>HYPERLINK(склад2въезд131920212223[[#This Row],[RelativePath]])</f>
        <v>10 Сушилка навес\E33149364_3_20251111T120530Z.jpg</v>
      </c>
    </row>
    <row r="56" spans="1:13" x14ac:dyDescent="0.25">
      <c r="A56" s="2" t="s">
        <v>14</v>
      </c>
      <c r="B56" s="4">
        <v>45972</v>
      </c>
      <c r="C56" s="5">
        <v>0.50693287037037038</v>
      </c>
      <c r="D56" t="s">
        <v>289</v>
      </c>
      <c r="E56" t="s">
        <v>55</v>
      </c>
      <c r="F56" t="s">
        <v>1617</v>
      </c>
      <c r="H56" t="s">
        <v>1618</v>
      </c>
      <c r="I56" t="s">
        <v>1471</v>
      </c>
      <c r="J56" t="s">
        <v>2985</v>
      </c>
      <c r="K56" t="s">
        <v>1472</v>
      </c>
      <c r="L56" t="s">
        <v>1473</v>
      </c>
      <c r="M56" s="3" t="str">
        <f>HYPERLINK(склад2въезд131920212223[[#This Row],[RelativePath]])</f>
        <v>10 Сушилка навес\E33149364_3_20251111T120959Z.jpg</v>
      </c>
    </row>
    <row r="57" spans="1:13" x14ac:dyDescent="0.25">
      <c r="A57" s="2" t="s">
        <v>14</v>
      </c>
      <c r="B57" s="4">
        <v>45972</v>
      </c>
      <c r="C57" s="5">
        <v>0.50932870370370376</v>
      </c>
      <c r="D57" t="s">
        <v>1616</v>
      </c>
      <c r="E57" t="s">
        <v>55</v>
      </c>
      <c r="F57" t="s">
        <v>1617</v>
      </c>
      <c r="H57" t="s">
        <v>1618</v>
      </c>
      <c r="I57" t="s">
        <v>1474</v>
      </c>
      <c r="J57" t="s">
        <v>2985</v>
      </c>
      <c r="K57" t="s">
        <v>1475</v>
      </c>
      <c r="L57" t="s">
        <v>1476</v>
      </c>
      <c r="M57" s="3" t="str">
        <f>HYPERLINK(склад2въезд131920212223[[#This Row],[RelativePath]])</f>
        <v>10 Сушилка навес\E33149364_3_20251111T121326Z.jpg</v>
      </c>
    </row>
    <row r="58" spans="1:13" x14ac:dyDescent="0.25">
      <c r="A58" s="2" t="s">
        <v>14</v>
      </c>
      <c r="B58" s="4">
        <v>45972</v>
      </c>
      <c r="C58" s="5">
        <v>0.51362268518518517</v>
      </c>
      <c r="D58" t="s">
        <v>1616</v>
      </c>
      <c r="E58" t="s">
        <v>55</v>
      </c>
      <c r="F58" t="s">
        <v>1617</v>
      </c>
      <c r="H58" t="s">
        <v>1618</v>
      </c>
      <c r="I58" t="s">
        <v>1477</v>
      </c>
      <c r="J58" t="s">
        <v>2985</v>
      </c>
      <c r="K58" t="s">
        <v>1478</v>
      </c>
      <c r="L58" t="s">
        <v>1479</v>
      </c>
      <c r="M58" s="3" t="str">
        <f>HYPERLINK(склад2въезд131920212223[[#This Row],[RelativePath]])</f>
        <v>10 Сушилка навес\E33149364_3_20251111T121937Z.jpg</v>
      </c>
    </row>
    <row r="59" spans="1:13" x14ac:dyDescent="0.25">
      <c r="A59" s="2" t="s">
        <v>14</v>
      </c>
      <c r="B59" s="4">
        <v>45972</v>
      </c>
      <c r="C59" s="5">
        <v>0.51658564814814811</v>
      </c>
      <c r="D59" t="s">
        <v>1616</v>
      </c>
      <c r="E59" t="s">
        <v>55</v>
      </c>
      <c r="F59" t="s">
        <v>1619</v>
      </c>
      <c r="H59" t="s">
        <v>1620</v>
      </c>
      <c r="I59" t="s">
        <v>1480</v>
      </c>
      <c r="J59" t="s">
        <v>2985</v>
      </c>
      <c r="K59" t="s">
        <v>1481</v>
      </c>
      <c r="L59" t="s">
        <v>1482</v>
      </c>
      <c r="M59" s="3" t="str">
        <f>HYPERLINK(склад2въезд131920212223[[#This Row],[RelativePath]])</f>
        <v>10 Сушилка навес\E33149364_3_20251111T122353Z.jpg</v>
      </c>
    </row>
    <row r="60" spans="1:13" x14ac:dyDescent="0.25">
      <c r="A60" s="2" t="s">
        <v>14</v>
      </c>
      <c r="B60" s="4">
        <v>45972</v>
      </c>
      <c r="C60" s="5">
        <v>0.52825231481481483</v>
      </c>
      <c r="D60" t="s">
        <v>1616</v>
      </c>
      <c r="E60" t="s">
        <v>55</v>
      </c>
      <c r="F60" t="s">
        <v>1621</v>
      </c>
      <c r="I60" t="s">
        <v>1483</v>
      </c>
      <c r="J60" t="s">
        <v>2985</v>
      </c>
      <c r="K60" t="s">
        <v>1484</v>
      </c>
      <c r="L60" t="s">
        <v>1485</v>
      </c>
      <c r="M60" s="3" t="str">
        <f>HYPERLINK(склад2въезд131920212223[[#This Row],[RelativePath]])</f>
        <v>10 Сушилка навес\E33149364_3_20251111T124041Z.jpg</v>
      </c>
    </row>
    <row r="61" spans="1:13" x14ac:dyDescent="0.25">
      <c r="A61" s="2" t="s">
        <v>14</v>
      </c>
      <c r="B61" s="4">
        <v>45972</v>
      </c>
      <c r="C61" s="5">
        <v>0.52853009259259254</v>
      </c>
      <c r="D61" t="s">
        <v>1616</v>
      </c>
      <c r="E61" t="s">
        <v>55</v>
      </c>
      <c r="F61" t="s">
        <v>1622</v>
      </c>
      <c r="I61" t="s">
        <v>1486</v>
      </c>
      <c r="J61" t="s">
        <v>2985</v>
      </c>
      <c r="K61" t="s">
        <v>1487</v>
      </c>
      <c r="L61" t="s">
        <v>1488</v>
      </c>
      <c r="M61" s="3" t="str">
        <f>HYPERLINK(склад2въезд131920212223[[#This Row],[RelativePath]])</f>
        <v>10 Сушилка навес\E33149364_3_20251111T124105Z.jpg</v>
      </c>
    </row>
    <row r="62" spans="1:13" x14ac:dyDescent="0.25">
      <c r="A62" s="2" t="s">
        <v>14</v>
      </c>
      <c r="B62" s="4">
        <v>45972</v>
      </c>
      <c r="C62" s="5">
        <v>0.53197916666666667</v>
      </c>
      <c r="D62" t="s">
        <v>650</v>
      </c>
      <c r="E62" t="s">
        <v>55</v>
      </c>
      <c r="F62" t="s">
        <v>1622</v>
      </c>
      <c r="G62">
        <v>6</v>
      </c>
      <c r="H62" t="s">
        <v>1620</v>
      </c>
      <c r="I62" t="s">
        <v>1489</v>
      </c>
      <c r="J62" t="s">
        <v>2985</v>
      </c>
      <c r="K62" t="s">
        <v>1490</v>
      </c>
      <c r="L62" t="s">
        <v>1491</v>
      </c>
      <c r="M62" s="3" t="str">
        <f>HYPERLINK(склад2въезд131920212223[[#This Row],[RelativePath]])</f>
        <v>10 Сушилка навес\E33149364_3_20251111T124603Z.jpg</v>
      </c>
    </row>
    <row r="63" spans="1:13" x14ac:dyDescent="0.25">
      <c r="A63" s="2" t="s">
        <v>14</v>
      </c>
      <c r="B63" s="4">
        <v>45972</v>
      </c>
      <c r="C63" s="5">
        <v>0.54023148148148148</v>
      </c>
      <c r="D63" t="s">
        <v>4</v>
      </c>
      <c r="E63" t="s">
        <v>8</v>
      </c>
      <c r="I63" t="s">
        <v>1492</v>
      </c>
      <c r="J63" t="s">
        <v>2985</v>
      </c>
      <c r="K63" t="s">
        <v>1493</v>
      </c>
      <c r="L63" t="s">
        <v>1494</v>
      </c>
      <c r="M63" s="3" t="str">
        <f>HYPERLINK(склад2въезд131920212223[[#This Row],[RelativePath]])</f>
        <v>10 Сушилка навес\E33149364_3_20251111T125756Z.jpg</v>
      </c>
    </row>
    <row r="64" spans="1:13" x14ac:dyDescent="0.25">
      <c r="A64" s="2" t="s">
        <v>14</v>
      </c>
      <c r="B64" s="4">
        <v>45972</v>
      </c>
      <c r="C64" s="5">
        <v>0.60842592592592593</v>
      </c>
      <c r="D64" t="s">
        <v>159</v>
      </c>
      <c r="E64" t="s">
        <v>86</v>
      </c>
      <c r="F64" t="s">
        <v>60</v>
      </c>
      <c r="H64" t="s">
        <v>1605</v>
      </c>
      <c r="I64" t="s">
        <v>1495</v>
      </c>
      <c r="J64" t="s">
        <v>2985</v>
      </c>
      <c r="K64" t="s">
        <v>1496</v>
      </c>
      <c r="L64" t="s">
        <v>1497</v>
      </c>
      <c r="M64" s="3" t="str">
        <f>HYPERLINK(склад2въезд131920212223[[#This Row],[RelativePath]])</f>
        <v>10 Сушилка навес\E33149364_3_20251111T143608Z.jpg</v>
      </c>
    </row>
    <row r="65" spans="1:13" x14ac:dyDescent="0.25">
      <c r="A65" s="2" t="s">
        <v>14</v>
      </c>
      <c r="B65" s="4">
        <v>45972</v>
      </c>
      <c r="C65" s="5">
        <v>0.61525462962962962</v>
      </c>
      <c r="D65" t="s">
        <v>159</v>
      </c>
      <c r="E65" t="s">
        <v>86</v>
      </c>
      <c r="F65" t="s">
        <v>60</v>
      </c>
      <c r="H65" t="s">
        <v>1605</v>
      </c>
      <c r="I65" t="s">
        <v>1498</v>
      </c>
      <c r="J65" t="s">
        <v>2985</v>
      </c>
      <c r="K65" t="s">
        <v>1499</v>
      </c>
      <c r="L65" t="s">
        <v>1500</v>
      </c>
      <c r="M65" s="3" t="str">
        <f>HYPERLINK(склад2въезд131920212223[[#This Row],[RelativePath]])</f>
        <v>10 Сушилка навес\E33149364_3_20251111T144558Z.jpg</v>
      </c>
    </row>
    <row r="66" spans="1:13" x14ac:dyDescent="0.25">
      <c r="A66" s="2" t="s">
        <v>14</v>
      </c>
      <c r="B66" s="4">
        <v>45972</v>
      </c>
      <c r="C66" s="5">
        <v>0.62018518518518517</v>
      </c>
      <c r="D66" t="s">
        <v>159</v>
      </c>
      <c r="E66" t="s">
        <v>86</v>
      </c>
      <c r="F66" t="s">
        <v>60</v>
      </c>
      <c r="H66" t="s">
        <v>1605</v>
      </c>
      <c r="I66" t="s">
        <v>1501</v>
      </c>
      <c r="J66" t="s">
        <v>2985</v>
      </c>
      <c r="K66" t="s">
        <v>1502</v>
      </c>
      <c r="L66" t="s">
        <v>1503</v>
      </c>
      <c r="M66" s="3" t="str">
        <f>HYPERLINK(склад2въезд131920212223[[#This Row],[RelativePath]])</f>
        <v>10 Сушилка навес\E33149364_3_20251111T145304Z.jpg</v>
      </c>
    </row>
    <row r="67" spans="1:13" x14ac:dyDescent="0.25">
      <c r="A67" s="2" t="s">
        <v>14</v>
      </c>
      <c r="B67" s="4">
        <v>45972</v>
      </c>
      <c r="C67" s="5">
        <v>0.6260648148148148</v>
      </c>
      <c r="D67" t="s">
        <v>159</v>
      </c>
      <c r="E67" t="s">
        <v>86</v>
      </c>
      <c r="F67" t="s">
        <v>60</v>
      </c>
      <c r="H67" t="s">
        <v>1605</v>
      </c>
      <c r="I67" t="s">
        <v>1504</v>
      </c>
      <c r="J67" t="s">
        <v>2985</v>
      </c>
      <c r="K67" t="s">
        <v>1505</v>
      </c>
      <c r="L67" t="s">
        <v>1506</v>
      </c>
      <c r="M67" s="3" t="str">
        <f>HYPERLINK(склад2въезд131920212223[[#This Row],[RelativePath]])</f>
        <v>10 Сушилка навес\E33149364_3_20251111T150132Z.jpg</v>
      </c>
    </row>
    <row r="68" spans="1:13" x14ac:dyDescent="0.25">
      <c r="A68" s="2" t="s">
        <v>14</v>
      </c>
      <c r="B68" s="4">
        <v>45972</v>
      </c>
      <c r="C68" s="5">
        <v>0.66258101851851847</v>
      </c>
      <c r="D68" t="s">
        <v>159</v>
      </c>
      <c r="E68" t="s">
        <v>86</v>
      </c>
      <c r="F68" t="s">
        <v>1621</v>
      </c>
      <c r="H68" t="s">
        <v>1605</v>
      </c>
      <c r="I68" t="s">
        <v>1507</v>
      </c>
      <c r="J68" t="s">
        <v>2985</v>
      </c>
      <c r="K68" t="s">
        <v>1508</v>
      </c>
      <c r="L68" t="s">
        <v>1509</v>
      </c>
      <c r="M68" s="3" t="str">
        <f>HYPERLINK(склад2въезд131920212223[[#This Row],[RelativePath]])</f>
        <v>10 Сушилка навес\E33149364_3_20251111T155407Z.jpg</v>
      </c>
    </row>
    <row r="69" spans="1:13" x14ac:dyDescent="0.25">
      <c r="A69" s="2" t="s">
        <v>14</v>
      </c>
      <c r="B69" s="4">
        <v>45972</v>
      </c>
      <c r="C69" s="5">
        <v>0.71119212962962963</v>
      </c>
      <c r="D69" t="s">
        <v>4</v>
      </c>
      <c r="E69" t="s">
        <v>8</v>
      </c>
      <c r="I69" t="s">
        <v>1510</v>
      </c>
      <c r="J69" t="s">
        <v>2985</v>
      </c>
      <c r="K69" t="s">
        <v>1511</v>
      </c>
      <c r="L69" t="s">
        <v>1512</v>
      </c>
      <c r="M69" s="3" t="str">
        <f>HYPERLINK(склад2въезд131920212223[[#This Row],[RelativePath]])</f>
        <v>10 Сушилка навес\E33149364_3_20251111T170407Z.jpg</v>
      </c>
    </row>
    <row r="70" spans="1:13" x14ac:dyDescent="0.25">
      <c r="A70" s="2" t="s">
        <v>15</v>
      </c>
      <c r="B70" s="4">
        <v>45973</v>
      </c>
      <c r="C70" s="5">
        <v>0.37079861111111112</v>
      </c>
      <c r="D70" t="s">
        <v>1623</v>
      </c>
      <c r="I70" t="s">
        <v>1513</v>
      </c>
      <c r="J70" t="s">
        <v>2985</v>
      </c>
      <c r="K70" t="s">
        <v>1514</v>
      </c>
      <c r="L70" t="s">
        <v>1515</v>
      </c>
      <c r="M70" s="3" t="str">
        <f>HYPERLINK(склад2въезд131920212223[[#This Row],[RelativePath]])</f>
        <v>10 Сушилка навес\E33149364_3_20251112T085357Z.jpg</v>
      </c>
    </row>
    <row r="71" spans="1:13" x14ac:dyDescent="0.25">
      <c r="A71" s="2" t="s">
        <v>15</v>
      </c>
      <c r="B71" s="4">
        <v>45973</v>
      </c>
      <c r="C71" s="5">
        <v>0.66834490740740737</v>
      </c>
      <c r="D71" t="s">
        <v>533</v>
      </c>
      <c r="E71" t="s">
        <v>531</v>
      </c>
      <c r="F71" t="s">
        <v>1624</v>
      </c>
      <c r="I71" t="s">
        <v>1516</v>
      </c>
      <c r="J71" t="s">
        <v>2985</v>
      </c>
      <c r="K71" t="s">
        <v>1517</v>
      </c>
      <c r="L71" t="s">
        <v>1518</v>
      </c>
      <c r="M71" s="3" t="str">
        <f>HYPERLINK(склад2въезд131920212223[[#This Row],[RelativePath]])</f>
        <v>10 Сушилка навес\E33149364_3_20251112T160225Z.jpg</v>
      </c>
    </row>
    <row r="72" spans="1:13" x14ac:dyDescent="0.25">
      <c r="A72" s="2" t="s">
        <v>16</v>
      </c>
      <c r="B72" s="4">
        <v>45974</v>
      </c>
      <c r="C72" s="5">
        <v>0.37943287037037038</v>
      </c>
      <c r="D72" t="s">
        <v>1606</v>
      </c>
      <c r="E72" t="s">
        <v>70</v>
      </c>
      <c r="F72" t="s">
        <v>51</v>
      </c>
      <c r="I72" t="s">
        <v>1519</v>
      </c>
      <c r="J72" t="s">
        <v>2985</v>
      </c>
      <c r="K72" t="s">
        <v>1520</v>
      </c>
      <c r="L72" t="s">
        <v>1521</v>
      </c>
      <c r="M72" s="3" t="str">
        <f>HYPERLINK(склад2въезд131920212223[[#This Row],[RelativePath]])</f>
        <v>10 Сушилка навес\E33149364_3_20251113T090623Z.jpg</v>
      </c>
    </row>
    <row r="73" spans="1:13" x14ac:dyDescent="0.25">
      <c r="A73" s="2" t="s">
        <v>16</v>
      </c>
      <c r="B73" s="4">
        <v>45974</v>
      </c>
      <c r="C73" s="5">
        <v>0.38524305555555555</v>
      </c>
      <c r="D73" t="s">
        <v>466</v>
      </c>
      <c r="E73" t="s">
        <v>70</v>
      </c>
      <c r="F73" t="s">
        <v>58</v>
      </c>
      <c r="H73" t="s">
        <v>1620</v>
      </c>
      <c r="I73" t="s">
        <v>1522</v>
      </c>
      <c r="J73" t="s">
        <v>2985</v>
      </c>
      <c r="K73" t="s">
        <v>1523</v>
      </c>
      <c r="L73" t="s">
        <v>1524</v>
      </c>
      <c r="M73" s="3" t="str">
        <f>HYPERLINK(склад2въезд131920212223[[#This Row],[RelativePath]])</f>
        <v>10 Сушилка навес\E33149364_3_20251113T091445Z.jpg</v>
      </c>
    </row>
    <row r="74" spans="1:13" x14ac:dyDescent="0.25">
      <c r="A74" s="2" t="s">
        <v>16</v>
      </c>
      <c r="B74" s="4">
        <v>45974</v>
      </c>
      <c r="C74" s="5">
        <v>0.38702546296296297</v>
      </c>
      <c r="D74" t="s">
        <v>466</v>
      </c>
      <c r="E74" t="s">
        <v>70</v>
      </c>
      <c r="F74" t="s">
        <v>58</v>
      </c>
      <c r="H74" t="s">
        <v>1620</v>
      </c>
      <c r="I74" t="s">
        <v>1525</v>
      </c>
      <c r="J74" t="s">
        <v>2985</v>
      </c>
      <c r="K74" t="s">
        <v>1526</v>
      </c>
      <c r="L74" t="s">
        <v>1527</v>
      </c>
      <c r="M74" s="3" t="str">
        <f>HYPERLINK(склад2въезд131920212223[[#This Row],[RelativePath]])</f>
        <v>10 Сушилка навес\E33149364_3_20251113T091719Z.jpg</v>
      </c>
    </row>
    <row r="75" spans="1:13" x14ac:dyDescent="0.25">
      <c r="A75" s="2" t="s">
        <v>16</v>
      </c>
      <c r="B75" s="4">
        <v>45974</v>
      </c>
      <c r="C75" s="5">
        <v>0.41590277777777779</v>
      </c>
      <c r="D75" t="s">
        <v>4</v>
      </c>
      <c r="E75" t="s">
        <v>8</v>
      </c>
      <c r="I75" t="s">
        <v>1528</v>
      </c>
      <c r="J75" t="s">
        <v>2985</v>
      </c>
      <c r="K75" t="s">
        <v>1529</v>
      </c>
      <c r="L75" t="s">
        <v>1530</v>
      </c>
      <c r="M75" s="3" t="str">
        <f>HYPERLINK(склад2въезд131920212223[[#This Row],[RelativePath]])</f>
        <v>10 Сушилка навес\E33149364_3_20251113T095854Z.jpg</v>
      </c>
    </row>
    <row r="76" spans="1:13" x14ac:dyDescent="0.25">
      <c r="A76" s="2" t="s">
        <v>16</v>
      </c>
      <c r="B76" s="4">
        <v>45974</v>
      </c>
      <c r="C76" s="5">
        <v>0.68503472222222217</v>
      </c>
      <c r="D76" t="s">
        <v>159</v>
      </c>
      <c r="E76" t="s">
        <v>86</v>
      </c>
      <c r="F76" t="s">
        <v>60</v>
      </c>
      <c r="H76" t="s">
        <v>1605</v>
      </c>
      <c r="I76" t="s">
        <v>1531</v>
      </c>
      <c r="J76" t="s">
        <v>2985</v>
      </c>
      <c r="K76" t="s">
        <v>1532</v>
      </c>
      <c r="L76" t="s">
        <v>1533</v>
      </c>
      <c r="M76" s="3" t="str">
        <f>HYPERLINK(склад2въезд131920212223[[#This Row],[RelativePath]])</f>
        <v>10 Сушилка навес\E33149364_3_20251113T162627Z.jpg</v>
      </c>
    </row>
    <row r="77" spans="1:13" x14ac:dyDescent="0.25">
      <c r="A77" s="2" t="s">
        <v>16</v>
      </c>
      <c r="B77" s="4">
        <v>45974</v>
      </c>
      <c r="C77" s="5">
        <v>0.74193287037037037</v>
      </c>
      <c r="D77" t="s">
        <v>4</v>
      </c>
      <c r="E77" t="s">
        <v>8</v>
      </c>
      <c r="H77" t="s">
        <v>1625</v>
      </c>
      <c r="I77" t="s">
        <v>1534</v>
      </c>
      <c r="J77" t="s">
        <v>2985</v>
      </c>
      <c r="K77" t="s">
        <v>1535</v>
      </c>
      <c r="L77" t="s">
        <v>1536</v>
      </c>
      <c r="M77" s="3" t="str">
        <f>HYPERLINK(склад2въезд131920212223[[#This Row],[RelativePath]])</f>
        <v>10 Сушилка навес\E33149364_3_20251113T174823Z.jpg</v>
      </c>
    </row>
    <row r="78" spans="1:13" x14ac:dyDescent="0.25">
      <c r="A78" s="2" t="s">
        <v>17</v>
      </c>
      <c r="B78" s="4">
        <v>45975</v>
      </c>
      <c r="C78" s="5">
        <v>0.37917824074074075</v>
      </c>
      <c r="D78" t="s">
        <v>4</v>
      </c>
      <c r="E78" t="s">
        <v>8</v>
      </c>
      <c r="H78" t="s">
        <v>5</v>
      </c>
      <c r="I78" t="s">
        <v>1537</v>
      </c>
      <c r="J78" t="s">
        <v>2985</v>
      </c>
      <c r="K78" t="s">
        <v>1538</v>
      </c>
      <c r="L78" t="s">
        <v>1539</v>
      </c>
      <c r="M78" s="3" t="str">
        <f>HYPERLINK(склад2въезд131920212223[[#This Row],[RelativePath]])</f>
        <v>10 Сушилка навес\E33149364_3_20251114T090601Z.jpg</v>
      </c>
    </row>
    <row r="79" spans="1:13" x14ac:dyDescent="0.25">
      <c r="A79" s="2" t="s">
        <v>17</v>
      </c>
      <c r="B79" s="4">
        <v>45975</v>
      </c>
      <c r="C79" s="5">
        <v>0.40302083333333333</v>
      </c>
      <c r="D79" t="s">
        <v>1623</v>
      </c>
      <c r="I79" t="s">
        <v>1540</v>
      </c>
      <c r="J79" t="s">
        <v>2985</v>
      </c>
      <c r="K79" t="s">
        <v>1541</v>
      </c>
      <c r="L79" t="s">
        <v>1542</v>
      </c>
      <c r="M79" s="3" t="str">
        <f>HYPERLINK(склад2въезд131920212223[[#This Row],[RelativePath]])</f>
        <v>10 Сушилка навес\E33149364_3_20251114T094021Z.jpg</v>
      </c>
    </row>
    <row r="80" spans="1:13" x14ac:dyDescent="0.25">
      <c r="A80" s="2" t="s">
        <v>17</v>
      </c>
      <c r="B80" s="4">
        <v>45975</v>
      </c>
      <c r="C80" s="5">
        <v>0.40625</v>
      </c>
      <c r="D80" t="s">
        <v>159</v>
      </c>
      <c r="E80" t="s">
        <v>86</v>
      </c>
      <c r="F80" t="s">
        <v>200</v>
      </c>
      <c r="I80" t="s">
        <v>1543</v>
      </c>
      <c r="J80" t="s">
        <v>2985</v>
      </c>
      <c r="K80" t="s">
        <v>1544</v>
      </c>
      <c r="L80" t="s">
        <v>1545</v>
      </c>
      <c r="M80" s="3" t="str">
        <f>HYPERLINK(склад2въезд131920212223[[#This Row],[RelativePath]])</f>
        <v>10 Сушилка навес\E33149364_3_20251114T094500Z.jpg</v>
      </c>
    </row>
    <row r="81" spans="1:13" x14ac:dyDescent="0.25">
      <c r="A81" s="2" t="s">
        <v>17</v>
      </c>
      <c r="B81" s="4">
        <v>45975</v>
      </c>
      <c r="C81" s="5">
        <v>0.42170138888888886</v>
      </c>
      <c r="D81" t="s">
        <v>159</v>
      </c>
      <c r="E81" t="s">
        <v>86</v>
      </c>
      <c r="F81" t="s">
        <v>200</v>
      </c>
      <c r="I81" t="s">
        <v>1546</v>
      </c>
      <c r="J81" t="s">
        <v>2985</v>
      </c>
      <c r="K81" t="s">
        <v>1547</v>
      </c>
      <c r="L81" t="s">
        <v>1548</v>
      </c>
      <c r="M81" s="3" t="str">
        <f>HYPERLINK(склад2въезд131920212223[[#This Row],[RelativePath]])</f>
        <v>10 Сушилка навес\E33149364_3_20251114T100715Z.jpg</v>
      </c>
    </row>
    <row r="82" spans="1:13" x14ac:dyDescent="0.25">
      <c r="A82" s="2" t="s">
        <v>17</v>
      </c>
      <c r="B82" s="4">
        <v>45975</v>
      </c>
      <c r="C82" s="5">
        <v>0.48195601851851849</v>
      </c>
      <c r="D82" t="s">
        <v>159</v>
      </c>
      <c r="E82" t="s">
        <v>86</v>
      </c>
      <c r="F82" t="s">
        <v>200</v>
      </c>
      <c r="I82" t="s">
        <v>1549</v>
      </c>
      <c r="J82" t="s">
        <v>2985</v>
      </c>
      <c r="K82" t="s">
        <v>1550</v>
      </c>
      <c r="L82" t="s">
        <v>1551</v>
      </c>
      <c r="M82" s="3" t="str">
        <f>HYPERLINK(склад2въезд131920212223[[#This Row],[RelativePath]])</f>
        <v>10 Сушилка навес\E33149364_3_20251114T113401Z.jpg</v>
      </c>
    </row>
    <row r="83" spans="1:13" x14ac:dyDescent="0.25">
      <c r="A83" s="2" t="s">
        <v>17</v>
      </c>
      <c r="B83" s="4">
        <v>45975</v>
      </c>
      <c r="C83" s="5">
        <v>0.48812499999999998</v>
      </c>
      <c r="D83" t="s">
        <v>4</v>
      </c>
      <c r="E83" t="s">
        <v>8</v>
      </c>
      <c r="I83" t="s">
        <v>1552</v>
      </c>
      <c r="J83" t="s">
        <v>2985</v>
      </c>
      <c r="K83" t="s">
        <v>1553</v>
      </c>
      <c r="L83" t="s">
        <v>1554</v>
      </c>
      <c r="M83" s="3" t="str">
        <f>HYPERLINK(склад2въезд131920212223[[#This Row],[RelativePath]])</f>
        <v>10 Сушилка навес\E33149364_3_20251114T114254Z.jpg</v>
      </c>
    </row>
    <row r="84" spans="1:13" x14ac:dyDescent="0.25">
      <c r="A84" s="2" t="s">
        <v>17</v>
      </c>
      <c r="B84" s="4">
        <v>45975</v>
      </c>
      <c r="C84" s="5">
        <v>0.49671296296296297</v>
      </c>
      <c r="D84" t="s">
        <v>159</v>
      </c>
      <c r="E84" t="s">
        <v>86</v>
      </c>
      <c r="F84" t="s">
        <v>60</v>
      </c>
      <c r="I84" t="s">
        <v>1555</v>
      </c>
      <c r="J84" t="s">
        <v>2985</v>
      </c>
      <c r="K84" t="s">
        <v>1556</v>
      </c>
      <c r="L84" t="s">
        <v>1557</v>
      </c>
      <c r="M84" s="3" t="str">
        <f>HYPERLINK(склад2въезд131920212223[[#This Row],[RelativePath]])</f>
        <v>10 Сушилка навес\E33149364_3_20251114T115516Z.jpg</v>
      </c>
    </row>
    <row r="85" spans="1:13" x14ac:dyDescent="0.25">
      <c r="A85" s="2" t="s">
        <v>17</v>
      </c>
      <c r="B85" s="4">
        <v>45975</v>
      </c>
      <c r="C85" s="5">
        <v>0.50527777777777783</v>
      </c>
      <c r="D85" t="s">
        <v>159</v>
      </c>
      <c r="E85" t="s">
        <v>86</v>
      </c>
      <c r="F85" t="s">
        <v>200</v>
      </c>
      <c r="I85" t="s">
        <v>1558</v>
      </c>
      <c r="J85" t="s">
        <v>2985</v>
      </c>
      <c r="K85" t="s">
        <v>1559</v>
      </c>
      <c r="L85" t="s">
        <v>1560</v>
      </c>
      <c r="M85" s="3" t="str">
        <f>HYPERLINK(склад2въезд131920212223[[#This Row],[RelativePath]])</f>
        <v>10 Сушилка навес\E33149364_3_20251114T120736Z.jpg</v>
      </c>
    </row>
    <row r="86" spans="1:13" x14ac:dyDescent="0.25">
      <c r="A86" s="2" t="s">
        <v>17</v>
      </c>
      <c r="B86" s="4">
        <v>45975</v>
      </c>
      <c r="C86" s="5">
        <v>0.51650462962962962</v>
      </c>
      <c r="D86" t="s">
        <v>159</v>
      </c>
      <c r="E86" t="s">
        <v>86</v>
      </c>
      <c r="F86" t="s">
        <v>200</v>
      </c>
      <c r="I86" t="s">
        <v>1561</v>
      </c>
      <c r="J86" t="s">
        <v>2985</v>
      </c>
      <c r="K86" t="s">
        <v>1562</v>
      </c>
      <c r="L86" t="s">
        <v>1563</v>
      </c>
      <c r="M86" s="3" t="str">
        <f>HYPERLINK(склад2въезд131920212223[[#This Row],[RelativePath]])</f>
        <v>10 Сушилка навес\E33149364_3_20251114T122346Z.jpg</v>
      </c>
    </row>
    <row r="87" spans="1:13" x14ac:dyDescent="0.25">
      <c r="A87" s="2" t="s">
        <v>17</v>
      </c>
      <c r="B87" s="4">
        <v>45975</v>
      </c>
      <c r="C87" s="5">
        <v>0.52949074074074076</v>
      </c>
      <c r="D87" t="s">
        <v>159</v>
      </c>
      <c r="E87" t="s">
        <v>86</v>
      </c>
      <c r="F87" t="s">
        <v>200</v>
      </c>
      <c r="I87" t="s">
        <v>1564</v>
      </c>
      <c r="J87" t="s">
        <v>2985</v>
      </c>
      <c r="K87" t="s">
        <v>1565</v>
      </c>
      <c r="L87" t="s">
        <v>1566</v>
      </c>
      <c r="M87" s="3" t="str">
        <f>HYPERLINK(склад2въезд131920212223[[#This Row],[RelativePath]])</f>
        <v>10 Сушилка навес\E33149364_3_20251114T124228Z.jpg</v>
      </c>
    </row>
    <row r="88" spans="1:13" x14ac:dyDescent="0.25">
      <c r="A88" s="2" t="s">
        <v>17</v>
      </c>
      <c r="B88" s="4">
        <v>45975</v>
      </c>
      <c r="C88" s="5">
        <v>0.54121527777777778</v>
      </c>
      <c r="D88" t="s">
        <v>159</v>
      </c>
      <c r="E88" t="s">
        <v>86</v>
      </c>
      <c r="F88" t="s">
        <v>87</v>
      </c>
      <c r="H88" t="s">
        <v>1626</v>
      </c>
      <c r="I88" t="s">
        <v>1567</v>
      </c>
      <c r="J88" t="s">
        <v>2985</v>
      </c>
      <c r="K88" t="s">
        <v>1568</v>
      </c>
      <c r="L88" t="s">
        <v>1569</v>
      </c>
      <c r="M88" s="3" t="str">
        <f>HYPERLINK(склад2въезд131920212223[[#This Row],[RelativePath]])</f>
        <v>10 Сушилка навес\E33149364_3_20251114T125921Z.jpg</v>
      </c>
    </row>
    <row r="89" spans="1:13" x14ac:dyDescent="0.25">
      <c r="A89" s="2" t="s">
        <v>17</v>
      </c>
      <c r="B89" s="4">
        <v>45975</v>
      </c>
      <c r="C89" s="5">
        <v>0.57848379629629632</v>
      </c>
      <c r="D89" t="s">
        <v>1623</v>
      </c>
      <c r="I89" t="s">
        <v>1570</v>
      </c>
      <c r="J89" t="s">
        <v>2985</v>
      </c>
      <c r="K89" t="s">
        <v>1571</v>
      </c>
      <c r="L89" t="s">
        <v>1572</v>
      </c>
      <c r="M89" s="3" t="str">
        <f>HYPERLINK(склад2въезд131920212223[[#This Row],[RelativePath]])</f>
        <v>10 Сушилка навес\E33149364_3_20251114T135301Z.jpg</v>
      </c>
    </row>
    <row r="90" spans="1:13" x14ac:dyDescent="0.25">
      <c r="A90" s="2" t="s">
        <v>17</v>
      </c>
      <c r="B90" s="4">
        <v>45975</v>
      </c>
      <c r="C90" s="5">
        <v>0.71888888888888891</v>
      </c>
      <c r="D90" t="s">
        <v>4</v>
      </c>
      <c r="E90" t="s">
        <v>8</v>
      </c>
      <c r="H90" t="s">
        <v>1625</v>
      </c>
      <c r="I90" t="s">
        <v>1573</v>
      </c>
      <c r="J90" t="s">
        <v>2985</v>
      </c>
      <c r="K90" t="s">
        <v>1574</v>
      </c>
      <c r="L90" t="s">
        <v>1575</v>
      </c>
      <c r="M90" s="3" t="str">
        <f>HYPERLINK(склад2въезд131920212223[[#This Row],[RelativePath]])</f>
        <v>10 Сушилка навес\E33149364_3_20251114T171512Z.jpg</v>
      </c>
    </row>
    <row r="91" spans="1:13" x14ac:dyDescent="0.25">
      <c r="A91" s="2" t="s">
        <v>18</v>
      </c>
      <c r="B91" s="4">
        <v>45976</v>
      </c>
      <c r="C91" s="5">
        <v>0.43041666666666667</v>
      </c>
      <c r="D91" t="s">
        <v>4</v>
      </c>
      <c r="E91" t="s">
        <v>8</v>
      </c>
      <c r="H91" t="s">
        <v>5</v>
      </c>
      <c r="I91" t="s">
        <v>1576</v>
      </c>
      <c r="J91" t="s">
        <v>2985</v>
      </c>
      <c r="K91" t="s">
        <v>1577</v>
      </c>
      <c r="L91" t="s">
        <v>1578</v>
      </c>
      <c r="M91" s="3" t="str">
        <f>HYPERLINK(склад2въезд131920212223[[#This Row],[RelativePath]])</f>
        <v>10 Сушилка навес\E33149364_3_20251115T101948Z.jpg</v>
      </c>
    </row>
    <row r="92" spans="1:13" x14ac:dyDescent="0.25">
      <c r="A92" s="2" t="s">
        <v>18</v>
      </c>
      <c r="B92" s="4">
        <v>45976</v>
      </c>
      <c r="C92" s="5">
        <v>0.4861111111111111</v>
      </c>
      <c r="D92" t="s">
        <v>1623</v>
      </c>
      <c r="I92" t="s">
        <v>1579</v>
      </c>
      <c r="J92" t="s">
        <v>2985</v>
      </c>
      <c r="K92" t="s">
        <v>1580</v>
      </c>
      <c r="L92" t="s">
        <v>1581</v>
      </c>
      <c r="M92" s="3" t="str">
        <f>HYPERLINK(склад2въезд131920212223[[#This Row],[RelativePath]])</f>
        <v>10 Сушилка навес\E33149364_3_20251115T114000Z.jpg</v>
      </c>
    </row>
    <row r="93" spans="1:13" x14ac:dyDescent="0.25">
      <c r="A93" s="2" t="s">
        <v>18</v>
      </c>
      <c r="B93" s="4">
        <v>45976</v>
      </c>
      <c r="C93" s="5">
        <v>0.53069444444444447</v>
      </c>
      <c r="D93" t="s">
        <v>4</v>
      </c>
      <c r="E93" t="s">
        <v>8</v>
      </c>
      <c r="I93" t="s">
        <v>1582</v>
      </c>
      <c r="J93" t="s">
        <v>2985</v>
      </c>
      <c r="K93" t="s">
        <v>1583</v>
      </c>
      <c r="L93" t="s">
        <v>1584</v>
      </c>
      <c r="M93" s="3" t="str">
        <f>HYPERLINK(склад2въезд131920212223[[#This Row],[RelativePath]])</f>
        <v>10 Сушилка навес\E33149364_3_20251115T124412Z.jpg</v>
      </c>
    </row>
    <row r="94" spans="1:13" x14ac:dyDescent="0.25">
      <c r="A94" s="2" t="s">
        <v>18</v>
      </c>
      <c r="B94" s="4">
        <v>45976</v>
      </c>
      <c r="C94" s="5">
        <v>0.73209490740740746</v>
      </c>
      <c r="D94" t="s">
        <v>4</v>
      </c>
      <c r="E94" t="s">
        <v>8</v>
      </c>
      <c r="H94" t="s">
        <v>1625</v>
      </c>
      <c r="I94" t="s">
        <v>1585</v>
      </c>
      <c r="J94" t="s">
        <v>2985</v>
      </c>
      <c r="K94" t="s">
        <v>1586</v>
      </c>
      <c r="L94" t="s">
        <v>1587</v>
      </c>
      <c r="M94" s="3" t="str">
        <f>HYPERLINK(склад2въезд131920212223[[#This Row],[RelativePath]])</f>
        <v>10 Сушилка навес\E33149364_3_20251115T173413Z.jpg</v>
      </c>
    </row>
    <row r="95" spans="1:13" x14ac:dyDescent="0.25">
      <c r="A95" s="2" t="s">
        <v>22</v>
      </c>
      <c r="B95" s="4">
        <v>45977</v>
      </c>
      <c r="C95" s="5">
        <v>0.4001851851851852</v>
      </c>
      <c r="D95" t="s">
        <v>4</v>
      </c>
      <c r="E95" t="s">
        <v>8</v>
      </c>
      <c r="H95" t="s">
        <v>5</v>
      </c>
      <c r="I95" t="s">
        <v>1588</v>
      </c>
      <c r="J95" t="s">
        <v>2985</v>
      </c>
      <c r="K95" t="s">
        <v>1589</v>
      </c>
      <c r="L95" t="s">
        <v>1590</v>
      </c>
      <c r="M95" s="3" t="str">
        <f>HYPERLINK(склад2въезд131920212223[[#This Row],[RelativePath]])</f>
        <v>10 Сушилка навес\E33149364_3_20251116T093616Z.jpg</v>
      </c>
    </row>
    <row r="96" spans="1:13" x14ac:dyDescent="0.25">
      <c r="A96" s="2" t="s">
        <v>22</v>
      </c>
      <c r="B96" s="4">
        <v>45977</v>
      </c>
      <c r="C96" s="5">
        <v>0.4334837962962963</v>
      </c>
      <c r="D96" t="s">
        <v>1623</v>
      </c>
      <c r="I96" t="s">
        <v>1591</v>
      </c>
      <c r="J96" t="s">
        <v>2985</v>
      </c>
      <c r="K96" t="s">
        <v>1592</v>
      </c>
      <c r="L96" t="s">
        <v>1593</v>
      </c>
      <c r="M96" s="3" t="str">
        <f>HYPERLINK(склад2въезд131920212223[[#This Row],[RelativePath]])</f>
        <v>10 Сушилка навес\E33149364_3_20251116T102413Z.jpg</v>
      </c>
    </row>
    <row r="97" spans="1:13" x14ac:dyDescent="0.25">
      <c r="A97" s="2" t="s">
        <v>22</v>
      </c>
      <c r="B97" s="4">
        <v>45977</v>
      </c>
      <c r="C97" s="5">
        <v>0.46350694444444446</v>
      </c>
      <c r="D97" t="s">
        <v>4</v>
      </c>
      <c r="E97" t="s">
        <v>8</v>
      </c>
      <c r="I97" t="s">
        <v>1594</v>
      </c>
      <c r="J97" t="s">
        <v>2985</v>
      </c>
      <c r="K97" t="s">
        <v>1595</v>
      </c>
      <c r="L97" t="s">
        <v>1596</v>
      </c>
      <c r="M97" s="3" t="str">
        <f>HYPERLINK(склад2въезд131920212223[[#This Row],[RelativePath]])</f>
        <v>10 Сушилка навес\E33149364_3_20251116T110727Z.jpg</v>
      </c>
    </row>
    <row r="98" spans="1:13" x14ac:dyDescent="0.25">
      <c r="A98" s="2" t="s">
        <v>22</v>
      </c>
      <c r="B98" s="4">
        <v>45977</v>
      </c>
      <c r="C98" s="5">
        <v>0.71679398148148143</v>
      </c>
      <c r="D98" t="s">
        <v>4</v>
      </c>
      <c r="E98" t="s">
        <v>8</v>
      </c>
      <c r="H98" t="s">
        <v>1625</v>
      </c>
      <c r="I98" t="s">
        <v>1597</v>
      </c>
      <c r="J98" t="s">
        <v>2985</v>
      </c>
      <c r="K98" t="s">
        <v>1598</v>
      </c>
      <c r="L98" t="s">
        <v>1599</v>
      </c>
      <c r="M98" s="3" t="str">
        <f>HYPERLINK(склад2въезд131920212223[[#This Row],[RelativePath]])</f>
        <v>10 Сушилка навес\E33149364_3_20251116T171211Z.jpg</v>
      </c>
    </row>
    <row r="99" spans="1:13" x14ac:dyDescent="0.25">
      <c r="A99" s="2" t="s">
        <v>22</v>
      </c>
      <c r="B99" s="4">
        <v>45977</v>
      </c>
      <c r="C99" s="5">
        <v>0.76591435185185186</v>
      </c>
      <c r="D99" t="s">
        <v>1623</v>
      </c>
      <c r="I99" t="s">
        <v>1600</v>
      </c>
      <c r="J99" t="s">
        <v>2985</v>
      </c>
      <c r="K99" t="s">
        <v>1601</v>
      </c>
      <c r="L99" t="s">
        <v>1602</v>
      </c>
      <c r="M99" s="3" t="str">
        <f>HYPERLINK(склад2въезд131920212223[[#This Row],[RelativePath]])</f>
        <v>10 Сушилка навес\E33149364_3_20251116T182255Z.jpg</v>
      </c>
    </row>
    <row r="100" spans="1:13" x14ac:dyDescent="0.25">
      <c r="A100" s="2" t="s">
        <v>13</v>
      </c>
      <c r="B100" s="4">
        <v>45978</v>
      </c>
      <c r="C100" s="5">
        <v>0.36686342592592591</v>
      </c>
      <c r="D100" t="s">
        <v>533</v>
      </c>
      <c r="E100" t="s">
        <v>531</v>
      </c>
      <c r="F100" t="s">
        <v>58</v>
      </c>
      <c r="H100" t="s">
        <v>2948</v>
      </c>
      <c r="I100" t="s">
        <v>2631</v>
      </c>
      <c r="J100" t="s">
        <v>2985</v>
      </c>
      <c r="K100" t="s">
        <v>2632</v>
      </c>
      <c r="L100" t="s">
        <v>2633</v>
      </c>
      <c r="M100" s="3" t="str">
        <f>HYPERLINK(склад2въезд131920212223[[#This Row],[RelativePath]])</f>
        <v>10 Сушилка навес\E33149364_3_20251117T084817Z.jpg</v>
      </c>
    </row>
    <row r="101" spans="1:13" x14ac:dyDescent="0.25">
      <c r="A101" s="2" t="s">
        <v>13</v>
      </c>
      <c r="B101" s="4">
        <v>45978</v>
      </c>
      <c r="C101" s="5">
        <v>0.37413194444444442</v>
      </c>
      <c r="D101" t="s">
        <v>533</v>
      </c>
      <c r="E101" t="s">
        <v>531</v>
      </c>
      <c r="F101" t="s">
        <v>58</v>
      </c>
      <c r="H101" t="s">
        <v>2948</v>
      </c>
      <c r="I101" t="s">
        <v>2634</v>
      </c>
      <c r="J101" t="s">
        <v>2985</v>
      </c>
      <c r="K101" t="s">
        <v>2635</v>
      </c>
      <c r="L101" t="s">
        <v>2636</v>
      </c>
      <c r="M101" s="3" t="str">
        <f>HYPERLINK(склад2въезд131920212223[[#This Row],[RelativePath]])</f>
        <v>10 Сушилка навес\E33149364_3_20251117T085845Z.jpg</v>
      </c>
    </row>
    <row r="102" spans="1:13" x14ac:dyDescent="0.25">
      <c r="A102" s="2" t="s">
        <v>13</v>
      </c>
      <c r="B102" s="4">
        <v>45978</v>
      </c>
      <c r="C102" s="5">
        <v>0.64935185185185185</v>
      </c>
      <c r="D102" t="s">
        <v>533</v>
      </c>
      <c r="E102" t="s">
        <v>531</v>
      </c>
      <c r="F102" t="s">
        <v>58</v>
      </c>
      <c r="H102" t="s">
        <v>1620</v>
      </c>
      <c r="I102" t="s">
        <v>2637</v>
      </c>
      <c r="J102" t="s">
        <v>2985</v>
      </c>
      <c r="K102" t="s">
        <v>2638</v>
      </c>
      <c r="L102" t="s">
        <v>2639</v>
      </c>
      <c r="M102" s="3" t="str">
        <f>HYPERLINK(склад2въезд131920212223[[#This Row],[RelativePath]])</f>
        <v>10 Сушилка навес\E33149364_3_20251117T153504Z.jpg</v>
      </c>
    </row>
    <row r="103" spans="1:13" x14ac:dyDescent="0.25">
      <c r="A103" s="2" t="s">
        <v>13</v>
      </c>
      <c r="B103" s="4">
        <v>45978</v>
      </c>
      <c r="C103" s="5">
        <v>0.6614930555555556</v>
      </c>
      <c r="D103" t="s">
        <v>533</v>
      </c>
      <c r="E103" t="s">
        <v>531</v>
      </c>
      <c r="F103" t="s">
        <v>58</v>
      </c>
      <c r="H103" t="s">
        <v>1620</v>
      </c>
      <c r="I103" t="s">
        <v>2640</v>
      </c>
      <c r="J103" t="s">
        <v>2985</v>
      </c>
      <c r="K103" t="s">
        <v>2641</v>
      </c>
      <c r="L103" t="s">
        <v>2642</v>
      </c>
      <c r="M103" s="3" t="str">
        <f>HYPERLINK(склад2въезд131920212223[[#This Row],[RelativePath]])</f>
        <v>10 Сушилка навес\E33149364_3_20251117T155233Z.jpg</v>
      </c>
    </row>
    <row r="104" spans="1:13" x14ac:dyDescent="0.25">
      <c r="A104" s="2" t="s">
        <v>13</v>
      </c>
      <c r="B104" s="4">
        <v>45978</v>
      </c>
      <c r="C104" s="5">
        <v>0.68320601851851848</v>
      </c>
      <c r="D104" t="s">
        <v>533</v>
      </c>
      <c r="E104" t="s">
        <v>531</v>
      </c>
      <c r="F104" t="s">
        <v>58</v>
      </c>
      <c r="H104" t="s">
        <v>1611</v>
      </c>
      <c r="I104" t="s">
        <v>2643</v>
      </c>
      <c r="J104" t="s">
        <v>2985</v>
      </c>
      <c r="K104" t="s">
        <v>2644</v>
      </c>
      <c r="L104" t="s">
        <v>2645</v>
      </c>
      <c r="M104" s="3" t="str">
        <f>HYPERLINK(склад2въезд131920212223[[#This Row],[RelativePath]])</f>
        <v>10 Сушилка навес\E33149364_3_20251117T162349Z.jpg</v>
      </c>
    </row>
    <row r="105" spans="1:13" x14ac:dyDescent="0.25">
      <c r="A105" s="2" t="s">
        <v>13</v>
      </c>
      <c r="B105" s="4">
        <v>45978</v>
      </c>
      <c r="C105" s="5">
        <v>0.68431712962962965</v>
      </c>
      <c r="D105" t="s">
        <v>533</v>
      </c>
      <c r="E105" t="s">
        <v>531</v>
      </c>
      <c r="F105" t="s">
        <v>58</v>
      </c>
      <c r="H105" t="s">
        <v>1611</v>
      </c>
      <c r="I105" t="s">
        <v>2646</v>
      </c>
      <c r="J105" t="s">
        <v>2985</v>
      </c>
      <c r="K105" t="s">
        <v>2647</v>
      </c>
      <c r="L105" t="s">
        <v>2648</v>
      </c>
      <c r="M105" s="3" t="str">
        <f>HYPERLINK(склад2въезд131920212223[[#This Row],[RelativePath]])</f>
        <v>10 Сушилка навес\E33149364_3_20251117T162525Z.jpg</v>
      </c>
    </row>
    <row r="106" spans="1:13" x14ac:dyDescent="0.25">
      <c r="A106" s="2" t="s">
        <v>13</v>
      </c>
      <c r="B106" s="4">
        <v>45978</v>
      </c>
      <c r="C106" s="5">
        <v>0.7083680555555556</v>
      </c>
      <c r="D106" t="s">
        <v>533</v>
      </c>
      <c r="E106" t="s">
        <v>531</v>
      </c>
      <c r="F106" t="s">
        <v>58</v>
      </c>
      <c r="H106" t="s">
        <v>2949</v>
      </c>
      <c r="I106" t="s">
        <v>2649</v>
      </c>
      <c r="J106" t="s">
        <v>2985</v>
      </c>
      <c r="K106" t="s">
        <v>2650</v>
      </c>
      <c r="L106" t="s">
        <v>2651</v>
      </c>
      <c r="M106" s="3" t="str">
        <f>HYPERLINK(склад2въезд131920212223[[#This Row],[RelativePath]])</f>
        <v>10 Сушилка навес\E33149364_3_20251117T170003Z.jpg</v>
      </c>
    </row>
    <row r="107" spans="1:13" x14ac:dyDescent="0.25">
      <c r="A107" s="2" t="s">
        <v>14</v>
      </c>
      <c r="B107" s="4">
        <v>45979</v>
      </c>
      <c r="C107" s="5">
        <v>0.36096064814814816</v>
      </c>
      <c r="D107" t="s">
        <v>4</v>
      </c>
      <c r="E107" t="s">
        <v>8</v>
      </c>
      <c r="I107" t="s">
        <v>2652</v>
      </c>
      <c r="J107" t="s">
        <v>2985</v>
      </c>
      <c r="K107" t="s">
        <v>2653</v>
      </c>
      <c r="L107" t="s">
        <v>2654</v>
      </c>
      <c r="M107" s="3" t="str">
        <f>HYPERLINK(склад2въезд131920212223[[#This Row],[RelativePath]])</f>
        <v>10 Сушилка навес\E33149364_3_20251118T083947Z.jpg</v>
      </c>
    </row>
    <row r="108" spans="1:13" x14ac:dyDescent="0.25">
      <c r="A108" s="2" t="s">
        <v>14</v>
      </c>
      <c r="B108" s="4">
        <v>45979</v>
      </c>
      <c r="C108" s="5">
        <v>0.38047453703703704</v>
      </c>
      <c r="D108" t="s">
        <v>1606</v>
      </c>
      <c r="E108" t="s">
        <v>70</v>
      </c>
      <c r="F108" t="s">
        <v>51</v>
      </c>
      <c r="I108" t="s">
        <v>2655</v>
      </c>
      <c r="J108" t="s">
        <v>2985</v>
      </c>
      <c r="K108" t="s">
        <v>2656</v>
      </c>
      <c r="L108" t="s">
        <v>2657</v>
      </c>
      <c r="M108" s="3" t="str">
        <f>HYPERLINK(склад2въезд131920212223[[#This Row],[RelativePath]])</f>
        <v>10 Сушилка навес\E33149364_3_20251118T090753Z.jpg</v>
      </c>
    </row>
    <row r="109" spans="1:13" x14ac:dyDescent="0.25">
      <c r="A109" s="2" t="s">
        <v>14</v>
      </c>
      <c r="B109" s="4">
        <v>45979</v>
      </c>
      <c r="C109" s="5">
        <v>0.38093749999999998</v>
      </c>
      <c r="D109" t="s">
        <v>289</v>
      </c>
      <c r="E109" t="s">
        <v>70</v>
      </c>
      <c r="F109" t="s">
        <v>58</v>
      </c>
      <c r="H109" t="s">
        <v>2956</v>
      </c>
      <c r="I109" t="s">
        <v>2658</v>
      </c>
      <c r="J109" t="s">
        <v>2985</v>
      </c>
      <c r="K109" t="s">
        <v>2659</v>
      </c>
      <c r="L109" t="s">
        <v>2660</v>
      </c>
      <c r="M109" s="3" t="str">
        <f>HYPERLINK(склад2въезд131920212223[[#This Row],[RelativePath]])</f>
        <v>10 Сушилка навес\E33149364_3_20251118T090833Z.jpg</v>
      </c>
    </row>
    <row r="110" spans="1:13" x14ac:dyDescent="0.25">
      <c r="A110" s="2" t="s">
        <v>14</v>
      </c>
      <c r="B110" s="4">
        <v>45979</v>
      </c>
      <c r="C110" s="5">
        <v>0.38103009259259257</v>
      </c>
      <c r="D110" t="s">
        <v>1999</v>
      </c>
      <c r="E110" t="s">
        <v>70</v>
      </c>
      <c r="F110" t="s">
        <v>58</v>
      </c>
      <c r="H110" t="s">
        <v>2956</v>
      </c>
      <c r="I110" t="s">
        <v>2661</v>
      </c>
      <c r="J110" t="s">
        <v>2985</v>
      </c>
      <c r="K110" t="s">
        <v>2662</v>
      </c>
      <c r="L110" t="s">
        <v>2663</v>
      </c>
      <c r="M110" s="3" t="str">
        <f>HYPERLINK(склад2въезд131920212223[[#This Row],[RelativePath]])</f>
        <v>10 Сушилка навес\E33149364_3_20251118T090841Z.jpg</v>
      </c>
    </row>
    <row r="111" spans="1:13" x14ac:dyDescent="0.25">
      <c r="A111" s="2" t="s">
        <v>14</v>
      </c>
      <c r="B111" s="4">
        <v>45979</v>
      </c>
      <c r="C111" s="5">
        <v>0.38112268518518516</v>
      </c>
      <c r="D111" t="s">
        <v>1999</v>
      </c>
      <c r="E111" t="s">
        <v>70</v>
      </c>
      <c r="F111" t="s">
        <v>58</v>
      </c>
      <c r="H111" t="s">
        <v>2956</v>
      </c>
      <c r="I111" t="s">
        <v>2664</v>
      </c>
      <c r="J111" t="s">
        <v>2985</v>
      </c>
      <c r="K111" t="s">
        <v>2665</v>
      </c>
      <c r="L111" t="s">
        <v>2666</v>
      </c>
      <c r="M111" s="3" t="str">
        <f>HYPERLINK(склад2въезд131920212223[[#This Row],[RelativePath]])</f>
        <v>10 Сушилка навес\E33149364_3_20251118T090849Z.jpg</v>
      </c>
    </row>
    <row r="112" spans="1:13" x14ac:dyDescent="0.25">
      <c r="A112" s="2" t="s">
        <v>14</v>
      </c>
      <c r="B112" s="4">
        <v>45979</v>
      </c>
      <c r="C112" s="5">
        <v>0.38149305555555557</v>
      </c>
      <c r="D112" t="s">
        <v>1999</v>
      </c>
      <c r="E112" t="s">
        <v>70</v>
      </c>
      <c r="F112" t="s">
        <v>58</v>
      </c>
      <c r="H112" t="s">
        <v>2956</v>
      </c>
      <c r="I112" t="s">
        <v>2667</v>
      </c>
      <c r="J112" t="s">
        <v>2985</v>
      </c>
      <c r="K112" t="s">
        <v>2668</v>
      </c>
      <c r="L112" t="s">
        <v>2669</v>
      </c>
      <c r="M112" s="3" t="str">
        <f>HYPERLINK(склад2въезд131920212223[[#This Row],[RelativePath]])</f>
        <v>10 Сушилка навес\E33149364_3_20251118T090921Z.jpg</v>
      </c>
    </row>
    <row r="113" spans="1:13" x14ac:dyDescent="0.25">
      <c r="A113" s="2" t="s">
        <v>14</v>
      </c>
      <c r="B113" s="4">
        <v>45979</v>
      </c>
      <c r="C113" s="5">
        <v>0.38665509259259262</v>
      </c>
      <c r="D113" t="s">
        <v>1999</v>
      </c>
      <c r="E113" t="s">
        <v>70</v>
      </c>
      <c r="F113" t="s">
        <v>58</v>
      </c>
      <c r="H113" t="s">
        <v>2956</v>
      </c>
      <c r="I113" t="s">
        <v>2670</v>
      </c>
      <c r="J113" t="s">
        <v>2985</v>
      </c>
      <c r="K113" t="s">
        <v>2671</v>
      </c>
      <c r="L113" t="s">
        <v>2672</v>
      </c>
      <c r="M113" s="3" t="str">
        <f>HYPERLINK(склад2въезд131920212223[[#This Row],[RelativePath]])</f>
        <v>10 Сушилка навес\E33149364_3_20251118T091647Z.jpg</v>
      </c>
    </row>
    <row r="114" spans="1:13" x14ac:dyDescent="0.25">
      <c r="A114" s="2" t="s">
        <v>14</v>
      </c>
      <c r="B114" s="4">
        <v>45979</v>
      </c>
      <c r="C114" s="5">
        <v>0.38765046296296296</v>
      </c>
      <c r="D114" t="s">
        <v>1999</v>
      </c>
      <c r="E114" t="s">
        <v>70</v>
      </c>
      <c r="F114" t="s">
        <v>2950</v>
      </c>
      <c r="H114" t="s">
        <v>2956</v>
      </c>
      <c r="I114" t="s">
        <v>2673</v>
      </c>
      <c r="J114" t="s">
        <v>2985</v>
      </c>
      <c r="K114" t="s">
        <v>2674</v>
      </c>
      <c r="L114" t="s">
        <v>2675</v>
      </c>
      <c r="M114" s="3" t="str">
        <f>HYPERLINK(склад2въезд131920212223[[#This Row],[RelativePath]])</f>
        <v>10 Сушилка навес\E33149364_3_20251118T091813Z.jpg</v>
      </c>
    </row>
    <row r="115" spans="1:13" x14ac:dyDescent="0.25">
      <c r="A115" s="2" t="s">
        <v>14</v>
      </c>
      <c r="B115" s="4">
        <v>45979</v>
      </c>
      <c r="C115" s="5">
        <v>0.3881134259259259</v>
      </c>
      <c r="D115" t="s">
        <v>1999</v>
      </c>
      <c r="E115" t="s">
        <v>70</v>
      </c>
      <c r="F115" t="s">
        <v>2951</v>
      </c>
      <c r="H115" t="s">
        <v>2956</v>
      </c>
      <c r="I115" t="s">
        <v>2676</v>
      </c>
      <c r="J115" t="s">
        <v>2985</v>
      </c>
      <c r="K115" t="s">
        <v>2677</v>
      </c>
      <c r="L115" t="s">
        <v>2678</v>
      </c>
      <c r="M115" s="3" t="str">
        <f>HYPERLINK(склад2въезд131920212223[[#This Row],[RelativePath]])</f>
        <v>10 Сушилка навес\E33149364_3_20251118T091853Z.jpg</v>
      </c>
    </row>
    <row r="116" spans="1:13" x14ac:dyDescent="0.25">
      <c r="A116" s="2" t="s">
        <v>14</v>
      </c>
      <c r="B116" s="4">
        <v>45979</v>
      </c>
      <c r="C116" s="5">
        <v>0.38895833333333335</v>
      </c>
      <c r="D116" t="s">
        <v>1999</v>
      </c>
      <c r="E116" t="s">
        <v>70</v>
      </c>
      <c r="F116" t="s">
        <v>2952</v>
      </c>
      <c r="H116" t="s">
        <v>2956</v>
      </c>
      <c r="I116" t="s">
        <v>2679</v>
      </c>
      <c r="J116" t="s">
        <v>2985</v>
      </c>
      <c r="K116" t="s">
        <v>2680</v>
      </c>
      <c r="L116" t="s">
        <v>2681</v>
      </c>
      <c r="M116" s="3" t="str">
        <f>HYPERLINK(склад2въезд131920212223[[#This Row],[RelativePath]])</f>
        <v>10 Сушилка навес\E33149364_3_20251118T092006Z.jpg</v>
      </c>
    </row>
    <row r="117" spans="1:13" x14ac:dyDescent="0.25">
      <c r="A117" s="2" t="s">
        <v>14</v>
      </c>
      <c r="B117" s="4">
        <v>45979</v>
      </c>
      <c r="C117" s="5">
        <v>0.38930555555555557</v>
      </c>
      <c r="D117" t="s">
        <v>2953</v>
      </c>
      <c r="E117" t="s">
        <v>70</v>
      </c>
      <c r="I117" t="s">
        <v>2682</v>
      </c>
      <c r="J117" t="s">
        <v>2985</v>
      </c>
      <c r="K117" t="s">
        <v>2683</v>
      </c>
      <c r="L117" t="s">
        <v>2684</v>
      </c>
      <c r="M117" s="3" t="str">
        <f>HYPERLINK(склад2въезд131920212223[[#This Row],[RelativePath]])</f>
        <v>10 Сушилка навес\E33149364_3_20251118T092036Z.jpg</v>
      </c>
    </row>
    <row r="118" spans="1:13" x14ac:dyDescent="0.25">
      <c r="A118" s="2" t="s">
        <v>14</v>
      </c>
      <c r="B118" s="4">
        <v>45979</v>
      </c>
      <c r="C118" s="5">
        <v>0.40931712962962963</v>
      </c>
      <c r="D118" t="s">
        <v>533</v>
      </c>
      <c r="E118" t="s">
        <v>1607</v>
      </c>
      <c r="F118" t="s">
        <v>58</v>
      </c>
      <c r="H118" t="s">
        <v>2954</v>
      </c>
      <c r="I118" t="s">
        <v>2685</v>
      </c>
      <c r="J118" t="s">
        <v>2985</v>
      </c>
      <c r="K118" t="s">
        <v>2686</v>
      </c>
      <c r="L118" t="s">
        <v>2687</v>
      </c>
      <c r="M118" s="3" t="str">
        <f>HYPERLINK(склад2въезд131920212223[[#This Row],[RelativePath]])</f>
        <v>10 Сушилка навес\E33149364_3_20251118T094925Z.jpg</v>
      </c>
    </row>
    <row r="119" spans="1:13" x14ac:dyDescent="0.25">
      <c r="A119" s="2" t="s">
        <v>14</v>
      </c>
      <c r="B119" s="4">
        <v>45979</v>
      </c>
      <c r="C119" s="5">
        <v>0.40945601851851854</v>
      </c>
      <c r="D119" t="s">
        <v>533</v>
      </c>
      <c r="E119" t="s">
        <v>1607</v>
      </c>
      <c r="F119" t="s">
        <v>58</v>
      </c>
      <c r="H119" t="s">
        <v>2954</v>
      </c>
      <c r="I119" t="s">
        <v>2688</v>
      </c>
      <c r="J119" t="s">
        <v>2985</v>
      </c>
      <c r="K119" t="s">
        <v>2689</v>
      </c>
      <c r="L119" t="s">
        <v>2690</v>
      </c>
      <c r="M119" s="3" t="str">
        <f>HYPERLINK(склад2въезд131920212223[[#This Row],[RelativePath]])</f>
        <v>10 Сушилка навес\E33149364_3_20251118T094937Z.jpg</v>
      </c>
    </row>
    <row r="120" spans="1:13" x14ac:dyDescent="0.25">
      <c r="A120" s="2" t="s">
        <v>14</v>
      </c>
      <c r="B120" s="4">
        <v>45979</v>
      </c>
      <c r="C120" s="5">
        <v>0.43212962962962964</v>
      </c>
      <c r="D120" t="s">
        <v>159</v>
      </c>
      <c r="E120" t="s">
        <v>2920</v>
      </c>
      <c r="I120" t="s">
        <v>2691</v>
      </c>
      <c r="J120" t="s">
        <v>2985</v>
      </c>
      <c r="K120" t="s">
        <v>2692</v>
      </c>
      <c r="L120" t="s">
        <v>2693</v>
      </c>
      <c r="M120" s="3" t="str">
        <f>HYPERLINK(склад2въезд131920212223[[#This Row],[RelativePath]])</f>
        <v>10 Сушилка навес\E33149364_3_20251118T102216Z.jpg</v>
      </c>
    </row>
    <row r="121" spans="1:13" x14ac:dyDescent="0.25">
      <c r="A121" s="2" t="s">
        <v>14</v>
      </c>
      <c r="B121" s="4">
        <v>45979</v>
      </c>
      <c r="C121" s="5">
        <v>0.43251157407407409</v>
      </c>
      <c r="D121" t="s">
        <v>1606</v>
      </c>
      <c r="E121" t="s">
        <v>2920</v>
      </c>
      <c r="H121" t="s">
        <v>2955</v>
      </c>
      <c r="I121" t="s">
        <v>2694</v>
      </c>
      <c r="J121" t="s">
        <v>2985</v>
      </c>
      <c r="K121" t="s">
        <v>2695</v>
      </c>
      <c r="L121" t="s">
        <v>2696</v>
      </c>
      <c r="M121" s="3" t="str">
        <f>HYPERLINK(склад2въезд131920212223[[#This Row],[RelativePath]])</f>
        <v>10 Сушилка навес\E33149364_3_20251118T102249Z.jpg</v>
      </c>
    </row>
    <row r="122" spans="1:13" x14ac:dyDescent="0.25">
      <c r="A122" s="2" t="s">
        <v>14</v>
      </c>
      <c r="B122" s="4">
        <v>45979</v>
      </c>
      <c r="C122" s="5">
        <v>0.43287037037037035</v>
      </c>
      <c r="D122" t="s">
        <v>289</v>
      </c>
      <c r="E122" t="s">
        <v>2920</v>
      </c>
      <c r="F122" t="s">
        <v>58</v>
      </c>
      <c r="H122" t="s">
        <v>2957</v>
      </c>
      <c r="I122" t="s">
        <v>2697</v>
      </c>
      <c r="J122" t="s">
        <v>2985</v>
      </c>
      <c r="K122" t="s">
        <v>2698</v>
      </c>
      <c r="L122" t="s">
        <v>2534</v>
      </c>
      <c r="M122" s="3" t="str">
        <f>HYPERLINK(склад2въезд131920212223[[#This Row],[RelativePath]])</f>
        <v>10 Сушилка навес\E33149364_3_20251118T102320Z.jpg</v>
      </c>
    </row>
    <row r="123" spans="1:13" x14ac:dyDescent="0.25">
      <c r="A123" s="2" t="s">
        <v>14</v>
      </c>
      <c r="B123" s="4">
        <v>45979</v>
      </c>
      <c r="C123" s="5">
        <v>0.43355324074074075</v>
      </c>
      <c r="D123" t="s">
        <v>1999</v>
      </c>
      <c r="E123" t="s">
        <v>2920</v>
      </c>
      <c r="F123" t="s">
        <v>58</v>
      </c>
      <c r="H123" t="s">
        <v>2957</v>
      </c>
      <c r="I123" t="s">
        <v>2699</v>
      </c>
      <c r="J123" t="s">
        <v>2985</v>
      </c>
      <c r="K123" t="s">
        <v>2700</v>
      </c>
      <c r="L123" t="s">
        <v>2546</v>
      </c>
      <c r="M123" s="3" t="str">
        <f>HYPERLINK(склад2въезд131920212223[[#This Row],[RelativePath]])</f>
        <v>10 Сушилка навес\E33149364_3_20251118T102419Z.jpg</v>
      </c>
    </row>
    <row r="124" spans="1:13" x14ac:dyDescent="0.25">
      <c r="A124" s="2" t="s">
        <v>14</v>
      </c>
      <c r="B124" s="4">
        <v>45979</v>
      </c>
      <c r="C124" s="5">
        <v>0.43384259259259261</v>
      </c>
      <c r="D124" t="s">
        <v>1999</v>
      </c>
      <c r="E124" t="s">
        <v>2920</v>
      </c>
      <c r="F124" t="s">
        <v>58</v>
      </c>
      <c r="H124" t="s">
        <v>2957</v>
      </c>
      <c r="I124" t="s">
        <v>2701</v>
      </c>
      <c r="J124" t="s">
        <v>2985</v>
      </c>
      <c r="K124" t="s">
        <v>2702</v>
      </c>
      <c r="L124" t="s">
        <v>2703</v>
      </c>
      <c r="M124" s="3" t="str">
        <f>HYPERLINK(склад2въезд131920212223[[#This Row],[RelativePath]])</f>
        <v>10 Сушилка навес\E33149364_3_20251118T102444Z.jpg</v>
      </c>
    </row>
    <row r="125" spans="1:13" x14ac:dyDescent="0.25">
      <c r="A125" s="2" t="s">
        <v>14</v>
      </c>
      <c r="B125" s="4">
        <v>45979</v>
      </c>
      <c r="C125" s="5">
        <v>0.44254629629629627</v>
      </c>
      <c r="D125" t="s">
        <v>533</v>
      </c>
      <c r="E125" t="s">
        <v>1607</v>
      </c>
      <c r="F125" t="s">
        <v>58</v>
      </c>
      <c r="H125" t="s">
        <v>2958</v>
      </c>
      <c r="I125" t="s">
        <v>2704</v>
      </c>
      <c r="J125" t="s">
        <v>2985</v>
      </c>
      <c r="K125" t="s">
        <v>2705</v>
      </c>
      <c r="L125" t="s">
        <v>2706</v>
      </c>
      <c r="M125" s="3" t="str">
        <f>HYPERLINK(склад2въезд131920212223[[#This Row],[RelativePath]])</f>
        <v>10 Сушилка навес\E33149364_3_20251118T103716Z.jpg</v>
      </c>
    </row>
    <row r="126" spans="1:13" x14ac:dyDescent="0.25">
      <c r="A126" s="2" t="s">
        <v>14</v>
      </c>
      <c r="B126" s="4">
        <v>45979</v>
      </c>
      <c r="C126" s="5">
        <v>0.44297453703703704</v>
      </c>
      <c r="D126" t="s">
        <v>533</v>
      </c>
      <c r="E126" t="s">
        <v>1607</v>
      </c>
      <c r="F126" t="s">
        <v>58</v>
      </c>
      <c r="H126" t="s">
        <v>2958</v>
      </c>
      <c r="I126" t="s">
        <v>2707</v>
      </c>
      <c r="J126" t="s">
        <v>2985</v>
      </c>
      <c r="K126" t="s">
        <v>2708</v>
      </c>
      <c r="L126" t="s">
        <v>2709</v>
      </c>
      <c r="M126" s="3" t="str">
        <f>HYPERLINK(склад2въезд131920212223[[#This Row],[RelativePath]])</f>
        <v>10 Сушилка навес\E33149364_3_20251118T103753Z.jpg</v>
      </c>
    </row>
    <row r="127" spans="1:13" x14ac:dyDescent="0.25">
      <c r="A127" s="2" t="s">
        <v>14</v>
      </c>
      <c r="B127" s="4">
        <v>45979</v>
      </c>
      <c r="C127" s="5">
        <v>0.5584837962962963</v>
      </c>
      <c r="D127" t="s">
        <v>533</v>
      </c>
      <c r="E127" t="s">
        <v>1607</v>
      </c>
      <c r="F127" t="s">
        <v>58</v>
      </c>
      <c r="H127" t="s">
        <v>2958</v>
      </c>
      <c r="I127" t="s">
        <v>2710</v>
      </c>
      <c r="J127" t="s">
        <v>2985</v>
      </c>
      <c r="K127" t="s">
        <v>2711</v>
      </c>
      <c r="L127" t="s">
        <v>2712</v>
      </c>
      <c r="M127" s="3" t="str">
        <f>HYPERLINK(склад2въезд131920212223[[#This Row],[RelativePath]])</f>
        <v>10 Сушилка навес\E33149364_3_20251118T132413Z.jpg</v>
      </c>
    </row>
    <row r="128" spans="1:13" x14ac:dyDescent="0.25">
      <c r="A128" s="2" t="s">
        <v>14</v>
      </c>
      <c r="B128" s="4">
        <v>45979</v>
      </c>
      <c r="C128" s="5">
        <v>0.66226851851851853</v>
      </c>
      <c r="D128" t="s">
        <v>533</v>
      </c>
      <c r="E128" t="s">
        <v>1607</v>
      </c>
      <c r="F128" t="s">
        <v>58</v>
      </c>
      <c r="H128" t="s">
        <v>2954</v>
      </c>
      <c r="I128" t="s">
        <v>2713</v>
      </c>
      <c r="J128" t="s">
        <v>2985</v>
      </c>
      <c r="K128" t="s">
        <v>2714</v>
      </c>
      <c r="L128" t="s">
        <v>2715</v>
      </c>
      <c r="M128" s="3" t="str">
        <f>HYPERLINK(склад2въезд131920212223[[#This Row],[RelativePath]])</f>
        <v>10 Сушилка навес\E33149364_3_20251118T155340Z.jpg</v>
      </c>
    </row>
    <row r="129" spans="1:13" x14ac:dyDescent="0.25">
      <c r="A129" s="2" t="s">
        <v>14</v>
      </c>
      <c r="B129" s="4">
        <v>45979</v>
      </c>
      <c r="C129" s="5">
        <v>0.66097222222222218</v>
      </c>
      <c r="D129" t="s">
        <v>533</v>
      </c>
      <c r="E129" t="s">
        <v>1607</v>
      </c>
      <c r="F129" t="s">
        <v>58</v>
      </c>
      <c r="H129" t="s">
        <v>2954</v>
      </c>
      <c r="I129" t="s">
        <v>2959</v>
      </c>
      <c r="J129" t="s">
        <v>2985</v>
      </c>
      <c r="K129" t="s">
        <v>2960</v>
      </c>
      <c r="L129" t="s">
        <v>2961</v>
      </c>
      <c r="M129" s="3" t="str">
        <f>HYPERLINK(склад2въезд131920212223[[#This Row],[RelativePath]])</f>
        <v>10 Сушилка навес\E33149364_3_20251118T155148Z.jpg</v>
      </c>
    </row>
    <row r="130" spans="1:13" x14ac:dyDescent="0.25">
      <c r="A130" s="2" t="s">
        <v>15</v>
      </c>
      <c r="B130" s="4">
        <v>45980</v>
      </c>
      <c r="C130" s="5">
        <v>0.38109953703703703</v>
      </c>
      <c r="D130" t="s">
        <v>4</v>
      </c>
      <c r="E130" t="s">
        <v>8</v>
      </c>
      <c r="I130" t="s">
        <v>2716</v>
      </c>
      <c r="J130" t="s">
        <v>2985</v>
      </c>
      <c r="K130" t="s">
        <v>2717</v>
      </c>
      <c r="L130" t="s">
        <v>2718</v>
      </c>
      <c r="M130" s="3" t="str">
        <f>HYPERLINK(склад2въезд131920212223[[#This Row],[RelativePath]])</f>
        <v>10 Сушилка навес\E33149364_3_20251119T090847Z.jpg</v>
      </c>
    </row>
    <row r="131" spans="1:13" x14ac:dyDescent="0.25">
      <c r="A131" s="2" t="s">
        <v>15</v>
      </c>
      <c r="B131" s="4">
        <v>45980</v>
      </c>
      <c r="C131" s="5">
        <v>0.38858796296296294</v>
      </c>
      <c r="D131" t="s">
        <v>533</v>
      </c>
      <c r="E131" t="s">
        <v>1607</v>
      </c>
      <c r="F131" t="s">
        <v>2962</v>
      </c>
      <c r="H131" t="s">
        <v>2954</v>
      </c>
      <c r="I131" t="s">
        <v>2719</v>
      </c>
      <c r="J131" t="s">
        <v>2985</v>
      </c>
      <c r="K131" t="s">
        <v>2720</v>
      </c>
      <c r="L131" t="s">
        <v>2721</v>
      </c>
      <c r="M131" s="3" t="str">
        <f>HYPERLINK(склад2въезд131920212223[[#This Row],[RelativePath]])</f>
        <v>10 Сушилка навес\E33149364_3_20251119T091934Z.jpg</v>
      </c>
    </row>
    <row r="132" spans="1:13" x14ac:dyDescent="0.25">
      <c r="A132" s="2" t="s">
        <v>15</v>
      </c>
      <c r="B132" s="4">
        <v>45980</v>
      </c>
      <c r="C132" s="5">
        <v>0.3886574074074074</v>
      </c>
      <c r="D132" t="s">
        <v>533</v>
      </c>
      <c r="E132" t="s">
        <v>1607</v>
      </c>
      <c r="F132" t="s">
        <v>2962</v>
      </c>
      <c r="H132" t="s">
        <v>2954</v>
      </c>
      <c r="I132" t="s">
        <v>2722</v>
      </c>
      <c r="J132" t="s">
        <v>2985</v>
      </c>
      <c r="K132" t="s">
        <v>2723</v>
      </c>
      <c r="L132" t="s">
        <v>2724</v>
      </c>
      <c r="M132" s="3" t="str">
        <f>HYPERLINK(склад2въезд131920212223[[#This Row],[RelativePath]])</f>
        <v>10 Сушилка навес\E33149364_3_20251119T091940Z.jpg</v>
      </c>
    </row>
    <row r="133" spans="1:13" x14ac:dyDescent="0.25">
      <c r="A133" s="2" t="s">
        <v>15</v>
      </c>
      <c r="B133" s="4">
        <v>45980</v>
      </c>
      <c r="C133" s="5">
        <v>0.38883101851851853</v>
      </c>
      <c r="D133" t="s">
        <v>533</v>
      </c>
      <c r="E133" t="s">
        <v>1607</v>
      </c>
      <c r="F133" t="s">
        <v>2962</v>
      </c>
      <c r="H133" t="s">
        <v>2954</v>
      </c>
      <c r="I133" t="s">
        <v>2725</v>
      </c>
      <c r="J133" t="s">
        <v>2985</v>
      </c>
      <c r="K133" t="s">
        <v>2726</v>
      </c>
      <c r="L133" t="s">
        <v>2727</v>
      </c>
      <c r="M133" s="3" t="str">
        <f>HYPERLINK(склад2въезд131920212223[[#This Row],[RelativePath]])</f>
        <v>10 Сушилка навес\E33149364_3_20251119T091955Z.jpg</v>
      </c>
    </row>
    <row r="134" spans="1:13" x14ac:dyDescent="0.25">
      <c r="A134" s="2" t="s">
        <v>15</v>
      </c>
      <c r="B134" s="4">
        <v>45980</v>
      </c>
      <c r="C134" s="5">
        <v>0.46056712962962965</v>
      </c>
      <c r="D134" t="s">
        <v>1606</v>
      </c>
      <c r="E134" t="s">
        <v>70</v>
      </c>
      <c r="F134" t="s">
        <v>51</v>
      </c>
      <c r="I134" t="s">
        <v>2728</v>
      </c>
      <c r="J134" t="s">
        <v>2985</v>
      </c>
      <c r="K134" t="s">
        <v>2729</v>
      </c>
      <c r="L134" t="s">
        <v>2730</v>
      </c>
      <c r="M134" s="3" t="str">
        <f>HYPERLINK(склад2въезд131920212223[[#This Row],[RelativePath]])</f>
        <v>10 Сушилка навес\E33149364_3_20251119T110313Z.jpg</v>
      </c>
    </row>
    <row r="135" spans="1:13" x14ac:dyDescent="0.25">
      <c r="A135" s="2" t="s">
        <v>15</v>
      </c>
      <c r="B135" s="4">
        <v>45980</v>
      </c>
      <c r="C135" s="5">
        <v>0.46177083333333335</v>
      </c>
      <c r="D135" t="s">
        <v>289</v>
      </c>
      <c r="E135" t="s">
        <v>70</v>
      </c>
      <c r="F135" t="s">
        <v>58</v>
      </c>
      <c r="H135" t="s">
        <v>2956</v>
      </c>
      <c r="I135" t="s">
        <v>2731</v>
      </c>
      <c r="J135" t="s">
        <v>2985</v>
      </c>
      <c r="K135" t="s">
        <v>2732</v>
      </c>
      <c r="L135" t="s">
        <v>2733</v>
      </c>
      <c r="M135" s="3" t="str">
        <f>HYPERLINK(склад2въезд131920212223[[#This Row],[RelativePath]])</f>
        <v>10 Сушилка навес\E33149364_3_20251119T110457Z.jpg</v>
      </c>
    </row>
    <row r="136" spans="1:13" x14ac:dyDescent="0.25">
      <c r="A136" s="2" t="s">
        <v>15</v>
      </c>
      <c r="B136" s="4">
        <v>45980</v>
      </c>
      <c r="C136" s="5">
        <v>0.46206018518518521</v>
      </c>
      <c r="D136" t="s">
        <v>1999</v>
      </c>
      <c r="E136" t="s">
        <v>70</v>
      </c>
      <c r="F136" t="s">
        <v>58</v>
      </c>
      <c r="H136" t="s">
        <v>2956</v>
      </c>
      <c r="I136" t="s">
        <v>2734</v>
      </c>
      <c r="J136" t="s">
        <v>2985</v>
      </c>
      <c r="K136" t="s">
        <v>2735</v>
      </c>
      <c r="L136" t="s">
        <v>2736</v>
      </c>
      <c r="M136" s="3" t="str">
        <f>HYPERLINK(склад2въезд131920212223[[#This Row],[RelativePath]])</f>
        <v>10 Сушилка навес\E33149364_3_20251119T110522Z.jpg</v>
      </c>
    </row>
    <row r="137" spans="1:13" x14ac:dyDescent="0.25">
      <c r="A137" s="2" t="s">
        <v>15</v>
      </c>
      <c r="B137" s="4">
        <v>45980</v>
      </c>
      <c r="C137" s="5">
        <v>0.46342592592592591</v>
      </c>
      <c r="D137" t="s">
        <v>1999</v>
      </c>
      <c r="E137" t="s">
        <v>70</v>
      </c>
      <c r="F137" t="s">
        <v>58</v>
      </c>
      <c r="H137" t="s">
        <v>2956</v>
      </c>
      <c r="I137" t="s">
        <v>2737</v>
      </c>
      <c r="J137" t="s">
        <v>2985</v>
      </c>
      <c r="K137" t="s">
        <v>2738</v>
      </c>
      <c r="L137" t="s">
        <v>2739</v>
      </c>
      <c r="M137" s="3" t="str">
        <f>HYPERLINK(склад2въезд131920212223[[#This Row],[RelativePath]])</f>
        <v>10 Сушилка навес\E33149364_3_20251119T110720Z.jpg</v>
      </c>
    </row>
    <row r="138" spans="1:13" x14ac:dyDescent="0.25">
      <c r="A138" s="2" t="s">
        <v>15</v>
      </c>
      <c r="B138" s="4">
        <v>45980</v>
      </c>
      <c r="C138" s="5">
        <v>0.46491898148148147</v>
      </c>
      <c r="D138" t="s">
        <v>1999</v>
      </c>
      <c r="E138" t="s">
        <v>70</v>
      </c>
      <c r="F138" t="s">
        <v>58</v>
      </c>
      <c r="H138" t="s">
        <v>2956</v>
      </c>
      <c r="I138" t="s">
        <v>2740</v>
      </c>
      <c r="J138" t="s">
        <v>2985</v>
      </c>
      <c r="K138" t="s">
        <v>2741</v>
      </c>
      <c r="L138" t="s">
        <v>2742</v>
      </c>
      <c r="M138" s="3" t="str">
        <f>HYPERLINK(склад2въезд131920212223[[#This Row],[RelativePath]])</f>
        <v>10 Сушилка навес\E33149364_3_20251119T110929Z.jpg</v>
      </c>
    </row>
    <row r="139" spans="1:13" x14ac:dyDescent="0.25">
      <c r="A139" s="2" t="s">
        <v>15</v>
      </c>
      <c r="B139" s="4">
        <v>45980</v>
      </c>
      <c r="C139" s="5">
        <v>0.46659722222222222</v>
      </c>
      <c r="D139" t="s">
        <v>1999</v>
      </c>
      <c r="E139" t="s">
        <v>70</v>
      </c>
      <c r="F139" t="s">
        <v>58</v>
      </c>
      <c r="H139" t="s">
        <v>2956</v>
      </c>
      <c r="I139" t="s">
        <v>2743</v>
      </c>
      <c r="J139" t="s">
        <v>2985</v>
      </c>
      <c r="K139" t="s">
        <v>2744</v>
      </c>
      <c r="L139" t="s">
        <v>2745</v>
      </c>
      <c r="M139" s="3" t="str">
        <f>HYPERLINK(склад2въезд131920212223[[#This Row],[RelativePath]])</f>
        <v>10 Сушилка навес\E33149364_3_20251119T111154Z.jpg</v>
      </c>
    </row>
    <row r="140" spans="1:13" x14ac:dyDescent="0.25">
      <c r="A140" s="2" t="s">
        <v>15</v>
      </c>
      <c r="B140" s="4">
        <v>45980</v>
      </c>
      <c r="C140" s="5">
        <v>0.46673611111111113</v>
      </c>
      <c r="D140" t="s">
        <v>1999</v>
      </c>
      <c r="E140" t="s">
        <v>70</v>
      </c>
      <c r="F140" t="s">
        <v>58</v>
      </c>
      <c r="H140" t="s">
        <v>2956</v>
      </c>
      <c r="I140" t="s">
        <v>2746</v>
      </c>
      <c r="J140" t="s">
        <v>2985</v>
      </c>
      <c r="K140" t="s">
        <v>2747</v>
      </c>
      <c r="L140" t="s">
        <v>2748</v>
      </c>
      <c r="M140" s="3" t="str">
        <f>HYPERLINK(склад2въезд131920212223[[#This Row],[RelativePath]])</f>
        <v>10 Сушилка навес\E33149364_3_20251119T111206Z.jpg</v>
      </c>
    </row>
    <row r="141" spans="1:13" x14ac:dyDescent="0.25">
      <c r="A141" s="2" t="s">
        <v>15</v>
      </c>
      <c r="B141" s="4">
        <v>45980</v>
      </c>
      <c r="C141" s="5">
        <v>0.46688657407407408</v>
      </c>
      <c r="D141" t="s">
        <v>1999</v>
      </c>
      <c r="E141" t="s">
        <v>70</v>
      </c>
      <c r="F141" t="s">
        <v>58</v>
      </c>
      <c r="H141" t="s">
        <v>2956</v>
      </c>
      <c r="I141" t="s">
        <v>2749</v>
      </c>
      <c r="J141" t="s">
        <v>2985</v>
      </c>
      <c r="K141" t="s">
        <v>2750</v>
      </c>
      <c r="L141" t="s">
        <v>2751</v>
      </c>
      <c r="M141" s="3" t="str">
        <f>HYPERLINK(склад2въезд131920212223[[#This Row],[RelativePath]])</f>
        <v>10 Сушилка навес\E33149364_3_20251119T111219Z.jpg</v>
      </c>
    </row>
    <row r="142" spans="1:13" x14ac:dyDescent="0.25">
      <c r="A142" s="2" t="s">
        <v>15</v>
      </c>
      <c r="B142" s="4">
        <v>45980</v>
      </c>
      <c r="C142" s="5">
        <v>0.46755787037037039</v>
      </c>
      <c r="D142" t="s">
        <v>1999</v>
      </c>
      <c r="E142" t="s">
        <v>70</v>
      </c>
      <c r="F142" t="s">
        <v>58</v>
      </c>
      <c r="H142" t="s">
        <v>2956</v>
      </c>
      <c r="I142" t="s">
        <v>2752</v>
      </c>
      <c r="J142" t="s">
        <v>2985</v>
      </c>
      <c r="K142" t="s">
        <v>2753</v>
      </c>
      <c r="L142" t="s">
        <v>2754</v>
      </c>
      <c r="M142" s="3" t="str">
        <f>HYPERLINK(склад2въезд131920212223[[#This Row],[RelativePath]])</f>
        <v>10 Сушилка навес\E33149364_3_20251119T111317Z.jpg</v>
      </c>
    </row>
    <row r="143" spans="1:13" x14ac:dyDescent="0.25">
      <c r="A143" s="2" t="s">
        <v>15</v>
      </c>
      <c r="B143" s="4">
        <v>45980</v>
      </c>
      <c r="C143" s="5">
        <v>0.46975694444444444</v>
      </c>
      <c r="D143" t="s">
        <v>1999</v>
      </c>
      <c r="E143" t="s">
        <v>70</v>
      </c>
      <c r="F143" t="s">
        <v>58</v>
      </c>
      <c r="H143" t="s">
        <v>2956</v>
      </c>
      <c r="I143" t="s">
        <v>2755</v>
      </c>
      <c r="J143" t="s">
        <v>2985</v>
      </c>
      <c r="K143" t="s">
        <v>2756</v>
      </c>
      <c r="L143" t="s">
        <v>2757</v>
      </c>
      <c r="M143" s="3" t="str">
        <f>HYPERLINK(склад2въезд131920212223[[#This Row],[RelativePath]])</f>
        <v>10 Сушилка навес\E33149364_3_20251119T111627Z.jpg</v>
      </c>
    </row>
    <row r="144" spans="1:13" x14ac:dyDescent="0.25">
      <c r="A144" s="2" t="s">
        <v>15</v>
      </c>
      <c r="B144" s="4">
        <v>45980</v>
      </c>
      <c r="C144" s="5">
        <v>0.47151620370370373</v>
      </c>
      <c r="D144" t="s">
        <v>1999</v>
      </c>
      <c r="E144" t="s">
        <v>70</v>
      </c>
      <c r="F144" t="s">
        <v>58</v>
      </c>
      <c r="H144" t="s">
        <v>2956</v>
      </c>
      <c r="I144" t="s">
        <v>2758</v>
      </c>
      <c r="J144" t="s">
        <v>2985</v>
      </c>
      <c r="K144" t="s">
        <v>2759</v>
      </c>
      <c r="L144" t="s">
        <v>2760</v>
      </c>
      <c r="M144" s="3" t="str">
        <f>HYPERLINK(склад2въезд131920212223[[#This Row],[RelativePath]])</f>
        <v>10 Сушилка навес\E33149364_3_20251119T111859Z.jpg</v>
      </c>
    </row>
    <row r="145" spans="1:13" x14ac:dyDescent="0.25">
      <c r="A145" s="2" t="s">
        <v>15</v>
      </c>
      <c r="B145" s="4">
        <v>45980</v>
      </c>
      <c r="C145" s="5">
        <v>0.47385416666666669</v>
      </c>
      <c r="D145" t="s">
        <v>1999</v>
      </c>
      <c r="E145" t="s">
        <v>70</v>
      </c>
      <c r="F145" t="s">
        <v>58</v>
      </c>
      <c r="H145" t="s">
        <v>2963</v>
      </c>
      <c r="I145" t="s">
        <v>2761</v>
      </c>
      <c r="J145" t="s">
        <v>2985</v>
      </c>
      <c r="K145" t="s">
        <v>2762</v>
      </c>
      <c r="L145" t="s">
        <v>2763</v>
      </c>
      <c r="M145" s="3" t="str">
        <f>HYPERLINK(склад2въезд131920212223[[#This Row],[RelativePath]])</f>
        <v>10 Сушилка навес\E33149364_3_20251119T112221Z.jpg</v>
      </c>
    </row>
    <row r="146" spans="1:13" x14ac:dyDescent="0.25">
      <c r="A146" s="2" t="s">
        <v>15</v>
      </c>
      <c r="B146" s="4">
        <v>45980</v>
      </c>
      <c r="C146" s="5">
        <v>0.47458333333333336</v>
      </c>
      <c r="D146" t="s">
        <v>1999</v>
      </c>
      <c r="E146" t="s">
        <v>70</v>
      </c>
      <c r="F146" t="s">
        <v>2962</v>
      </c>
      <c r="H146" t="s">
        <v>2956</v>
      </c>
      <c r="I146" t="s">
        <v>2764</v>
      </c>
      <c r="J146" t="s">
        <v>2985</v>
      </c>
      <c r="K146" t="s">
        <v>2765</v>
      </c>
      <c r="L146" t="s">
        <v>2766</v>
      </c>
      <c r="M146" s="3" t="str">
        <f>HYPERLINK(склад2въезд131920212223[[#This Row],[RelativePath]])</f>
        <v>10 Сушилка навес\E33149364_3_20251119T112324Z.jpg</v>
      </c>
    </row>
    <row r="147" spans="1:13" x14ac:dyDescent="0.25">
      <c r="A147" s="2" t="s">
        <v>15</v>
      </c>
      <c r="B147" s="4">
        <v>45980</v>
      </c>
      <c r="C147" s="5">
        <v>0.47570601851851851</v>
      </c>
      <c r="D147" t="s">
        <v>1999</v>
      </c>
      <c r="E147" t="s">
        <v>70</v>
      </c>
      <c r="F147" t="s">
        <v>58</v>
      </c>
      <c r="H147" t="s">
        <v>2963</v>
      </c>
      <c r="I147" t="s">
        <v>2767</v>
      </c>
      <c r="J147" t="s">
        <v>2985</v>
      </c>
      <c r="K147" t="s">
        <v>2768</v>
      </c>
      <c r="L147" t="s">
        <v>2769</v>
      </c>
      <c r="M147" s="3" t="str">
        <f>HYPERLINK(склад2въезд131920212223[[#This Row],[RelativePath]])</f>
        <v>10 Сушилка навес\E33149364_3_20251119T112501Z.jpg</v>
      </c>
    </row>
    <row r="148" spans="1:13" x14ac:dyDescent="0.25">
      <c r="A148" s="2" t="s">
        <v>15</v>
      </c>
      <c r="B148" s="4">
        <v>45980</v>
      </c>
      <c r="C148" s="5">
        <v>0.47585648148148146</v>
      </c>
      <c r="D148" t="s">
        <v>1999</v>
      </c>
      <c r="E148" t="s">
        <v>70</v>
      </c>
      <c r="F148" t="s">
        <v>58</v>
      </c>
      <c r="H148" t="s">
        <v>2963</v>
      </c>
      <c r="I148" t="s">
        <v>2770</v>
      </c>
      <c r="J148" t="s">
        <v>2985</v>
      </c>
      <c r="K148" t="s">
        <v>2771</v>
      </c>
      <c r="L148" t="s">
        <v>2772</v>
      </c>
      <c r="M148" s="3" t="str">
        <f>HYPERLINK(склад2въезд131920212223[[#This Row],[RelativePath]])</f>
        <v>10 Сушилка навес\E33149364_3_20251119T112514Z.jpg</v>
      </c>
    </row>
    <row r="149" spans="1:13" x14ac:dyDescent="0.25">
      <c r="A149" s="2" t="s">
        <v>15</v>
      </c>
      <c r="B149" s="4">
        <v>45980</v>
      </c>
      <c r="C149" s="5">
        <v>0.47793981481481479</v>
      </c>
      <c r="D149" t="s">
        <v>1999</v>
      </c>
      <c r="E149" t="s">
        <v>70</v>
      </c>
      <c r="F149" t="s">
        <v>58</v>
      </c>
      <c r="H149" t="s">
        <v>2963</v>
      </c>
      <c r="I149" t="s">
        <v>2773</v>
      </c>
      <c r="J149" t="s">
        <v>2985</v>
      </c>
      <c r="K149" t="s">
        <v>2774</v>
      </c>
      <c r="L149" t="s">
        <v>2775</v>
      </c>
      <c r="M149" s="3" t="str">
        <f>HYPERLINK(склад2въезд131920212223[[#This Row],[RelativePath]])</f>
        <v>10 Сушилка навес\E33149364_3_20251119T112814Z.jpg</v>
      </c>
    </row>
    <row r="150" spans="1:13" x14ac:dyDescent="0.25">
      <c r="A150" s="2" t="s">
        <v>15</v>
      </c>
      <c r="B150" s="4">
        <v>45980</v>
      </c>
      <c r="C150" s="5">
        <v>0.47864583333333333</v>
      </c>
      <c r="D150" t="s">
        <v>1999</v>
      </c>
      <c r="E150" t="s">
        <v>70</v>
      </c>
      <c r="F150" t="s">
        <v>58</v>
      </c>
      <c r="H150" t="s">
        <v>2957</v>
      </c>
      <c r="I150" t="s">
        <v>2776</v>
      </c>
      <c r="J150" t="s">
        <v>2985</v>
      </c>
      <c r="K150" t="s">
        <v>2777</v>
      </c>
      <c r="L150" t="s">
        <v>2778</v>
      </c>
      <c r="M150" s="3" t="str">
        <f>HYPERLINK(склад2въезд131920212223[[#This Row],[RelativePath]])</f>
        <v>10 Сушилка навес\E33149364_3_20251119T112915Z.jpg</v>
      </c>
    </row>
    <row r="151" spans="1:13" x14ac:dyDescent="0.25">
      <c r="A151" s="2" t="s">
        <v>15</v>
      </c>
      <c r="B151" s="4">
        <v>45980</v>
      </c>
      <c r="C151" s="5">
        <v>0.47888888888888886</v>
      </c>
      <c r="D151" t="s">
        <v>1999</v>
      </c>
      <c r="E151" t="s">
        <v>70</v>
      </c>
      <c r="F151" t="s">
        <v>2962</v>
      </c>
      <c r="H151" t="s">
        <v>2957</v>
      </c>
      <c r="I151" t="s">
        <v>2779</v>
      </c>
      <c r="J151" t="s">
        <v>2985</v>
      </c>
      <c r="K151" t="s">
        <v>2780</v>
      </c>
      <c r="L151" t="s">
        <v>2781</v>
      </c>
      <c r="M151" s="3" t="str">
        <f>HYPERLINK(склад2въезд131920212223[[#This Row],[RelativePath]])</f>
        <v>10 Сушилка навес\E33149364_3_20251119T112936Z.jpg</v>
      </c>
    </row>
    <row r="152" spans="1:13" x14ac:dyDescent="0.25">
      <c r="A152" s="2" t="s">
        <v>15</v>
      </c>
      <c r="B152" s="4">
        <v>45980</v>
      </c>
      <c r="C152" s="5">
        <v>0.4790625</v>
      </c>
      <c r="D152" t="s">
        <v>1999</v>
      </c>
      <c r="E152" t="s">
        <v>70</v>
      </c>
      <c r="F152" t="s">
        <v>2962</v>
      </c>
      <c r="H152" t="s">
        <v>2957</v>
      </c>
      <c r="I152" t="s">
        <v>2782</v>
      </c>
      <c r="J152" t="s">
        <v>2985</v>
      </c>
      <c r="K152" t="s">
        <v>2783</v>
      </c>
      <c r="L152" t="s">
        <v>2784</v>
      </c>
      <c r="M152" s="3" t="str">
        <f>HYPERLINK(склад2въезд131920212223[[#This Row],[RelativePath]])</f>
        <v>10 Сушилка навес\E33149364_3_20251119T112951Z.jpg</v>
      </c>
    </row>
    <row r="153" spans="1:13" x14ac:dyDescent="0.25">
      <c r="A153" s="2" t="s">
        <v>15</v>
      </c>
      <c r="B153" s="4">
        <v>45980</v>
      </c>
      <c r="C153" s="5">
        <v>0.47940972222222222</v>
      </c>
      <c r="D153" t="s">
        <v>1999</v>
      </c>
      <c r="E153" t="s">
        <v>70</v>
      </c>
      <c r="F153" t="s">
        <v>2962</v>
      </c>
      <c r="H153" t="s">
        <v>2957</v>
      </c>
      <c r="I153" t="s">
        <v>2785</v>
      </c>
      <c r="J153" t="s">
        <v>2985</v>
      </c>
      <c r="K153" t="s">
        <v>2786</v>
      </c>
      <c r="L153" t="s">
        <v>2787</v>
      </c>
      <c r="M153" s="3" t="str">
        <f>HYPERLINK(склад2въезд131920212223[[#This Row],[RelativePath]])</f>
        <v>10 Сушилка навес\E33149364_3_20251119T113021Z.jpg</v>
      </c>
    </row>
    <row r="154" spans="1:13" x14ac:dyDescent="0.25">
      <c r="A154" s="2" t="s">
        <v>15</v>
      </c>
      <c r="B154" s="4">
        <v>45980</v>
      </c>
      <c r="C154" s="5">
        <v>0.47950231481481481</v>
      </c>
      <c r="D154" t="s">
        <v>1999</v>
      </c>
      <c r="E154" t="s">
        <v>70</v>
      </c>
      <c r="F154" t="s">
        <v>2962</v>
      </c>
      <c r="H154" t="s">
        <v>2957</v>
      </c>
      <c r="I154" t="s">
        <v>2788</v>
      </c>
      <c r="J154" t="s">
        <v>2985</v>
      </c>
      <c r="K154" t="s">
        <v>2789</v>
      </c>
      <c r="L154" t="s">
        <v>2790</v>
      </c>
      <c r="M154" s="3" t="str">
        <f>HYPERLINK(склад2въезд131920212223[[#This Row],[RelativePath]])</f>
        <v>10 Сушилка навес\E33149364_3_20251119T113029Z.jpg</v>
      </c>
    </row>
    <row r="155" spans="1:13" x14ac:dyDescent="0.25">
      <c r="A155" s="2" t="s">
        <v>15</v>
      </c>
      <c r="B155" s="4">
        <v>45980</v>
      </c>
      <c r="C155" s="5">
        <v>0.47957175925925927</v>
      </c>
      <c r="D155" t="s">
        <v>1999</v>
      </c>
      <c r="E155" t="s">
        <v>70</v>
      </c>
      <c r="F155" t="s">
        <v>2962</v>
      </c>
      <c r="H155" t="s">
        <v>2957</v>
      </c>
      <c r="I155" t="s">
        <v>2791</v>
      </c>
      <c r="J155" t="s">
        <v>2985</v>
      </c>
      <c r="K155" t="s">
        <v>2792</v>
      </c>
      <c r="L155" t="s">
        <v>2793</v>
      </c>
      <c r="M155" s="3" t="str">
        <f>HYPERLINK(склад2въезд131920212223[[#This Row],[RelativePath]])</f>
        <v>10 Сушилка навес\E33149364_3_20251119T113035Z.jpg</v>
      </c>
    </row>
    <row r="156" spans="1:13" x14ac:dyDescent="0.25">
      <c r="A156" s="2" t="s">
        <v>15</v>
      </c>
      <c r="B156" s="4">
        <v>45980</v>
      </c>
      <c r="C156" s="5">
        <v>0.4798263888888889</v>
      </c>
      <c r="D156" t="s">
        <v>2953</v>
      </c>
      <c r="E156" t="s">
        <v>70</v>
      </c>
      <c r="I156" t="s">
        <v>2794</v>
      </c>
      <c r="J156" t="s">
        <v>2985</v>
      </c>
      <c r="K156" t="s">
        <v>2795</v>
      </c>
      <c r="L156" t="s">
        <v>2796</v>
      </c>
      <c r="M156" s="3" t="str">
        <f>HYPERLINK(склад2въезд131920212223[[#This Row],[RelativePath]])</f>
        <v>10 Сушилка навес\E33149364_3_20251119T113057Z.jpg</v>
      </c>
    </row>
    <row r="157" spans="1:13" x14ac:dyDescent="0.25">
      <c r="A157" s="2" t="s">
        <v>15</v>
      </c>
      <c r="B157" s="4">
        <v>45980</v>
      </c>
      <c r="C157" s="5">
        <v>0.54266203703703708</v>
      </c>
      <c r="D157" t="s">
        <v>533</v>
      </c>
      <c r="E157" t="s">
        <v>1607</v>
      </c>
      <c r="F157" t="s">
        <v>58</v>
      </c>
      <c r="H157" t="s">
        <v>1611</v>
      </c>
      <c r="I157" t="s">
        <v>2797</v>
      </c>
      <c r="J157" t="s">
        <v>2985</v>
      </c>
      <c r="K157" t="s">
        <v>2798</v>
      </c>
      <c r="L157" t="s">
        <v>2799</v>
      </c>
      <c r="M157" s="3" t="str">
        <f>HYPERLINK(склад2въезд131920212223[[#This Row],[RelativePath]])</f>
        <v>10 Сушилка навес\E33149364_3_20251119T130126Z.jpg</v>
      </c>
    </row>
    <row r="158" spans="1:13" x14ac:dyDescent="0.25">
      <c r="A158" s="2" t="s">
        <v>15</v>
      </c>
      <c r="B158" s="4">
        <v>45980</v>
      </c>
      <c r="C158" s="5">
        <v>0.54275462962962961</v>
      </c>
      <c r="D158" t="s">
        <v>533</v>
      </c>
      <c r="E158" t="s">
        <v>1607</v>
      </c>
      <c r="F158" t="s">
        <v>58</v>
      </c>
      <c r="H158" t="s">
        <v>1611</v>
      </c>
      <c r="I158" t="s">
        <v>2800</v>
      </c>
      <c r="J158" t="s">
        <v>2985</v>
      </c>
      <c r="K158" t="s">
        <v>2801</v>
      </c>
      <c r="L158" t="s">
        <v>2802</v>
      </c>
      <c r="M158" s="3" t="str">
        <f>HYPERLINK(склад2въезд131920212223[[#This Row],[RelativePath]])</f>
        <v>10 Сушилка навес\E33149364_3_20251119T130134Z.jpg</v>
      </c>
    </row>
    <row r="159" spans="1:13" x14ac:dyDescent="0.25">
      <c r="A159" s="2" t="s">
        <v>15</v>
      </c>
      <c r="B159" s="4">
        <v>45980</v>
      </c>
      <c r="C159" s="5">
        <v>0.54365740740740742</v>
      </c>
      <c r="D159" t="s">
        <v>533</v>
      </c>
      <c r="E159" t="s">
        <v>1607</v>
      </c>
      <c r="F159" t="s">
        <v>58</v>
      </c>
      <c r="H159" t="s">
        <v>1611</v>
      </c>
      <c r="I159" t="s">
        <v>2803</v>
      </c>
      <c r="J159" t="s">
        <v>2985</v>
      </c>
      <c r="K159" t="s">
        <v>2804</v>
      </c>
      <c r="L159" t="s">
        <v>2805</v>
      </c>
      <c r="M159" s="3" t="str">
        <f>HYPERLINK(склад2въезд131920212223[[#This Row],[RelativePath]])</f>
        <v>10 Сушилка навес\E33149364_3_20251119T130252Z.jpg</v>
      </c>
    </row>
    <row r="160" spans="1:13" x14ac:dyDescent="0.25">
      <c r="A160" s="2" t="s">
        <v>15</v>
      </c>
      <c r="B160" s="4">
        <v>45980</v>
      </c>
      <c r="C160" s="5">
        <v>0.6224884259259259</v>
      </c>
      <c r="D160" t="s">
        <v>4</v>
      </c>
      <c r="E160" t="s">
        <v>8</v>
      </c>
      <c r="I160" t="s">
        <v>2806</v>
      </c>
      <c r="J160" t="s">
        <v>2985</v>
      </c>
      <c r="K160" t="s">
        <v>2807</v>
      </c>
      <c r="L160" t="s">
        <v>2808</v>
      </c>
      <c r="M160" s="3" t="str">
        <f>HYPERLINK(склад2въезд131920212223[[#This Row],[RelativePath]])</f>
        <v>10 Сушилка навес\E33149364_3_20251119T145623Z.jpg</v>
      </c>
    </row>
    <row r="161" spans="1:13" x14ac:dyDescent="0.25">
      <c r="A161" s="2" t="s">
        <v>15</v>
      </c>
      <c r="B161" s="4">
        <v>45980</v>
      </c>
      <c r="C161" s="5">
        <v>0.73146990740740736</v>
      </c>
      <c r="D161" t="s">
        <v>533</v>
      </c>
      <c r="E161" t="s">
        <v>1607</v>
      </c>
      <c r="F161" t="s">
        <v>2944</v>
      </c>
      <c r="H161" t="s">
        <v>2949</v>
      </c>
      <c r="I161" t="s">
        <v>2809</v>
      </c>
      <c r="J161" t="s">
        <v>2985</v>
      </c>
      <c r="K161" t="s">
        <v>2810</v>
      </c>
      <c r="L161" t="s">
        <v>2811</v>
      </c>
      <c r="M161" s="3" t="str">
        <f>HYPERLINK(склад2въезд131920212223[[#This Row],[RelativePath]])</f>
        <v>10 Сушилка навес\E33149364_3_20251119T173319Z.jpg</v>
      </c>
    </row>
    <row r="162" spans="1:13" x14ac:dyDescent="0.25">
      <c r="A162" s="2" t="s">
        <v>15</v>
      </c>
      <c r="B162" s="4">
        <v>45980</v>
      </c>
      <c r="C162" s="5">
        <v>0.73157407407407404</v>
      </c>
      <c r="D162" t="s">
        <v>533</v>
      </c>
      <c r="E162" t="s">
        <v>1607</v>
      </c>
      <c r="F162" t="s">
        <v>2944</v>
      </c>
      <c r="H162" t="s">
        <v>2949</v>
      </c>
      <c r="I162" t="s">
        <v>2812</v>
      </c>
      <c r="J162" t="s">
        <v>2985</v>
      </c>
      <c r="K162" t="s">
        <v>2813</v>
      </c>
      <c r="L162" t="s">
        <v>2814</v>
      </c>
      <c r="M162" s="3" t="str">
        <f>HYPERLINK(склад2въезд131920212223[[#This Row],[RelativePath]])</f>
        <v>10 Сушилка навес\E33149364_3_20251119T173328Z.jpg</v>
      </c>
    </row>
    <row r="163" spans="1:13" x14ac:dyDescent="0.25">
      <c r="A163" s="2" t="s">
        <v>15</v>
      </c>
      <c r="B163" s="4">
        <v>45980</v>
      </c>
      <c r="C163" s="5">
        <v>0.73162037037037042</v>
      </c>
      <c r="D163" t="s">
        <v>533</v>
      </c>
      <c r="E163" t="s">
        <v>531</v>
      </c>
      <c r="F163" t="s">
        <v>58</v>
      </c>
      <c r="H163" t="s">
        <v>2958</v>
      </c>
      <c r="I163" t="s">
        <v>2815</v>
      </c>
      <c r="J163" t="s">
        <v>2985</v>
      </c>
      <c r="K163" t="s">
        <v>2816</v>
      </c>
      <c r="L163" t="s">
        <v>2817</v>
      </c>
      <c r="M163" s="3" t="str">
        <f>HYPERLINK(склад2въезд131920212223[[#This Row],[RelativePath]])</f>
        <v>10 Сушилка навес\E33149364_3_20251119T173332Z.jpg</v>
      </c>
    </row>
    <row r="164" spans="1:13" x14ac:dyDescent="0.25">
      <c r="A164" s="2" t="s">
        <v>16</v>
      </c>
      <c r="B164" s="4">
        <v>45981</v>
      </c>
      <c r="C164" s="5">
        <v>0.48575231481481479</v>
      </c>
      <c r="D164" t="s">
        <v>533</v>
      </c>
      <c r="E164" t="s">
        <v>531</v>
      </c>
      <c r="F164" t="s">
        <v>58</v>
      </c>
      <c r="H164" t="s">
        <v>2958</v>
      </c>
      <c r="I164" t="s">
        <v>2818</v>
      </c>
      <c r="J164" t="s">
        <v>2985</v>
      </c>
      <c r="K164" t="s">
        <v>2819</v>
      </c>
      <c r="L164" t="s">
        <v>2820</v>
      </c>
      <c r="M164" s="3" t="str">
        <f>HYPERLINK(склад2въезд131920212223[[#This Row],[RelativePath]])</f>
        <v>10 Сушилка навес\E33149364_3_20251120T113929Z.jpg</v>
      </c>
    </row>
    <row r="165" spans="1:13" x14ac:dyDescent="0.25">
      <c r="A165" s="2" t="s">
        <v>16</v>
      </c>
      <c r="B165" s="4">
        <v>45981</v>
      </c>
      <c r="C165" s="5">
        <v>0.48576388888888888</v>
      </c>
      <c r="D165" t="s">
        <v>533</v>
      </c>
      <c r="E165" t="s">
        <v>531</v>
      </c>
      <c r="F165" t="s">
        <v>58</v>
      </c>
      <c r="H165" t="s">
        <v>2958</v>
      </c>
      <c r="I165" t="s">
        <v>2821</v>
      </c>
      <c r="J165" t="s">
        <v>2985</v>
      </c>
      <c r="K165" t="s">
        <v>2822</v>
      </c>
      <c r="L165" t="s">
        <v>2823</v>
      </c>
      <c r="M165" s="3" t="str">
        <f>HYPERLINK(склад2въезд131920212223[[#This Row],[RelativePath]])</f>
        <v>10 Сушилка навес\E33149364_3_20251120T113930Z.jpg</v>
      </c>
    </row>
    <row r="166" spans="1:13" x14ac:dyDescent="0.25">
      <c r="A166" s="2" t="s">
        <v>16</v>
      </c>
      <c r="B166" s="4">
        <v>45981</v>
      </c>
      <c r="C166" s="5">
        <v>0.50848379629629625</v>
      </c>
      <c r="D166" t="s">
        <v>533</v>
      </c>
      <c r="E166" t="s">
        <v>531</v>
      </c>
      <c r="F166" t="s">
        <v>2964</v>
      </c>
      <c r="H166" t="s">
        <v>2958</v>
      </c>
      <c r="I166" t="s">
        <v>2824</v>
      </c>
      <c r="J166" t="s">
        <v>2985</v>
      </c>
      <c r="K166" t="s">
        <v>2825</v>
      </c>
      <c r="L166" t="s">
        <v>2826</v>
      </c>
      <c r="M166" s="3" t="str">
        <f>HYPERLINK(склад2въезд131920212223[[#This Row],[RelativePath]])</f>
        <v>10 Сушилка навес\E33149364_3_20251120T121213Z.jpg</v>
      </c>
    </row>
    <row r="167" spans="1:13" x14ac:dyDescent="0.25">
      <c r="A167" s="2" t="s">
        <v>16</v>
      </c>
      <c r="B167" s="4">
        <v>45981</v>
      </c>
      <c r="C167" s="5">
        <v>0.60218749999999999</v>
      </c>
      <c r="D167" t="s">
        <v>533</v>
      </c>
      <c r="E167" t="s">
        <v>1607</v>
      </c>
      <c r="F167" t="s">
        <v>58</v>
      </c>
      <c r="H167" t="s">
        <v>2949</v>
      </c>
      <c r="I167" t="s">
        <v>2827</v>
      </c>
      <c r="J167" t="s">
        <v>2985</v>
      </c>
      <c r="K167" t="s">
        <v>2828</v>
      </c>
      <c r="L167" t="s">
        <v>2829</v>
      </c>
      <c r="M167" s="3" t="str">
        <f>HYPERLINK(склад2въезд131920212223[[#This Row],[RelativePath]])</f>
        <v>10 Сушилка навес\E33149364_3_20251120T142709Z.jpg</v>
      </c>
    </row>
    <row r="168" spans="1:13" x14ac:dyDescent="0.25">
      <c r="A168" s="2" t="s">
        <v>16</v>
      </c>
      <c r="B168" s="4">
        <v>45981</v>
      </c>
      <c r="C168" s="5">
        <v>0.60229166666666667</v>
      </c>
      <c r="D168" t="s">
        <v>533</v>
      </c>
      <c r="E168" t="s">
        <v>1607</v>
      </c>
      <c r="F168" t="s">
        <v>58</v>
      </c>
      <c r="H168" t="s">
        <v>2949</v>
      </c>
      <c r="I168" t="s">
        <v>2830</v>
      </c>
      <c r="J168" t="s">
        <v>2985</v>
      </c>
      <c r="K168" t="s">
        <v>2831</v>
      </c>
      <c r="L168" t="s">
        <v>2832</v>
      </c>
      <c r="M168" s="3" t="str">
        <f>HYPERLINK(склад2въезд131920212223[[#This Row],[RelativePath]])</f>
        <v>10 Сушилка навес\E33149364_3_20251120T142718Z.jpg</v>
      </c>
    </row>
    <row r="169" spans="1:13" x14ac:dyDescent="0.25">
      <c r="A169" s="2" t="s">
        <v>16</v>
      </c>
      <c r="B169" s="4">
        <v>45981</v>
      </c>
      <c r="C169" s="5">
        <v>0.61241898148148144</v>
      </c>
      <c r="D169" t="s">
        <v>2965</v>
      </c>
      <c r="I169" t="s">
        <v>2833</v>
      </c>
      <c r="J169" t="s">
        <v>2985</v>
      </c>
      <c r="K169" t="s">
        <v>2834</v>
      </c>
      <c r="L169" t="s">
        <v>2835</v>
      </c>
      <c r="M169" s="3" t="str">
        <f>HYPERLINK(склад2въезд131920212223[[#This Row],[RelativePath]])</f>
        <v>10 Сушилка навес\E33149364_3_20251120T144153Z.jpg</v>
      </c>
    </row>
    <row r="170" spans="1:13" x14ac:dyDescent="0.25">
      <c r="A170" s="2" t="s">
        <v>16</v>
      </c>
      <c r="B170" s="4">
        <v>45981</v>
      </c>
      <c r="C170" s="5">
        <v>0.62277777777777776</v>
      </c>
      <c r="D170" t="s">
        <v>2965</v>
      </c>
      <c r="I170" t="s">
        <v>2836</v>
      </c>
      <c r="J170" t="s">
        <v>2985</v>
      </c>
      <c r="K170" t="s">
        <v>2837</v>
      </c>
      <c r="L170" t="s">
        <v>2838</v>
      </c>
      <c r="M170" s="3" t="str">
        <f>HYPERLINK(склад2въезд131920212223[[#This Row],[RelativePath]])</f>
        <v>10 Сушилка навес\E33149364_3_20251120T145648Z.jpg</v>
      </c>
    </row>
    <row r="171" spans="1:13" x14ac:dyDescent="0.25">
      <c r="A171" s="2" t="s">
        <v>16</v>
      </c>
      <c r="B171" s="4">
        <v>45981</v>
      </c>
      <c r="C171" s="5">
        <v>0.64945601851851853</v>
      </c>
      <c r="D171" t="s">
        <v>4</v>
      </c>
      <c r="E171" t="s">
        <v>8</v>
      </c>
      <c r="H171" s="7" t="s">
        <v>2967</v>
      </c>
      <c r="I171" t="s">
        <v>2839</v>
      </c>
      <c r="J171" t="s">
        <v>2985</v>
      </c>
      <c r="K171" t="s">
        <v>2840</v>
      </c>
      <c r="L171" t="s">
        <v>2841</v>
      </c>
      <c r="M171" s="3" t="str">
        <f>HYPERLINK(склад2въезд131920212223[[#This Row],[RelativePath]])</f>
        <v>10 Сушилка навес\E33149364_3_20251120T153513Z.jpg</v>
      </c>
    </row>
    <row r="172" spans="1:13" x14ac:dyDescent="0.25">
      <c r="A172" s="2" t="s">
        <v>17</v>
      </c>
      <c r="B172" s="4">
        <v>45982</v>
      </c>
      <c r="C172" s="5">
        <v>0.37239583333333331</v>
      </c>
      <c r="D172" t="s">
        <v>533</v>
      </c>
      <c r="E172" t="s">
        <v>531</v>
      </c>
      <c r="F172" t="s">
        <v>58</v>
      </c>
      <c r="H172" t="s">
        <v>2954</v>
      </c>
      <c r="I172" t="s">
        <v>2842</v>
      </c>
      <c r="J172" t="s">
        <v>2985</v>
      </c>
      <c r="K172" t="s">
        <v>2843</v>
      </c>
      <c r="L172" t="s">
        <v>2844</v>
      </c>
      <c r="M172" s="3" t="str">
        <f>HYPERLINK(склад2въезд131920212223[[#This Row],[RelativePath]])</f>
        <v>10 Сушилка навес\E33149364_3_20251121T085615Z.jpg</v>
      </c>
    </row>
    <row r="173" spans="1:13" x14ac:dyDescent="0.25">
      <c r="A173" s="2" t="s">
        <v>17</v>
      </c>
      <c r="B173" s="4">
        <v>45982</v>
      </c>
      <c r="C173" s="5">
        <v>0.37672453703703701</v>
      </c>
      <c r="D173" t="s">
        <v>533</v>
      </c>
      <c r="E173" t="s">
        <v>531</v>
      </c>
      <c r="F173" t="s">
        <v>58</v>
      </c>
      <c r="H173" t="s">
        <v>2954</v>
      </c>
      <c r="I173" t="s">
        <v>2845</v>
      </c>
      <c r="J173" t="s">
        <v>2985</v>
      </c>
      <c r="K173" t="s">
        <v>2846</v>
      </c>
      <c r="L173" t="s">
        <v>2847</v>
      </c>
      <c r="M173" s="3" t="str">
        <f>HYPERLINK(склад2въезд131920212223[[#This Row],[RelativePath]])</f>
        <v>10 Сушилка навес\E33149364_3_20251121T090229Z.jpg</v>
      </c>
    </row>
    <row r="174" spans="1:13" x14ac:dyDescent="0.25">
      <c r="A174" s="2" t="s">
        <v>17</v>
      </c>
      <c r="B174" s="4">
        <v>45982</v>
      </c>
      <c r="C174" s="5">
        <v>0.38548611111111108</v>
      </c>
      <c r="D174" t="s">
        <v>533</v>
      </c>
      <c r="E174" t="s">
        <v>531</v>
      </c>
      <c r="F174" t="s">
        <v>58</v>
      </c>
      <c r="H174" t="s">
        <v>2954</v>
      </c>
      <c r="I174" t="s">
        <v>2848</v>
      </c>
      <c r="J174" t="s">
        <v>2985</v>
      </c>
      <c r="K174" t="s">
        <v>2849</v>
      </c>
      <c r="L174" t="s">
        <v>2850</v>
      </c>
      <c r="M174" s="3" t="str">
        <f>HYPERLINK(склад2въезд131920212223[[#This Row],[RelativePath]])</f>
        <v>10 Сушилка навес\E33149364_3_20251121T091506Z.jpg</v>
      </c>
    </row>
    <row r="175" spans="1:13" x14ac:dyDescent="0.25">
      <c r="A175" s="2" t="s">
        <v>17</v>
      </c>
      <c r="B175" s="4">
        <v>45982</v>
      </c>
      <c r="C175" s="5">
        <v>0.41283564814814816</v>
      </c>
      <c r="D175" t="s">
        <v>4</v>
      </c>
      <c r="E175" t="s">
        <v>8</v>
      </c>
      <c r="H175" t="s">
        <v>2936</v>
      </c>
      <c r="I175" t="s">
        <v>2851</v>
      </c>
      <c r="J175" t="s">
        <v>2985</v>
      </c>
      <c r="K175" t="s">
        <v>2852</v>
      </c>
      <c r="L175" t="s">
        <v>2853</v>
      </c>
      <c r="M175" s="3" t="str">
        <f>HYPERLINK(склад2въезд131920212223[[#This Row],[RelativePath]])</f>
        <v>10 Сушилка навес\E33149364_3_20251121T095429Z.jpg</v>
      </c>
    </row>
    <row r="176" spans="1:13" x14ac:dyDescent="0.25">
      <c r="A176" s="2" t="s">
        <v>17</v>
      </c>
      <c r="B176" s="4">
        <v>45982</v>
      </c>
      <c r="C176" s="5">
        <v>0.43372685185185184</v>
      </c>
      <c r="D176" t="s">
        <v>4</v>
      </c>
      <c r="E176" t="s">
        <v>8</v>
      </c>
      <c r="H176" s="7" t="s">
        <v>2967</v>
      </c>
      <c r="I176" t="s">
        <v>2854</v>
      </c>
      <c r="J176" t="s">
        <v>2985</v>
      </c>
      <c r="K176" t="s">
        <v>2855</v>
      </c>
      <c r="L176" t="s">
        <v>2856</v>
      </c>
      <c r="M176" s="3" t="str">
        <f>HYPERLINK(склад2въезд131920212223[[#This Row],[RelativePath]])</f>
        <v>10 Сушилка навес\E33149364_3_20251121T102434Z.jpg</v>
      </c>
    </row>
    <row r="177" spans="1:13" x14ac:dyDescent="0.25">
      <c r="A177" s="2" t="s">
        <v>17</v>
      </c>
      <c r="B177" s="4">
        <v>45982</v>
      </c>
      <c r="C177" s="5">
        <v>0.43914351851851852</v>
      </c>
      <c r="D177" t="s">
        <v>533</v>
      </c>
      <c r="E177" t="s">
        <v>1607</v>
      </c>
      <c r="F177" t="s">
        <v>58</v>
      </c>
      <c r="H177" t="s">
        <v>2958</v>
      </c>
      <c r="I177" t="s">
        <v>2857</v>
      </c>
      <c r="J177" t="s">
        <v>2985</v>
      </c>
      <c r="K177" t="s">
        <v>2858</v>
      </c>
      <c r="L177" t="s">
        <v>2859</v>
      </c>
      <c r="M177" s="3" t="str">
        <f>HYPERLINK(склад2въезд131920212223[[#This Row],[RelativePath]])</f>
        <v>10 Сушилка навес\E33149364_3_20251121T103222Z.jpg</v>
      </c>
    </row>
    <row r="178" spans="1:13" x14ac:dyDescent="0.25">
      <c r="A178" s="2" t="s">
        <v>17</v>
      </c>
      <c r="B178" s="4">
        <v>45982</v>
      </c>
      <c r="C178" s="5">
        <v>0.4392361111111111</v>
      </c>
      <c r="D178" t="s">
        <v>2966</v>
      </c>
      <c r="E178" t="s">
        <v>1607</v>
      </c>
      <c r="F178" t="s">
        <v>58</v>
      </c>
      <c r="H178" t="s">
        <v>2958</v>
      </c>
      <c r="I178" t="s">
        <v>2860</v>
      </c>
      <c r="J178" t="s">
        <v>2985</v>
      </c>
      <c r="K178" t="s">
        <v>2861</v>
      </c>
      <c r="L178" t="s">
        <v>2862</v>
      </c>
      <c r="M178" s="3" t="str">
        <f>HYPERLINK(склад2въезд131920212223[[#This Row],[RelativePath]])</f>
        <v>10 Сушилка навес\E33149364_3_20251121T103230Z.jpg</v>
      </c>
    </row>
    <row r="179" spans="1:13" x14ac:dyDescent="0.25">
      <c r="A179" s="2" t="s">
        <v>17</v>
      </c>
      <c r="B179" s="4">
        <v>45982</v>
      </c>
      <c r="C179" s="5">
        <v>0.61430555555555555</v>
      </c>
      <c r="D179" t="s">
        <v>533</v>
      </c>
      <c r="E179" t="s">
        <v>1607</v>
      </c>
      <c r="F179" t="s">
        <v>58</v>
      </c>
      <c r="H179" t="s">
        <v>2954</v>
      </c>
      <c r="I179" t="s">
        <v>2863</v>
      </c>
      <c r="J179" t="s">
        <v>2985</v>
      </c>
      <c r="K179" t="s">
        <v>2864</v>
      </c>
      <c r="L179" t="s">
        <v>2865</v>
      </c>
      <c r="M179" s="3" t="str">
        <f>HYPERLINK(склад2въезд131920212223[[#This Row],[RelativePath]])</f>
        <v>10 Сушилка навес\E33149364_3_20251121T144436Z.jpg</v>
      </c>
    </row>
    <row r="180" spans="1:13" x14ac:dyDescent="0.25">
      <c r="A180" s="2" t="s">
        <v>17</v>
      </c>
      <c r="B180" s="4">
        <v>45982</v>
      </c>
      <c r="C180" s="5">
        <v>0.61451388888888892</v>
      </c>
      <c r="D180" t="s">
        <v>2966</v>
      </c>
      <c r="E180" t="s">
        <v>1607</v>
      </c>
      <c r="F180" t="s">
        <v>58</v>
      </c>
      <c r="H180" t="s">
        <v>2954</v>
      </c>
      <c r="I180" t="s">
        <v>2866</v>
      </c>
      <c r="J180" t="s">
        <v>2985</v>
      </c>
      <c r="K180" t="s">
        <v>2867</v>
      </c>
      <c r="L180" t="s">
        <v>2868</v>
      </c>
      <c r="M180" s="3" t="str">
        <f>HYPERLINK(склад2въезд131920212223[[#This Row],[RelativePath]])</f>
        <v>10 Сушилка навес\E33149364_3_20251121T144454Z.jpg</v>
      </c>
    </row>
    <row r="181" spans="1:13" x14ac:dyDescent="0.25">
      <c r="A181" s="2" t="s">
        <v>17</v>
      </c>
      <c r="B181" s="4">
        <v>45982</v>
      </c>
      <c r="C181" s="5">
        <v>0.61476851851851855</v>
      </c>
      <c r="D181" t="s">
        <v>2966</v>
      </c>
      <c r="E181" t="s">
        <v>1607</v>
      </c>
      <c r="F181" t="s">
        <v>58</v>
      </c>
      <c r="H181" t="s">
        <v>2954</v>
      </c>
      <c r="I181" t="s">
        <v>2869</v>
      </c>
      <c r="J181" t="s">
        <v>2985</v>
      </c>
      <c r="K181" t="s">
        <v>2870</v>
      </c>
      <c r="L181" t="s">
        <v>2871</v>
      </c>
      <c r="M181" s="3" t="str">
        <f>HYPERLINK(склад2въезд131920212223[[#This Row],[RelativePath]])</f>
        <v>10 Сушилка навес\E33149364_3_20251121T144516Z.jpg</v>
      </c>
    </row>
    <row r="182" spans="1:13" x14ac:dyDescent="0.25">
      <c r="A182" s="2" t="s">
        <v>17</v>
      </c>
      <c r="B182" s="4">
        <v>45982</v>
      </c>
      <c r="C182" s="5">
        <v>0.61885416666666671</v>
      </c>
      <c r="D182" t="s">
        <v>2966</v>
      </c>
      <c r="E182" t="s">
        <v>1607</v>
      </c>
      <c r="F182" t="s">
        <v>58</v>
      </c>
      <c r="H182" t="s">
        <v>2954</v>
      </c>
      <c r="I182" t="s">
        <v>2872</v>
      </c>
      <c r="J182" t="s">
        <v>2985</v>
      </c>
      <c r="K182" t="s">
        <v>2873</v>
      </c>
      <c r="L182" t="s">
        <v>2874</v>
      </c>
      <c r="M182" s="3" t="str">
        <f>HYPERLINK(склад2въезд131920212223[[#This Row],[RelativePath]])</f>
        <v>10 Сушилка навес\E33149364_3_20251121T145109Z.jpg</v>
      </c>
    </row>
    <row r="183" spans="1:13" x14ac:dyDescent="0.25">
      <c r="A183" s="2" t="s">
        <v>17</v>
      </c>
      <c r="B183" s="4">
        <v>45982</v>
      </c>
      <c r="C183" s="5">
        <v>0.67307870370370371</v>
      </c>
      <c r="D183" t="s">
        <v>533</v>
      </c>
      <c r="E183" t="s">
        <v>1607</v>
      </c>
      <c r="F183" t="s">
        <v>58</v>
      </c>
      <c r="H183" t="s">
        <v>1611</v>
      </c>
      <c r="I183" t="s">
        <v>2875</v>
      </c>
      <c r="J183" t="s">
        <v>2985</v>
      </c>
      <c r="K183" t="s">
        <v>2876</v>
      </c>
      <c r="L183" t="s">
        <v>2877</v>
      </c>
      <c r="M183" s="3" t="str">
        <f>HYPERLINK(склад2въезд131920212223[[#This Row],[RelativePath]])</f>
        <v>10 Сушилка навес\E33149364_3_20251121T160914Z.jpg</v>
      </c>
    </row>
    <row r="184" spans="1:13" x14ac:dyDescent="0.25">
      <c r="A184" s="2" t="s">
        <v>17</v>
      </c>
      <c r="B184" s="4">
        <v>45982</v>
      </c>
      <c r="C184" s="5">
        <v>0.67358796296296297</v>
      </c>
      <c r="D184" t="s">
        <v>533</v>
      </c>
      <c r="E184" t="s">
        <v>1607</v>
      </c>
      <c r="F184" t="s">
        <v>58</v>
      </c>
      <c r="H184" t="s">
        <v>1611</v>
      </c>
      <c r="I184" t="s">
        <v>2878</v>
      </c>
      <c r="J184" t="s">
        <v>2985</v>
      </c>
      <c r="K184" t="s">
        <v>2879</v>
      </c>
      <c r="L184" t="s">
        <v>2880</v>
      </c>
      <c r="M184" s="3" t="str">
        <f>HYPERLINK(склад2въезд131920212223[[#This Row],[RelativePath]])</f>
        <v>10 Сушилка навес\E33149364_3_20251121T160958Z.jpg</v>
      </c>
    </row>
    <row r="185" spans="1:13" x14ac:dyDescent="0.25">
      <c r="A185" s="2" t="s">
        <v>17</v>
      </c>
      <c r="B185" s="4">
        <v>45982</v>
      </c>
      <c r="C185" s="5">
        <v>0.6746064814814815</v>
      </c>
      <c r="D185" t="s">
        <v>4</v>
      </c>
      <c r="E185" t="s">
        <v>8</v>
      </c>
      <c r="I185" t="s">
        <v>2881</v>
      </c>
      <c r="J185" t="s">
        <v>2985</v>
      </c>
      <c r="K185" t="s">
        <v>2882</v>
      </c>
      <c r="L185" t="s">
        <v>2883</v>
      </c>
      <c r="M185" s="3" t="str">
        <f>HYPERLINK(склад2въезд131920212223[[#This Row],[RelativePath]])</f>
        <v>10 Сушилка навес\E33149364_3_20251121T161126Z.jpg</v>
      </c>
    </row>
    <row r="186" spans="1:13" x14ac:dyDescent="0.25">
      <c r="A186" s="2" t="s">
        <v>18</v>
      </c>
      <c r="B186" s="4">
        <v>45983</v>
      </c>
      <c r="C186" s="5">
        <v>0.42274305555555558</v>
      </c>
      <c r="D186" t="s">
        <v>4</v>
      </c>
      <c r="E186" t="s">
        <v>8</v>
      </c>
      <c r="I186" t="s">
        <v>2884</v>
      </c>
      <c r="J186" t="s">
        <v>2985</v>
      </c>
      <c r="K186" t="s">
        <v>2885</v>
      </c>
      <c r="L186" t="s">
        <v>2886</v>
      </c>
      <c r="M186" s="3" t="str">
        <f>HYPERLINK(склад2въезд131920212223[[#This Row],[RelativePath]])</f>
        <v>10 Сушилка навес\E33149364_3_20251122T100845Z.jpg</v>
      </c>
    </row>
    <row r="187" spans="1:13" x14ac:dyDescent="0.25">
      <c r="A187" s="2" t="s">
        <v>18</v>
      </c>
      <c r="B187" s="4">
        <v>45983</v>
      </c>
      <c r="C187" s="5">
        <v>0.72896990740740741</v>
      </c>
      <c r="D187" t="s">
        <v>2004</v>
      </c>
      <c r="I187" t="s">
        <v>2887</v>
      </c>
      <c r="J187" t="s">
        <v>2985</v>
      </c>
      <c r="K187" t="s">
        <v>2888</v>
      </c>
      <c r="L187" t="s">
        <v>2889</v>
      </c>
      <c r="M187" s="3" t="str">
        <f>HYPERLINK(склад2въезд131920212223[[#This Row],[RelativePath]])</f>
        <v>10 Сушилка навес\E33149364_3_20251122T172943Z.jpg</v>
      </c>
    </row>
    <row r="188" spans="1:13" x14ac:dyDescent="0.25">
      <c r="A188" s="2" t="s">
        <v>22</v>
      </c>
      <c r="B188" s="4">
        <v>45984</v>
      </c>
      <c r="C188" s="5">
        <v>0.4478240740740741</v>
      </c>
      <c r="D188" t="s">
        <v>4</v>
      </c>
      <c r="E188" t="s">
        <v>8</v>
      </c>
      <c r="I188" t="s">
        <v>2890</v>
      </c>
      <c r="J188" t="s">
        <v>2985</v>
      </c>
      <c r="K188" t="s">
        <v>2891</v>
      </c>
      <c r="L188" t="s">
        <v>2892</v>
      </c>
      <c r="M188" s="3" t="str">
        <f>HYPERLINK(склад2въезд131920212223[[#This Row],[RelativePath]])</f>
        <v>10 Сушилка навес\E33149364_3_20251123T104452Z.jpg</v>
      </c>
    </row>
    <row r="189" spans="1:13" x14ac:dyDescent="0.25">
      <c r="A189" s="2" t="s">
        <v>22</v>
      </c>
      <c r="B189" s="4">
        <v>45984</v>
      </c>
      <c r="C189" s="5">
        <v>0.66658564814814814</v>
      </c>
      <c r="D189" t="s">
        <v>2004</v>
      </c>
      <c r="I189" t="s">
        <v>2893</v>
      </c>
      <c r="J189" t="s">
        <v>2985</v>
      </c>
      <c r="K189" t="s">
        <v>2894</v>
      </c>
      <c r="L189" t="s">
        <v>2895</v>
      </c>
      <c r="M189" s="3" t="str">
        <f>HYPERLINK(склад2въезд131920212223[[#This Row],[RelativePath]])</f>
        <v>10 Сушилка навес\E33149364_3_20251123T155953Z.jpg</v>
      </c>
    </row>
    <row r="190" spans="1:13" x14ac:dyDescent="0.25">
      <c r="A190" s="2" t="s">
        <v>13</v>
      </c>
      <c r="B190" s="4">
        <v>45985</v>
      </c>
      <c r="C190" s="5">
        <v>0.40252314814814816</v>
      </c>
      <c r="D190" t="s">
        <v>4223</v>
      </c>
      <c r="E190" t="s">
        <v>86</v>
      </c>
      <c r="F190" t="s">
        <v>200</v>
      </c>
      <c r="H190" t="s">
        <v>4224</v>
      </c>
      <c r="I190" t="s">
        <v>3868</v>
      </c>
      <c r="J190" t="s">
        <v>2985</v>
      </c>
      <c r="K190" t="s">
        <v>3869</v>
      </c>
      <c r="L190" t="s">
        <v>3870</v>
      </c>
      <c r="M190" s="3" t="str">
        <f>HYPERLINK(склад2въезд131920212223[[#This Row],[RelativePath]])</f>
        <v>10 Сушилка навес\E33149364_3_20251124T093938Z.jpg</v>
      </c>
    </row>
    <row r="191" spans="1:13" x14ac:dyDescent="0.25">
      <c r="A191" s="2" t="s">
        <v>13</v>
      </c>
      <c r="B191" s="4">
        <v>45985</v>
      </c>
      <c r="C191" s="5">
        <v>0.43296296296296294</v>
      </c>
      <c r="D191" t="s">
        <v>4225</v>
      </c>
      <c r="E191" t="s">
        <v>86</v>
      </c>
      <c r="I191" t="s">
        <v>3871</v>
      </c>
      <c r="J191" t="s">
        <v>2985</v>
      </c>
      <c r="K191" t="s">
        <v>3872</v>
      </c>
      <c r="L191" t="s">
        <v>3873</v>
      </c>
      <c r="M191" s="3" t="str">
        <f>HYPERLINK(склад2въезд131920212223[[#This Row],[RelativePath]])</f>
        <v>10 Сушилка навес\E33149364_3_20251124T102328Z.jpg</v>
      </c>
    </row>
    <row r="192" spans="1:13" x14ac:dyDescent="0.25">
      <c r="A192" s="2" t="s">
        <v>13</v>
      </c>
      <c r="B192" s="4">
        <v>45985</v>
      </c>
      <c r="C192" s="5">
        <v>0.7056365740740741</v>
      </c>
      <c r="D192" t="s">
        <v>4223</v>
      </c>
      <c r="E192" t="s">
        <v>86</v>
      </c>
      <c r="F192" t="s">
        <v>200</v>
      </c>
      <c r="H192" t="s">
        <v>1605</v>
      </c>
      <c r="I192" t="s">
        <v>3874</v>
      </c>
      <c r="J192" t="s">
        <v>2985</v>
      </c>
      <c r="K192" t="s">
        <v>3875</v>
      </c>
      <c r="L192" t="s">
        <v>3876</v>
      </c>
      <c r="M192" s="3" t="str">
        <f>HYPERLINK(склад2въезд131920212223[[#This Row],[RelativePath]])</f>
        <v>10 Сушилка навес\E33149364_3_20251124T165607Z.jpg</v>
      </c>
    </row>
    <row r="193" spans="1:13" x14ac:dyDescent="0.25">
      <c r="A193" s="2" t="s">
        <v>13</v>
      </c>
      <c r="B193" s="4">
        <v>45985</v>
      </c>
      <c r="C193" s="5">
        <v>0.73903935185185188</v>
      </c>
      <c r="D193" t="s">
        <v>1606</v>
      </c>
      <c r="E193" t="s">
        <v>70</v>
      </c>
      <c r="F193" t="s">
        <v>1609</v>
      </c>
      <c r="I193" t="s">
        <v>3877</v>
      </c>
      <c r="J193" t="s">
        <v>2985</v>
      </c>
      <c r="K193" t="s">
        <v>3878</v>
      </c>
      <c r="L193" t="s">
        <v>3879</v>
      </c>
      <c r="M193" s="3" t="str">
        <f>HYPERLINK(склад2въезд131920212223[[#This Row],[RelativePath]])</f>
        <v>10 Сушилка навес\E33149364_3_20251124T174413Z.jpg</v>
      </c>
    </row>
    <row r="194" spans="1:13" x14ac:dyDescent="0.25">
      <c r="A194" s="2" t="s">
        <v>13</v>
      </c>
      <c r="B194" s="4">
        <v>45985</v>
      </c>
      <c r="C194" s="5">
        <v>0.74380787037037033</v>
      </c>
      <c r="D194" t="s">
        <v>4226</v>
      </c>
      <c r="E194" t="s">
        <v>70</v>
      </c>
      <c r="F194" t="s">
        <v>58</v>
      </c>
      <c r="I194" t="s">
        <v>3880</v>
      </c>
      <c r="J194" t="s">
        <v>2985</v>
      </c>
      <c r="K194" t="s">
        <v>3881</v>
      </c>
      <c r="L194" t="s">
        <v>3882</v>
      </c>
      <c r="M194" s="3" t="str">
        <f>HYPERLINK(склад2въезд131920212223[[#This Row],[RelativePath]])</f>
        <v>10 Сушилка навес\E33149364_3_20251124T175105Z.jpg</v>
      </c>
    </row>
    <row r="195" spans="1:13" x14ac:dyDescent="0.25">
      <c r="A195" s="2" t="s">
        <v>13</v>
      </c>
      <c r="B195" s="4">
        <v>45985</v>
      </c>
      <c r="C195" s="5">
        <v>0.75608796296296299</v>
      </c>
      <c r="D195" t="s">
        <v>650</v>
      </c>
      <c r="E195" t="s">
        <v>70</v>
      </c>
      <c r="I195" t="s">
        <v>3883</v>
      </c>
      <c r="J195" t="s">
        <v>2985</v>
      </c>
      <c r="K195" t="s">
        <v>3884</v>
      </c>
      <c r="L195" t="s">
        <v>3885</v>
      </c>
      <c r="M195" s="3" t="str">
        <f>HYPERLINK(склад2въезд131920212223[[#This Row],[RelativePath]])</f>
        <v>10 Сушилка навес\E33149364_3_20251124T180846Z.jpg</v>
      </c>
    </row>
    <row r="196" spans="1:13" x14ac:dyDescent="0.25">
      <c r="A196" s="2" t="s">
        <v>14</v>
      </c>
      <c r="B196" s="4">
        <v>45986</v>
      </c>
      <c r="C196" s="5">
        <v>0.37829861111111113</v>
      </c>
      <c r="D196" t="s">
        <v>4</v>
      </c>
      <c r="E196" t="s">
        <v>8</v>
      </c>
      <c r="I196" t="s">
        <v>3886</v>
      </c>
      <c r="J196" t="s">
        <v>2985</v>
      </c>
      <c r="K196" t="s">
        <v>3887</v>
      </c>
      <c r="L196" t="s">
        <v>3888</v>
      </c>
      <c r="M196" s="3" t="str">
        <f>HYPERLINK(склад2въезд131920212223[[#This Row],[RelativePath]])</f>
        <v>10 Сушилка навес\E33149364_3_20251125T090445Z.jpg</v>
      </c>
    </row>
    <row r="197" spans="1:13" x14ac:dyDescent="0.25">
      <c r="A197" s="2" t="s">
        <v>14</v>
      </c>
      <c r="B197" s="4">
        <v>45986</v>
      </c>
      <c r="C197" s="5">
        <v>0.38685185185185184</v>
      </c>
      <c r="D197" t="s">
        <v>4227</v>
      </c>
      <c r="E197" t="s">
        <v>4228</v>
      </c>
      <c r="F197" t="s">
        <v>58</v>
      </c>
      <c r="H197" t="s">
        <v>4229</v>
      </c>
      <c r="I197" t="s">
        <v>3889</v>
      </c>
      <c r="J197" t="s">
        <v>2985</v>
      </c>
      <c r="K197" t="s">
        <v>3890</v>
      </c>
      <c r="L197" t="s">
        <v>3891</v>
      </c>
      <c r="M197" s="3" t="str">
        <f>HYPERLINK(склад2въезд131920212223[[#This Row],[RelativePath]])</f>
        <v>10 Сушилка навес\E33149364_3_20251125T091704Z.jpg</v>
      </c>
    </row>
    <row r="198" spans="1:13" x14ac:dyDescent="0.25">
      <c r="A198" s="2" t="s">
        <v>14</v>
      </c>
      <c r="B198" s="4">
        <v>45986</v>
      </c>
      <c r="C198" s="5">
        <v>0.38791666666666669</v>
      </c>
      <c r="D198" t="s">
        <v>4</v>
      </c>
      <c r="E198" t="s">
        <v>8</v>
      </c>
      <c r="I198" t="s">
        <v>3892</v>
      </c>
      <c r="J198" t="s">
        <v>2985</v>
      </c>
      <c r="K198" t="s">
        <v>3893</v>
      </c>
      <c r="L198" t="s">
        <v>3894</v>
      </c>
      <c r="M198" s="3" t="str">
        <f>HYPERLINK(склад2въезд131920212223[[#This Row],[RelativePath]])</f>
        <v>10 Сушилка навес\E33149364_3_20251125T091836Z.jpg</v>
      </c>
    </row>
    <row r="199" spans="1:13" x14ac:dyDescent="0.25">
      <c r="A199" s="2" t="s">
        <v>14</v>
      </c>
      <c r="B199" s="4">
        <v>45986</v>
      </c>
      <c r="C199" s="5">
        <v>0.39575231481481482</v>
      </c>
      <c r="D199" t="s">
        <v>4</v>
      </c>
      <c r="E199" t="s">
        <v>8</v>
      </c>
      <c r="H199" t="s">
        <v>2936</v>
      </c>
      <c r="I199" t="s">
        <v>3895</v>
      </c>
      <c r="J199" t="s">
        <v>2985</v>
      </c>
      <c r="K199" t="s">
        <v>3896</v>
      </c>
      <c r="L199" t="s">
        <v>3897</v>
      </c>
      <c r="M199" s="3" t="str">
        <f>HYPERLINK(склад2въезд131920212223[[#This Row],[RelativePath]])</f>
        <v>10 Сушилка навес\E33149364_3_20251125T092953Z.jpg</v>
      </c>
    </row>
    <row r="200" spans="1:13" x14ac:dyDescent="0.25">
      <c r="A200" s="2" t="s">
        <v>14</v>
      </c>
      <c r="B200" s="4">
        <v>45986</v>
      </c>
      <c r="C200" s="5">
        <v>0.40773148148148147</v>
      </c>
      <c r="D200" t="s">
        <v>4</v>
      </c>
      <c r="E200" t="s">
        <v>8</v>
      </c>
      <c r="H200" t="s">
        <v>2936</v>
      </c>
      <c r="I200" t="s">
        <v>3898</v>
      </c>
      <c r="J200" t="s">
        <v>2985</v>
      </c>
      <c r="K200" t="s">
        <v>3899</v>
      </c>
      <c r="L200" t="s">
        <v>3900</v>
      </c>
      <c r="M200" s="3" t="str">
        <f>HYPERLINK(склад2въезд131920212223[[#This Row],[RelativePath]])</f>
        <v>10 Сушилка навес\E33149364_3_20251125T094708Z.jpg</v>
      </c>
    </row>
    <row r="201" spans="1:13" x14ac:dyDescent="0.25">
      <c r="A201" s="2" t="s">
        <v>14</v>
      </c>
      <c r="B201" s="4">
        <v>45986</v>
      </c>
      <c r="C201" s="5">
        <v>0.52005787037037032</v>
      </c>
      <c r="D201" t="s">
        <v>4223</v>
      </c>
      <c r="E201" t="s">
        <v>86</v>
      </c>
      <c r="F201" t="s">
        <v>528</v>
      </c>
      <c r="H201" t="s">
        <v>1605</v>
      </c>
      <c r="I201" t="s">
        <v>3901</v>
      </c>
      <c r="J201" t="s">
        <v>2985</v>
      </c>
      <c r="K201" t="s">
        <v>3902</v>
      </c>
      <c r="L201" t="s">
        <v>3903</v>
      </c>
      <c r="M201" s="3" t="str">
        <f>HYPERLINK(склад2въезд131920212223[[#This Row],[RelativePath]])</f>
        <v>10 Сушилка навес\E33149364_3_20251125T122853Z.jpg</v>
      </c>
    </row>
    <row r="202" spans="1:13" x14ac:dyDescent="0.25">
      <c r="A202" s="2" t="s">
        <v>14</v>
      </c>
      <c r="B202" s="4">
        <v>45986</v>
      </c>
      <c r="C202" s="5">
        <v>0.60111111111111115</v>
      </c>
      <c r="D202" t="s">
        <v>1606</v>
      </c>
      <c r="E202" t="s">
        <v>70</v>
      </c>
      <c r="F202" t="s">
        <v>1609</v>
      </c>
      <c r="I202" t="s">
        <v>3904</v>
      </c>
      <c r="J202" t="s">
        <v>2985</v>
      </c>
      <c r="K202" t="s">
        <v>3905</v>
      </c>
      <c r="L202" t="s">
        <v>3906</v>
      </c>
      <c r="M202" s="3" t="str">
        <f>HYPERLINK(склад2въезд131920212223[[#This Row],[RelativePath]])</f>
        <v>10 Сушилка навес\E33149364_3_20251125T142536Z.jpg</v>
      </c>
    </row>
    <row r="203" spans="1:13" x14ac:dyDescent="0.25">
      <c r="A203" s="2" t="s">
        <v>14</v>
      </c>
      <c r="B203" s="4">
        <v>45986</v>
      </c>
      <c r="C203" s="5">
        <v>0.60226851851851848</v>
      </c>
      <c r="D203" t="s">
        <v>4</v>
      </c>
      <c r="E203" t="s">
        <v>70</v>
      </c>
      <c r="H203" t="s">
        <v>4230</v>
      </c>
      <c r="I203" t="s">
        <v>3907</v>
      </c>
      <c r="J203" t="s">
        <v>2985</v>
      </c>
      <c r="K203" t="s">
        <v>3908</v>
      </c>
      <c r="L203" t="s">
        <v>3909</v>
      </c>
      <c r="M203" s="3" t="str">
        <f>HYPERLINK(склад2въезд131920212223[[#This Row],[RelativePath]])</f>
        <v>10 Сушилка навес\E33149364_3_20251125T142716Z.jpg</v>
      </c>
    </row>
    <row r="204" spans="1:13" x14ac:dyDescent="0.25">
      <c r="A204" s="2" t="s">
        <v>14</v>
      </c>
      <c r="B204" s="4">
        <v>45986</v>
      </c>
      <c r="C204" s="5">
        <v>0.60425925925925927</v>
      </c>
      <c r="D204" t="s">
        <v>533</v>
      </c>
      <c r="E204" t="s">
        <v>1607</v>
      </c>
      <c r="F204" t="s">
        <v>58</v>
      </c>
      <c r="H204" t="s">
        <v>1605</v>
      </c>
      <c r="I204" t="s">
        <v>3910</v>
      </c>
      <c r="J204" t="s">
        <v>2985</v>
      </c>
      <c r="K204" t="s">
        <v>3911</v>
      </c>
      <c r="L204" t="s">
        <v>3912</v>
      </c>
      <c r="M204" s="3" t="str">
        <f>HYPERLINK(склад2въезд131920212223[[#This Row],[RelativePath]])</f>
        <v>10 Сушилка навес\E33149364_3_20251125T143008Z.jpg</v>
      </c>
    </row>
    <row r="205" spans="1:13" x14ac:dyDescent="0.25">
      <c r="A205" s="2" t="s">
        <v>14</v>
      </c>
      <c r="B205" s="4">
        <v>45986</v>
      </c>
      <c r="C205" s="5">
        <v>0.60737268518518517</v>
      </c>
      <c r="D205" t="s">
        <v>533</v>
      </c>
      <c r="E205" t="s">
        <v>1607</v>
      </c>
      <c r="F205" t="s">
        <v>58</v>
      </c>
      <c r="H205" t="s">
        <v>1605</v>
      </c>
      <c r="I205" t="s">
        <v>3913</v>
      </c>
      <c r="J205" t="s">
        <v>2985</v>
      </c>
      <c r="K205" t="s">
        <v>3914</v>
      </c>
      <c r="L205" t="s">
        <v>3915</v>
      </c>
      <c r="M205" s="3" t="str">
        <f>HYPERLINK(склад2въезд131920212223[[#This Row],[RelativePath]])</f>
        <v>10 Сушилка навес\E33149364_3_20251125T143437Z.jpg</v>
      </c>
    </row>
    <row r="206" spans="1:13" x14ac:dyDescent="0.25">
      <c r="A206" s="2" t="s">
        <v>14</v>
      </c>
      <c r="B206" s="4">
        <v>45986</v>
      </c>
      <c r="C206" s="5">
        <v>0.61523148148148143</v>
      </c>
      <c r="D206" t="s">
        <v>290</v>
      </c>
      <c r="E206" t="s">
        <v>70</v>
      </c>
      <c r="F206" t="s">
        <v>4231</v>
      </c>
      <c r="H206" t="s">
        <v>1611</v>
      </c>
      <c r="I206" t="s">
        <v>3916</v>
      </c>
      <c r="J206" t="s">
        <v>2985</v>
      </c>
      <c r="K206" t="s">
        <v>3917</v>
      </c>
      <c r="L206" t="s">
        <v>3918</v>
      </c>
      <c r="M206" s="3" t="str">
        <f>HYPERLINK(склад2въезд131920212223[[#This Row],[RelativePath]])</f>
        <v>10 Сушилка навес\E33149364_3_20251125T144556Z.jpg</v>
      </c>
    </row>
    <row r="207" spans="1:13" x14ac:dyDescent="0.25">
      <c r="A207" s="2" t="s">
        <v>14</v>
      </c>
      <c r="B207" s="4">
        <v>45986</v>
      </c>
      <c r="C207" s="5">
        <v>0.61534722222222227</v>
      </c>
      <c r="D207" t="s">
        <v>290</v>
      </c>
      <c r="E207" t="s">
        <v>70</v>
      </c>
      <c r="F207" t="s">
        <v>4231</v>
      </c>
      <c r="H207" t="s">
        <v>2936</v>
      </c>
      <c r="I207" t="s">
        <v>3919</v>
      </c>
      <c r="J207" t="s">
        <v>2985</v>
      </c>
      <c r="K207" t="s">
        <v>3920</v>
      </c>
      <c r="L207" t="s">
        <v>3921</v>
      </c>
      <c r="M207" s="3" t="str">
        <f>HYPERLINK(склад2въезд131920212223[[#This Row],[RelativePath]])</f>
        <v>10 Сушилка навес\E33149364_3_20251125T144606Z.jpg</v>
      </c>
    </row>
    <row r="208" spans="1:13" x14ac:dyDescent="0.25">
      <c r="A208" s="2" t="s">
        <v>14</v>
      </c>
      <c r="B208" s="4">
        <v>45986</v>
      </c>
      <c r="C208" s="5">
        <v>0.61624999999999996</v>
      </c>
      <c r="D208" t="s">
        <v>290</v>
      </c>
      <c r="E208" t="s">
        <v>70</v>
      </c>
      <c r="F208" t="s">
        <v>4231</v>
      </c>
      <c r="H208" t="s">
        <v>1611</v>
      </c>
      <c r="I208" t="s">
        <v>3922</v>
      </c>
      <c r="J208" t="s">
        <v>2985</v>
      </c>
      <c r="K208" t="s">
        <v>3923</v>
      </c>
      <c r="L208" t="s">
        <v>3924</v>
      </c>
      <c r="M208" s="3" t="str">
        <f>HYPERLINK(склад2въезд131920212223[[#This Row],[RelativePath]])</f>
        <v>10 Сушилка навес\E33149364_3_20251125T144724Z.jpg</v>
      </c>
    </row>
    <row r="209" spans="1:13" x14ac:dyDescent="0.25">
      <c r="A209" s="2" t="s">
        <v>14</v>
      </c>
      <c r="B209" s="4">
        <v>45986</v>
      </c>
      <c r="C209" s="5">
        <v>0.61667824074074074</v>
      </c>
      <c r="D209" t="s">
        <v>290</v>
      </c>
      <c r="E209" t="s">
        <v>70</v>
      </c>
      <c r="F209" t="s">
        <v>4231</v>
      </c>
      <c r="H209" t="s">
        <v>2954</v>
      </c>
      <c r="I209" t="s">
        <v>3925</v>
      </c>
      <c r="J209" t="s">
        <v>2985</v>
      </c>
      <c r="K209" t="s">
        <v>3926</v>
      </c>
      <c r="L209" t="s">
        <v>3927</v>
      </c>
      <c r="M209" s="3" t="str">
        <f>HYPERLINK(склад2въезд131920212223[[#This Row],[RelativePath]])</f>
        <v>10 Сушилка навес\E33149364_3_20251125T144801Z.jpg</v>
      </c>
    </row>
    <row r="210" spans="1:13" x14ac:dyDescent="0.25">
      <c r="A210" s="2" t="s">
        <v>14</v>
      </c>
      <c r="B210" s="4">
        <v>45986</v>
      </c>
      <c r="C210" s="5">
        <v>0.62826388888888884</v>
      </c>
      <c r="D210" t="s">
        <v>289</v>
      </c>
      <c r="E210" t="s">
        <v>70</v>
      </c>
      <c r="F210" t="s">
        <v>58</v>
      </c>
      <c r="H210" t="s">
        <v>1620</v>
      </c>
      <c r="I210" t="s">
        <v>3928</v>
      </c>
      <c r="J210" t="s">
        <v>2985</v>
      </c>
      <c r="K210" t="s">
        <v>3929</v>
      </c>
      <c r="L210" t="s">
        <v>3930</v>
      </c>
      <c r="M210" s="3" t="str">
        <f>HYPERLINK(склад2въезд131920212223[[#This Row],[RelativePath]])</f>
        <v>10 Сушилка навес\E33149364_3_20251125T150442Z.jpg</v>
      </c>
    </row>
    <row r="211" spans="1:13" x14ac:dyDescent="0.25">
      <c r="A211" s="2" t="s">
        <v>14</v>
      </c>
      <c r="B211" s="4">
        <v>45986</v>
      </c>
      <c r="C211" s="5">
        <v>0.62843749999999998</v>
      </c>
      <c r="D211" t="s">
        <v>289</v>
      </c>
      <c r="E211" t="s">
        <v>70</v>
      </c>
      <c r="F211" t="s">
        <v>58</v>
      </c>
      <c r="H211" t="s">
        <v>2936</v>
      </c>
      <c r="I211" t="s">
        <v>3931</v>
      </c>
      <c r="J211" t="s">
        <v>2985</v>
      </c>
      <c r="K211" t="s">
        <v>3932</v>
      </c>
      <c r="L211" t="s">
        <v>3933</v>
      </c>
      <c r="M211" s="3" t="str">
        <f>HYPERLINK(склад2въезд131920212223[[#This Row],[RelativePath]])</f>
        <v>10 Сушилка навес\E33149364_3_20251125T150457Z.jpg</v>
      </c>
    </row>
    <row r="212" spans="1:13" x14ac:dyDescent="0.25">
      <c r="A212" s="2" t="s">
        <v>14</v>
      </c>
      <c r="B212" s="4">
        <v>45986</v>
      </c>
      <c r="C212" s="5">
        <v>0.62910879629629635</v>
      </c>
      <c r="D212" t="s">
        <v>289</v>
      </c>
      <c r="E212" t="s">
        <v>70</v>
      </c>
      <c r="F212" t="s">
        <v>58</v>
      </c>
      <c r="H212" t="s">
        <v>2936</v>
      </c>
      <c r="I212" t="s">
        <v>3934</v>
      </c>
      <c r="J212" t="s">
        <v>2985</v>
      </c>
      <c r="K212" t="s">
        <v>3935</v>
      </c>
      <c r="L212" t="s">
        <v>3936</v>
      </c>
      <c r="M212" s="3" t="str">
        <f>HYPERLINK(склад2въезд131920212223[[#This Row],[RelativePath]])</f>
        <v>10 Сушилка навес\E33149364_3_20251125T150555Z.jpg</v>
      </c>
    </row>
    <row r="213" spans="1:13" x14ac:dyDescent="0.25">
      <c r="A213" s="2" t="s">
        <v>14</v>
      </c>
      <c r="B213" s="4">
        <v>45986</v>
      </c>
      <c r="C213" s="5">
        <v>0.62981481481481483</v>
      </c>
      <c r="D213" t="s">
        <v>289</v>
      </c>
      <c r="E213" t="s">
        <v>70</v>
      </c>
      <c r="F213" t="s">
        <v>58</v>
      </c>
      <c r="H213" t="s">
        <v>2936</v>
      </c>
      <c r="I213" t="s">
        <v>3937</v>
      </c>
      <c r="J213" t="s">
        <v>2985</v>
      </c>
      <c r="K213" t="s">
        <v>3938</v>
      </c>
      <c r="L213" t="s">
        <v>3939</v>
      </c>
      <c r="M213" s="3" t="str">
        <f>HYPERLINK(склад2въезд131920212223[[#This Row],[RelativePath]])</f>
        <v>10 Сушилка навес\E33149364_3_20251125T150656Z.jpg</v>
      </c>
    </row>
    <row r="214" spans="1:13" x14ac:dyDescent="0.25">
      <c r="A214" s="2" t="s">
        <v>14</v>
      </c>
      <c r="B214" s="4">
        <v>45986</v>
      </c>
      <c r="C214" s="5">
        <v>0.62989583333333332</v>
      </c>
      <c r="D214" t="s">
        <v>289</v>
      </c>
      <c r="E214" t="s">
        <v>70</v>
      </c>
      <c r="F214" t="s">
        <v>58</v>
      </c>
      <c r="H214" t="s">
        <v>2936</v>
      </c>
      <c r="I214" t="s">
        <v>3940</v>
      </c>
      <c r="J214" t="s">
        <v>2985</v>
      </c>
      <c r="K214" t="s">
        <v>3941</v>
      </c>
      <c r="L214" t="s">
        <v>3942</v>
      </c>
      <c r="M214" s="3" t="str">
        <f>HYPERLINK(склад2въезд131920212223[[#This Row],[RelativePath]])</f>
        <v>10 Сушилка навес\E33149364_3_20251125T150703Z.jpg</v>
      </c>
    </row>
    <row r="215" spans="1:13" x14ac:dyDescent="0.25">
      <c r="A215" s="2" t="s">
        <v>14</v>
      </c>
      <c r="B215" s="4">
        <v>45986</v>
      </c>
      <c r="C215" s="5">
        <v>0.6300810185185185</v>
      </c>
      <c r="D215" t="s">
        <v>289</v>
      </c>
      <c r="E215" t="s">
        <v>70</v>
      </c>
      <c r="F215" t="s">
        <v>58</v>
      </c>
      <c r="H215" t="s">
        <v>2936</v>
      </c>
      <c r="I215" t="s">
        <v>3943</v>
      </c>
      <c r="J215" t="s">
        <v>2985</v>
      </c>
      <c r="K215" t="s">
        <v>3944</v>
      </c>
      <c r="L215" t="s">
        <v>3945</v>
      </c>
      <c r="M215" s="3" t="str">
        <f>HYPERLINK(склад2въезд131920212223[[#This Row],[RelativePath]])</f>
        <v>10 Сушилка навес\E33149364_3_20251125T150719Z.jpg</v>
      </c>
    </row>
    <row r="216" spans="1:13" x14ac:dyDescent="0.25">
      <c r="A216" s="2" t="s">
        <v>14</v>
      </c>
      <c r="B216" s="4">
        <v>45986</v>
      </c>
      <c r="C216" s="5">
        <v>0.63023148148148145</v>
      </c>
      <c r="D216" t="s">
        <v>289</v>
      </c>
      <c r="E216" t="s">
        <v>70</v>
      </c>
      <c r="F216" t="s">
        <v>58</v>
      </c>
      <c r="H216" t="s">
        <v>2936</v>
      </c>
      <c r="I216" t="s">
        <v>3946</v>
      </c>
      <c r="J216" t="s">
        <v>2985</v>
      </c>
      <c r="K216" t="s">
        <v>3947</v>
      </c>
      <c r="L216" t="s">
        <v>3948</v>
      </c>
      <c r="M216" s="3" t="str">
        <f>HYPERLINK(склад2въезд131920212223[[#This Row],[RelativePath]])</f>
        <v>10 Сушилка навес\E33149364_3_20251125T150732Z.jpg</v>
      </c>
    </row>
    <row r="217" spans="1:13" x14ac:dyDescent="0.25">
      <c r="A217" s="2" t="s">
        <v>14</v>
      </c>
      <c r="B217" s="4">
        <v>45986</v>
      </c>
      <c r="C217" s="5">
        <v>0.6305439814814815</v>
      </c>
      <c r="D217" t="s">
        <v>289</v>
      </c>
      <c r="E217" t="s">
        <v>70</v>
      </c>
      <c r="F217" t="s">
        <v>58</v>
      </c>
      <c r="H217" t="s">
        <v>2936</v>
      </c>
      <c r="I217" t="s">
        <v>3949</v>
      </c>
      <c r="J217" t="s">
        <v>2985</v>
      </c>
      <c r="K217" t="s">
        <v>3950</v>
      </c>
      <c r="L217" t="s">
        <v>3951</v>
      </c>
      <c r="M217" s="3" t="str">
        <f>HYPERLINK(склад2въезд131920212223[[#This Row],[RelativePath]])</f>
        <v>10 Сушилка навес\E33149364_3_20251125T150759Z.jpg</v>
      </c>
    </row>
    <row r="218" spans="1:13" x14ac:dyDescent="0.25">
      <c r="A218" s="2" t="s">
        <v>14</v>
      </c>
      <c r="B218" s="4">
        <v>45986</v>
      </c>
      <c r="C218" s="5">
        <v>0.63126157407407413</v>
      </c>
      <c r="D218" t="s">
        <v>4232</v>
      </c>
      <c r="E218" t="s">
        <v>70</v>
      </c>
      <c r="F218" t="s">
        <v>58</v>
      </c>
      <c r="I218" t="s">
        <v>3952</v>
      </c>
      <c r="J218" t="s">
        <v>2985</v>
      </c>
      <c r="K218" t="s">
        <v>3953</v>
      </c>
      <c r="L218" t="s">
        <v>3954</v>
      </c>
      <c r="M218" s="3" t="str">
        <f>HYPERLINK(склад2въезд131920212223[[#This Row],[RelativePath]])</f>
        <v>10 Сушилка навес\E33149364_3_20251125T150901Z.jpg</v>
      </c>
    </row>
    <row r="219" spans="1:13" x14ac:dyDescent="0.25">
      <c r="A219" s="2" t="s">
        <v>14</v>
      </c>
      <c r="B219" s="4">
        <v>45986</v>
      </c>
      <c r="C219" s="5">
        <v>0.6318287037037037</v>
      </c>
      <c r="D219" t="s">
        <v>289</v>
      </c>
      <c r="E219" t="s">
        <v>70</v>
      </c>
      <c r="F219" t="s">
        <v>4233</v>
      </c>
      <c r="H219" t="s">
        <v>1618</v>
      </c>
      <c r="I219" t="s">
        <v>3955</v>
      </c>
      <c r="J219" t="s">
        <v>2985</v>
      </c>
      <c r="K219" t="s">
        <v>3956</v>
      </c>
      <c r="L219" t="s">
        <v>3957</v>
      </c>
      <c r="M219" s="3" t="str">
        <f>HYPERLINK(склад2въезд131920212223[[#This Row],[RelativePath]])</f>
        <v>10 Сушилка навес\E33149364_3_20251125T150950Z.jpg</v>
      </c>
    </row>
    <row r="220" spans="1:13" x14ac:dyDescent="0.25">
      <c r="A220" s="2" t="s">
        <v>14</v>
      </c>
      <c r="B220" s="4">
        <v>45986</v>
      </c>
      <c r="C220" s="5">
        <v>0.6341782407407407</v>
      </c>
      <c r="D220" t="s">
        <v>4235</v>
      </c>
      <c r="E220" t="s">
        <v>70</v>
      </c>
      <c r="F220" t="s">
        <v>4233</v>
      </c>
      <c r="I220" t="s">
        <v>3958</v>
      </c>
      <c r="J220" t="s">
        <v>2985</v>
      </c>
      <c r="K220" t="s">
        <v>3959</v>
      </c>
      <c r="L220" t="s">
        <v>3960</v>
      </c>
      <c r="M220" s="3" t="str">
        <f>HYPERLINK(склад2въезд131920212223[[#This Row],[RelativePath]])</f>
        <v>10 Сушилка навес\E33149364_3_20251125T151313Z.jpg</v>
      </c>
    </row>
    <row r="221" spans="1:13" x14ac:dyDescent="0.25">
      <c r="A221" s="2" t="s">
        <v>15</v>
      </c>
      <c r="B221" s="4">
        <v>45987</v>
      </c>
      <c r="C221" s="5">
        <v>0.43567129629629631</v>
      </c>
      <c r="D221" t="s">
        <v>1606</v>
      </c>
      <c r="E221" t="s">
        <v>4192</v>
      </c>
      <c r="I221" t="s">
        <v>3962</v>
      </c>
      <c r="J221" t="s">
        <v>2985</v>
      </c>
      <c r="K221" t="s">
        <v>3963</v>
      </c>
      <c r="L221" t="s">
        <v>3964</v>
      </c>
      <c r="M221" s="3" t="str">
        <f>HYPERLINK(склад2въезд131920212223[[#This Row],[RelativePath]])</f>
        <v>10 Сушилка навес\E33149364_3_20251126T102722Z.jpg</v>
      </c>
    </row>
    <row r="222" spans="1:13" x14ac:dyDescent="0.25">
      <c r="A222" s="2" t="s">
        <v>15</v>
      </c>
      <c r="B222" s="4">
        <v>45987</v>
      </c>
      <c r="C222" s="5">
        <v>0.44207175925925923</v>
      </c>
      <c r="D222" t="s">
        <v>289</v>
      </c>
      <c r="E222" t="s">
        <v>4192</v>
      </c>
      <c r="F222" t="s">
        <v>58</v>
      </c>
      <c r="H222" t="s">
        <v>1620</v>
      </c>
      <c r="I222" t="s">
        <v>3965</v>
      </c>
      <c r="J222" t="s">
        <v>2985</v>
      </c>
      <c r="K222" t="s">
        <v>3966</v>
      </c>
      <c r="L222" t="s">
        <v>3967</v>
      </c>
      <c r="M222" s="3" t="str">
        <f>HYPERLINK(склад2въезд131920212223[[#This Row],[RelativePath]])</f>
        <v>10 Сушилка навес\E33149364_3_20251126T103635Z.jpg</v>
      </c>
    </row>
    <row r="223" spans="1:13" x14ac:dyDescent="0.25">
      <c r="A223" s="2" t="s">
        <v>15</v>
      </c>
      <c r="B223" s="4">
        <v>45987</v>
      </c>
      <c r="C223" s="5">
        <v>0.44216435185185188</v>
      </c>
      <c r="D223" t="s">
        <v>289</v>
      </c>
      <c r="E223" t="s">
        <v>4192</v>
      </c>
      <c r="F223" t="s">
        <v>58</v>
      </c>
      <c r="H223" t="s">
        <v>2936</v>
      </c>
      <c r="I223" t="s">
        <v>3968</v>
      </c>
      <c r="J223" t="s">
        <v>2985</v>
      </c>
      <c r="K223" t="s">
        <v>3969</v>
      </c>
      <c r="L223" t="s">
        <v>3970</v>
      </c>
      <c r="M223" s="3" t="str">
        <f>HYPERLINK(склад2въезд131920212223[[#This Row],[RelativePath]])</f>
        <v>10 Сушилка навес\E33149364_3_20251126T103643Z.jpg</v>
      </c>
    </row>
    <row r="224" spans="1:13" x14ac:dyDescent="0.25">
      <c r="A224" s="2" t="s">
        <v>15</v>
      </c>
      <c r="B224" s="4">
        <v>45987</v>
      </c>
      <c r="C224" s="5">
        <v>0.44226851851851851</v>
      </c>
      <c r="D224" t="s">
        <v>289</v>
      </c>
      <c r="E224" t="s">
        <v>4192</v>
      </c>
      <c r="F224" t="s">
        <v>58</v>
      </c>
      <c r="H224" t="s">
        <v>2936</v>
      </c>
      <c r="I224" t="s">
        <v>3971</v>
      </c>
      <c r="J224" t="s">
        <v>2985</v>
      </c>
      <c r="K224" t="s">
        <v>3972</v>
      </c>
      <c r="L224" t="s">
        <v>3973</v>
      </c>
      <c r="M224" s="3" t="str">
        <f>HYPERLINK(склад2въезд131920212223[[#This Row],[RelativePath]])</f>
        <v>10 Сушилка навес\E33149364_3_20251126T103652Z.jpg</v>
      </c>
    </row>
    <row r="225" spans="1:13" x14ac:dyDescent="0.25">
      <c r="A225" s="2" t="s">
        <v>15</v>
      </c>
      <c r="B225" s="4">
        <v>45987</v>
      </c>
      <c r="C225" s="5">
        <v>0.44241898148148145</v>
      </c>
      <c r="D225" t="s">
        <v>289</v>
      </c>
      <c r="E225" t="s">
        <v>4192</v>
      </c>
      <c r="F225" t="s">
        <v>58</v>
      </c>
      <c r="H225" t="s">
        <v>2936</v>
      </c>
      <c r="I225" t="s">
        <v>3974</v>
      </c>
      <c r="J225" t="s">
        <v>2985</v>
      </c>
      <c r="K225" t="s">
        <v>3975</v>
      </c>
      <c r="L225" t="s">
        <v>3976</v>
      </c>
      <c r="M225" s="3" t="str">
        <f>HYPERLINK(склад2въезд131920212223[[#This Row],[RelativePath]])</f>
        <v>10 Сушилка навес\E33149364_3_20251126T103705Z.jpg</v>
      </c>
    </row>
    <row r="226" spans="1:13" x14ac:dyDescent="0.25">
      <c r="A226" s="2" t="s">
        <v>15</v>
      </c>
      <c r="B226" s="4">
        <v>45987</v>
      </c>
      <c r="C226" s="5">
        <v>0.44255787037037037</v>
      </c>
      <c r="D226" t="s">
        <v>289</v>
      </c>
      <c r="E226" t="s">
        <v>4192</v>
      </c>
      <c r="F226" t="s">
        <v>58</v>
      </c>
      <c r="H226" t="s">
        <v>2936</v>
      </c>
      <c r="I226" t="s">
        <v>3977</v>
      </c>
      <c r="J226" t="s">
        <v>2985</v>
      </c>
      <c r="K226" t="s">
        <v>3978</v>
      </c>
      <c r="L226" t="s">
        <v>3979</v>
      </c>
      <c r="M226" s="3" t="str">
        <f>HYPERLINK(склад2въезд131920212223[[#This Row],[RelativePath]])</f>
        <v>10 Сушилка навес\E33149364_3_20251126T103717Z.jpg</v>
      </c>
    </row>
    <row r="227" spans="1:13" x14ac:dyDescent="0.25">
      <c r="A227" s="2" t="s">
        <v>15</v>
      </c>
      <c r="B227" s="4">
        <v>45987</v>
      </c>
      <c r="C227" s="5">
        <v>0.44269675925925928</v>
      </c>
      <c r="D227" t="s">
        <v>289</v>
      </c>
      <c r="E227" t="s">
        <v>4192</v>
      </c>
      <c r="F227" t="s">
        <v>58</v>
      </c>
      <c r="H227" t="s">
        <v>2936</v>
      </c>
      <c r="I227" t="s">
        <v>3980</v>
      </c>
      <c r="J227" t="s">
        <v>2985</v>
      </c>
      <c r="K227" t="s">
        <v>3981</v>
      </c>
      <c r="L227" t="s">
        <v>3982</v>
      </c>
      <c r="M227" s="3" t="str">
        <f>HYPERLINK(склад2въезд131920212223[[#This Row],[RelativePath]])</f>
        <v>10 Сушилка навес\E33149364_3_20251126T103729Z.jpg</v>
      </c>
    </row>
    <row r="228" spans="1:13" x14ac:dyDescent="0.25">
      <c r="A228" s="2" t="s">
        <v>15</v>
      </c>
      <c r="B228" s="4">
        <v>45987</v>
      </c>
      <c r="C228" s="5">
        <v>0.44284722222222223</v>
      </c>
      <c r="D228" t="s">
        <v>289</v>
      </c>
      <c r="E228" t="s">
        <v>4192</v>
      </c>
      <c r="F228" t="s">
        <v>58</v>
      </c>
      <c r="H228" t="s">
        <v>2936</v>
      </c>
      <c r="I228" t="s">
        <v>3983</v>
      </c>
      <c r="J228" t="s">
        <v>2985</v>
      </c>
      <c r="K228" t="s">
        <v>3984</v>
      </c>
      <c r="L228" t="s">
        <v>3985</v>
      </c>
      <c r="M228" s="3" t="str">
        <f>HYPERLINK(склад2въезд131920212223[[#This Row],[RelativePath]])</f>
        <v>10 Сушилка навес\E33149364_3_20251126T103742Z.jpg</v>
      </c>
    </row>
    <row r="229" spans="1:13" x14ac:dyDescent="0.25">
      <c r="A229" s="2" t="s">
        <v>15</v>
      </c>
      <c r="B229" s="4">
        <v>45987</v>
      </c>
      <c r="C229" s="5">
        <v>0.44359953703703703</v>
      </c>
      <c r="D229" t="s">
        <v>2013</v>
      </c>
      <c r="E229" t="s">
        <v>4192</v>
      </c>
      <c r="H229" t="s">
        <v>4236</v>
      </c>
      <c r="I229" t="s">
        <v>3986</v>
      </c>
      <c r="J229" t="s">
        <v>2985</v>
      </c>
      <c r="K229" t="s">
        <v>3987</v>
      </c>
      <c r="L229" t="s">
        <v>3988</v>
      </c>
      <c r="M229" s="3" t="str">
        <f>HYPERLINK(склад2въезд131920212223[[#This Row],[RelativePath]])</f>
        <v>10 Сушилка навес\E33149364_3_20251126T103847Z.jpg</v>
      </c>
    </row>
    <row r="230" spans="1:13" x14ac:dyDescent="0.25">
      <c r="A230" s="2" t="s">
        <v>15</v>
      </c>
      <c r="B230" s="4">
        <v>45987</v>
      </c>
      <c r="C230" s="5">
        <v>0.44372685185185184</v>
      </c>
      <c r="D230" t="s">
        <v>289</v>
      </c>
      <c r="E230" t="s">
        <v>4192</v>
      </c>
      <c r="F230" t="s">
        <v>58</v>
      </c>
      <c r="I230" t="s">
        <v>3989</v>
      </c>
      <c r="J230" t="s">
        <v>2985</v>
      </c>
      <c r="K230" t="s">
        <v>3990</v>
      </c>
      <c r="L230" t="s">
        <v>3991</v>
      </c>
      <c r="M230" s="3" t="str">
        <f>HYPERLINK(склад2въезд131920212223[[#This Row],[RelativePath]])</f>
        <v>10 Сушилка навес\E33149364_3_20251126T103858Z.jpg</v>
      </c>
    </row>
    <row r="231" spans="1:13" x14ac:dyDescent="0.25">
      <c r="A231" s="2" t="s">
        <v>15</v>
      </c>
      <c r="B231" s="4">
        <v>45987</v>
      </c>
      <c r="C231" s="5">
        <v>0.44473379629629628</v>
      </c>
      <c r="D231" t="s">
        <v>289</v>
      </c>
      <c r="E231" t="s">
        <v>4192</v>
      </c>
      <c r="F231" t="s">
        <v>58</v>
      </c>
      <c r="H231" t="s">
        <v>2936</v>
      </c>
      <c r="I231" t="s">
        <v>3992</v>
      </c>
      <c r="J231" t="s">
        <v>2985</v>
      </c>
      <c r="K231" t="s">
        <v>3993</v>
      </c>
      <c r="L231" t="s">
        <v>3994</v>
      </c>
      <c r="M231" s="3" t="str">
        <f>HYPERLINK(склад2въезд131920212223[[#This Row],[RelativePath]])</f>
        <v>10 Сушилка навес\E33149364_3_20251126T104025Z.jpg</v>
      </c>
    </row>
    <row r="232" spans="1:13" x14ac:dyDescent="0.25">
      <c r="A232" s="2" t="s">
        <v>15</v>
      </c>
      <c r="B232" s="4">
        <v>45987</v>
      </c>
      <c r="C232" s="5">
        <v>0.44495370370370368</v>
      </c>
      <c r="D232" t="s">
        <v>289</v>
      </c>
      <c r="E232" t="s">
        <v>4192</v>
      </c>
      <c r="F232" t="s">
        <v>58</v>
      </c>
      <c r="H232" t="s">
        <v>2936</v>
      </c>
      <c r="I232" t="s">
        <v>3995</v>
      </c>
      <c r="J232" t="s">
        <v>2985</v>
      </c>
      <c r="K232" t="s">
        <v>3996</v>
      </c>
      <c r="L232" t="s">
        <v>3997</v>
      </c>
      <c r="M232" s="3" t="str">
        <f>HYPERLINK(склад2въезд131920212223[[#This Row],[RelativePath]])</f>
        <v>10 Сушилка навес\E33149364_3_20251126T104044Z.jpg</v>
      </c>
    </row>
    <row r="233" spans="1:13" x14ac:dyDescent="0.25">
      <c r="A233" s="2" t="s">
        <v>15</v>
      </c>
      <c r="B233" s="4">
        <v>45987</v>
      </c>
      <c r="C233" s="5">
        <v>0.44578703703703704</v>
      </c>
      <c r="D233" t="s">
        <v>4232</v>
      </c>
      <c r="E233" t="s">
        <v>4192</v>
      </c>
      <c r="F233" t="s">
        <v>58</v>
      </c>
      <c r="I233" t="s">
        <v>3998</v>
      </c>
      <c r="J233" t="s">
        <v>2985</v>
      </c>
      <c r="K233" t="s">
        <v>3999</v>
      </c>
      <c r="L233" t="s">
        <v>4000</v>
      </c>
      <c r="M233" s="3" t="str">
        <f>HYPERLINK(склад2въезд131920212223[[#This Row],[RelativePath]])</f>
        <v>10 Сушилка навес\E33149364_3_20251126T104156Z.jpg</v>
      </c>
    </row>
    <row r="234" spans="1:13" x14ac:dyDescent="0.25">
      <c r="A234" s="2" t="s">
        <v>15</v>
      </c>
      <c r="B234" s="4">
        <v>45987</v>
      </c>
      <c r="C234" s="5">
        <v>0.44631944444444444</v>
      </c>
      <c r="D234" t="s">
        <v>2013</v>
      </c>
      <c r="E234" t="s">
        <v>4192</v>
      </c>
      <c r="H234" t="s">
        <v>4237</v>
      </c>
      <c r="I234" t="s">
        <v>4001</v>
      </c>
      <c r="J234" t="s">
        <v>2985</v>
      </c>
      <c r="K234" t="s">
        <v>4002</v>
      </c>
      <c r="L234" t="s">
        <v>4003</v>
      </c>
      <c r="M234" s="3" t="str">
        <f>HYPERLINK(склад2въезд131920212223[[#This Row],[RelativePath]])</f>
        <v>10 Сушилка навес\E33149364_3_20251126T104242Z.jpg</v>
      </c>
    </row>
    <row r="235" spans="1:13" x14ac:dyDescent="0.25">
      <c r="A235" s="2" t="s">
        <v>15</v>
      </c>
      <c r="B235" s="4">
        <v>45987</v>
      </c>
      <c r="C235" s="5">
        <v>0.4475925925925926</v>
      </c>
      <c r="D235" t="s">
        <v>289</v>
      </c>
      <c r="E235" t="s">
        <v>4192</v>
      </c>
      <c r="F235" t="s">
        <v>58</v>
      </c>
      <c r="I235" t="s">
        <v>4004</v>
      </c>
      <c r="J235" t="s">
        <v>2985</v>
      </c>
      <c r="K235" t="s">
        <v>4005</v>
      </c>
      <c r="L235" t="s">
        <v>4006</v>
      </c>
      <c r="M235" s="3" t="str">
        <f>HYPERLINK(склад2въезд131920212223[[#This Row],[RelativePath]])</f>
        <v>10 Сушилка навес\E33149364_3_20251126T104432Z.jpg</v>
      </c>
    </row>
    <row r="236" spans="1:13" x14ac:dyDescent="0.25">
      <c r="A236" s="2" t="s">
        <v>15</v>
      </c>
      <c r="B236" s="4">
        <v>45987</v>
      </c>
      <c r="C236" s="5">
        <v>0.44767361111111109</v>
      </c>
      <c r="D236" t="s">
        <v>289</v>
      </c>
      <c r="E236" t="s">
        <v>4192</v>
      </c>
      <c r="F236" t="s">
        <v>58</v>
      </c>
      <c r="H236" t="s">
        <v>2936</v>
      </c>
      <c r="I236" t="s">
        <v>4007</v>
      </c>
      <c r="J236" t="s">
        <v>2985</v>
      </c>
      <c r="K236" t="s">
        <v>4008</v>
      </c>
      <c r="L236" t="s">
        <v>4009</v>
      </c>
      <c r="M236" s="3" t="str">
        <f>HYPERLINK(склад2въезд131920212223[[#This Row],[RelativePath]])</f>
        <v>10 Сушилка навес\E33149364_3_20251126T104439Z.jpg</v>
      </c>
    </row>
    <row r="237" spans="1:13" x14ac:dyDescent="0.25">
      <c r="A237" s="2" t="s">
        <v>15</v>
      </c>
      <c r="B237" s="4">
        <v>45987</v>
      </c>
      <c r="C237" s="5">
        <v>0.4478125</v>
      </c>
      <c r="D237" t="s">
        <v>289</v>
      </c>
      <c r="E237" t="s">
        <v>4192</v>
      </c>
      <c r="F237" t="s">
        <v>58</v>
      </c>
      <c r="H237" t="s">
        <v>2936</v>
      </c>
      <c r="I237" t="s">
        <v>4010</v>
      </c>
      <c r="J237" t="s">
        <v>2985</v>
      </c>
      <c r="K237" t="s">
        <v>4011</v>
      </c>
      <c r="L237" t="s">
        <v>4012</v>
      </c>
      <c r="M237" s="3" t="str">
        <f>HYPERLINK(склад2въезд131920212223[[#This Row],[RelativePath]])</f>
        <v>10 Сушилка навес\E33149364_3_20251126T104451Z.jpg</v>
      </c>
    </row>
    <row r="238" spans="1:13" x14ac:dyDescent="0.25">
      <c r="A238" s="2" t="s">
        <v>15</v>
      </c>
      <c r="B238" s="4">
        <v>45987</v>
      </c>
      <c r="C238" s="5">
        <v>0.45056712962962964</v>
      </c>
      <c r="D238" t="s">
        <v>289</v>
      </c>
      <c r="E238" t="s">
        <v>4192</v>
      </c>
      <c r="F238" t="s">
        <v>58</v>
      </c>
      <c r="H238" t="s">
        <v>2936</v>
      </c>
      <c r="I238" t="s">
        <v>4013</v>
      </c>
      <c r="J238" t="s">
        <v>2985</v>
      </c>
      <c r="K238" t="s">
        <v>4014</v>
      </c>
      <c r="L238" t="s">
        <v>4015</v>
      </c>
      <c r="M238" s="3" t="str">
        <f>HYPERLINK(склад2въезд131920212223[[#This Row],[RelativePath]])</f>
        <v>10 Сушилка навес\E33149364_3_20251126T104849Z.jpg</v>
      </c>
    </row>
    <row r="239" spans="1:13" x14ac:dyDescent="0.25">
      <c r="A239" s="2" t="s">
        <v>15</v>
      </c>
      <c r="B239" s="4">
        <v>45987</v>
      </c>
      <c r="C239" s="5">
        <v>0.45187500000000003</v>
      </c>
      <c r="D239" t="s">
        <v>4235</v>
      </c>
      <c r="E239" t="s">
        <v>4192</v>
      </c>
      <c r="F239" t="s">
        <v>58</v>
      </c>
      <c r="I239" t="s">
        <v>4016</v>
      </c>
      <c r="J239" t="s">
        <v>2985</v>
      </c>
      <c r="K239" t="s">
        <v>4017</v>
      </c>
      <c r="L239" t="s">
        <v>4018</v>
      </c>
      <c r="M239" s="3" t="str">
        <f>HYPERLINK(склад2въезд131920212223[[#This Row],[RelativePath]])</f>
        <v>10 Сушилка навес\E33149364_3_20251126T105042Z.jpg</v>
      </c>
    </row>
    <row r="240" spans="1:13" x14ac:dyDescent="0.25">
      <c r="A240" s="2" t="s">
        <v>15</v>
      </c>
      <c r="B240" s="4">
        <v>45987</v>
      </c>
      <c r="C240" s="5">
        <v>0.69988425925925923</v>
      </c>
      <c r="D240" t="s">
        <v>4</v>
      </c>
      <c r="E240" t="s">
        <v>86</v>
      </c>
      <c r="F240" t="s">
        <v>4238</v>
      </c>
      <c r="H240" t="s">
        <v>4239</v>
      </c>
      <c r="I240" t="s">
        <v>4019</v>
      </c>
      <c r="J240" t="s">
        <v>2985</v>
      </c>
      <c r="K240" t="s">
        <v>4020</v>
      </c>
      <c r="L240" t="s">
        <v>4021</v>
      </c>
      <c r="M240" s="3" t="str">
        <f>HYPERLINK(склад2въезд131920212223[[#This Row],[RelativePath]])</f>
        <v>10 Сушилка навес\E33149364_3_20251126T164750Z.jpg</v>
      </c>
    </row>
    <row r="241" spans="1:13" x14ac:dyDescent="0.25">
      <c r="A241" s="2" t="s">
        <v>17</v>
      </c>
      <c r="B241" s="4">
        <v>45989</v>
      </c>
      <c r="C241" s="5">
        <v>0.36949074074074073</v>
      </c>
      <c r="D241" t="s">
        <v>289</v>
      </c>
      <c r="E241" t="s">
        <v>86</v>
      </c>
      <c r="F241" t="s">
        <v>4240</v>
      </c>
      <c r="I241" t="s">
        <v>4022</v>
      </c>
      <c r="J241" t="s">
        <v>2985</v>
      </c>
      <c r="K241" t="s">
        <v>4023</v>
      </c>
      <c r="L241" t="s">
        <v>4024</v>
      </c>
      <c r="M241" s="3" t="str">
        <f>HYPERLINK(склад2въезд131920212223[[#This Row],[RelativePath]])</f>
        <v>10 Сушилка навес\E33149364_3_20251128T085204Z.jpg</v>
      </c>
    </row>
    <row r="242" spans="1:13" x14ac:dyDescent="0.25">
      <c r="A242" s="2" t="s">
        <v>17</v>
      </c>
      <c r="B242" s="4">
        <v>45989</v>
      </c>
      <c r="C242" s="5">
        <v>0.37059027777777775</v>
      </c>
      <c r="D242" t="s">
        <v>4241</v>
      </c>
      <c r="E242" t="s">
        <v>86</v>
      </c>
      <c r="F242" t="s">
        <v>4240</v>
      </c>
      <c r="H242" t="s">
        <v>4236</v>
      </c>
      <c r="I242" t="s">
        <v>4025</v>
      </c>
      <c r="J242" t="s">
        <v>2985</v>
      </c>
      <c r="K242" t="s">
        <v>4026</v>
      </c>
      <c r="L242" t="s">
        <v>4027</v>
      </c>
      <c r="M242" s="3" t="str">
        <f>HYPERLINK(склад2въезд131920212223[[#This Row],[RelativePath]])</f>
        <v>10 Сушилка навес\E33149364_3_20251128T085339Z.jpg</v>
      </c>
    </row>
    <row r="243" spans="1:13" x14ac:dyDescent="0.25">
      <c r="A243" s="2" t="s">
        <v>17</v>
      </c>
      <c r="B243" s="4">
        <v>45989</v>
      </c>
      <c r="C243" s="5">
        <v>0.37737268518518519</v>
      </c>
      <c r="D243" t="s">
        <v>3073</v>
      </c>
      <c r="E243" t="s">
        <v>86</v>
      </c>
      <c r="F243" t="s">
        <v>58</v>
      </c>
      <c r="H243" t="s">
        <v>1620</v>
      </c>
      <c r="I243" t="s">
        <v>4028</v>
      </c>
      <c r="J243" t="s">
        <v>2985</v>
      </c>
      <c r="K243" t="s">
        <v>4029</v>
      </c>
      <c r="L243" t="s">
        <v>4030</v>
      </c>
      <c r="M243" s="3" t="str">
        <f>HYPERLINK(склад2въезд131920212223[[#This Row],[RelativePath]])</f>
        <v>10 Сушилка навес\E33149364_3_20251128T090325Z.jpg</v>
      </c>
    </row>
    <row r="244" spans="1:13" x14ac:dyDescent="0.25">
      <c r="A244" s="2" t="s">
        <v>17</v>
      </c>
      <c r="B244" s="4">
        <v>45989</v>
      </c>
      <c r="C244" s="5">
        <v>0.37761574074074072</v>
      </c>
      <c r="D244" t="s">
        <v>1094</v>
      </c>
      <c r="E244" t="s">
        <v>86</v>
      </c>
      <c r="F244" t="s">
        <v>58</v>
      </c>
      <c r="H244" t="s">
        <v>2954</v>
      </c>
      <c r="I244" t="s">
        <v>4031</v>
      </c>
      <c r="J244" t="s">
        <v>2985</v>
      </c>
      <c r="K244" t="s">
        <v>4032</v>
      </c>
      <c r="L244" t="s">
        <v>4033</v>
      </c>
      <c r="M244" s="3" t="str">
        <f>HYPERLINK(склад2въезд131920212223[[#This Row],[RelativePath]])</f>
        <v>10 Сушилка навес\E33149364_3_20251128T090346Z.jpg</v>
      </c>
    </row>
    <row r="245" spans="1:13" x14ac:dyDescent="0.25">
      <c r="A245" s="2" t="s">
        <v>17</v>
      </c>
      <c r="B245" s="4">
        <v>45989</v>
      </c>
      <c r="C245" s="5">
        <v>0.47635416666666669</v>
      </c>
      <c r="D245" t="s">
        <v>533</v>
      </c>
      <c r="E245" t="s">
        <v>1607</v>
      </c>
      <c r="F245" t="s">
        <v>58</v>
      </c>
      <c r="H245" t="s">
        <v>2958</v>
      </c>
      <c r="I245" t="s">
        <v>4034</v>
      </c>
      <c r="J245" t="s">
        <v>2985</v>
      </c>
      <c r="K245" t="s">
        <v>4035</v>
      </c>
      <c r="L245" t="s">
        <v>4036</v>
      </c>
      <c r="M245" s="3" t="str">
        <f>HYPERLINK(склад2въезд131920212223[[#This Row],[RelativePath]])</f>
        <v>10 Сушилка навес\E33149364_3_20251128T112557Z.jpg</v>
      </c>
    </row>
    <row r="246" spans="1:13" x14ac:dyDescent="0.25">
      <c r="A246" s="2" t="s">
        <v>17</v>
      </c>
      <c r="B246" s="4">
        <v>45989</v>
      </c>
      <c r="C246" s="5">
        <v>0.47646990740740741</v>
      </c>
      <c r="D246" t="s">
        <v>533</v>
      </c>
      <c r="E246" t="s">
        <v>1607</v>
      </c>
      <c r="F246" t="s">
        <v>58</v>
      </c>
      <c r="H246" t="s">
        <v>2958</v>
      </c>
      <c r="I246" t="s">
        <v>4037</v>
      </c>
      <c r="J246" t="s">
        <v>2985</v>
      </c>
      <c r="K246" t="s">
        <v>4038</v>
      </c>
      <c r="L246" t="s">
        <v>4039</v>
      </c>
      <c r="M246" s="3" t="str">
        <f>HYPERLINK(склад2въезд131920212223[[#This Row],[RelativePath]])</f>
        <v>10 Сушилка навес\E33149364_3_20251128T112607Z.jpg</v>
      </c>
    </row>
    <row r="247" spans="1:13" x14ac:dyDescent="0.25">
      <c r="A247" s="2" t="s">
        <v>17</v>
      </c>
      <c r="B247" s="4">
        <v>45989</v>
      </c>
      <c r="C247" s="5">
        <v>0.58856481481481482</v>
      </c>
      <c r="D247" t="s">
        <v>533</v>
      </c>
      <c r="E247" t="s">
        <v>1607</v>
      </c>
      <c r="F247" t="s">
        <v>58</v>
      </c>
      <c r="H247" t="s">
        <v>2958</v>
      </c>
      <c r="I247" t="s">
        <v>4040</v>
      </c>
      <c r="J247" t="s">
        <v>2985</v>
      </c>
      <c r="K247" t="s">
        <v>4041</v>
      </c>
      <c r="L247" t="s">
        <v>4042</v>
      </c>
      <c r="M247" s="3" t="str">
        <f>HYPERLINK(склад2въезд131920212223[[#This Row],[RelativePath]])</f>
        <v>10 Сушилка навес\E33149364_3_20251128T140732Z.jpg</v>
      </c>
    </row>
    <row r="248" spans="1:13" x14ac:dyDescent="0.25">
      <c r="A248" s="2" t="s">
        <v>17</v>
      </c>
      <c r="B248" s="4">
        <v>45989</v>
      </c>
      <c r="C248" s="5">
        <v>0.58865740740740746</v>
      </c>
      <c r="D248" t="s">
        <v>533</v>
      </c>
      <c r="E248" t="s">
        <v>1607</v>
      </c>
      <c r="F248" t="s">
        <v>58</v>
      </c>
      <c r="H248" t="s">
        <v>2958</v>
      </c>
      <c r="I248" t="s">
        <v>4043</v>
      </c>
      <c r="J248" t="s">
        <v>2985</v>
      </c>
      <c r="K248" t="s">
        <v>4044</v>
      </c>
      <c r="L248" t="s">
        <v>4045</v>
      </c>
      <c r="M248" s="3" t="str">
        <f>HYPERLINK(склад2въезд131920212223[[#This Row],[RelativePath]])</f>
        <v>10 Сушилка навес\E33149364_3_20251128T140740Z.jpg</v>
      </c>
    </row>
    <row r="249" spans="1:13" x14ac:dyDescent="0.25">
      <c r="A249" s="2" t="s">
        <v>17</v>
      </c>
      <c r="B249" s="4">
        <v>45989</v>
      </c>
      <c r="C249" s="5">
        <v>0.59635416666666663</v>
      </c>
      <c r="D249" t="s">
        <v>533</v>
      </c>
      <c r="E249" t="s">
        <v>1607</v>
      </c>
      <c r="F249" t="s">
        <v>58</v>
      </c>
      <c r="H249" t="s">
        <v>2958</v>
      </c>
      <c r="I249" t="s">
        <v>4046</v>
      </c>
      <c r="J249" t="s">
        <v>2985</v>
      </c>
      <c r="K249" t="s">
        <v>4047</v>
      </c>
      <c r="L249" t="s">
        <v>4048</v>
      </c>
      <c r="M249" s="3" t="str">
        <f>HYPERLINK(склад2въезд131920212223[[#This Row],[RelativePath]])</f>
        <v>10 Сушилка навес\E33149364_3_20251128T141845Z.jpg</v>
      </c>
    </row>
    <row r="250" spans="1:13" x14ac:dyDescent="0.25">
      <c r="A250" s="2" t="s">
        <v>17</v>
      </c>
      <c r="B250" s="4">
        <v>45989</v>
      </c>
      <c r="C250" s="5">
        <v>0.5995949074074074</v>
      </c>
      <c r="D250" t="s">
        <v>533</v>
      </c>
      <c r="E250" t="s">
        <v>1607</v>
      </c>
      <c r="F250" t="s">
        <v>58</v>
      </c>
      <c r="H250" t="s">
        <v>2958</v>
      </c>
      <c r="I250" t="s">
        <v>4049</v>
      </c>
      <c r="J250" t="s">
        <v>2985</v>
      </c>
      <c r="K250" t="s">
        <v>4050</v>
      </c>
      <c r="L250" t="s">
        <v>4051</v>
      </c>
      <c r="M250" s="3" t="str">
        <f>HYPERLINK(склад2въезд131920212223[[#This Row],[RelativePath]])</f>
        <v>10 Сушилка навес\E33149364_3_20251128T142325Z.jpg</v>
      </c>
    </row>
    <row r="251" spans="1:13" x14ac:dyDescent="0.25">
      <c r="A251" s="2" t="s">
        <v>17</v>
      </c>
      <c r="B251" s="4">
        <v>45989</v>
      </c>
      <c r="C251" s="5">
        <v>0.63675925925925925</v>
      </c>
      <c r="D251" t="s">
        <v>533</v>
      </c>
      <c r="E251" t="s">
        <v>1607</v>
      </c>
      <c r="F251" t="s">
        <v>58</v>
      </c>
      <c r="H251" t="s">
        <v>2958</v>
      </c>
      <c r="I251" t="s">
        <v>4052</v>
      </c>
      <c r="J251" t="s">
        <v>2985</v>
      </c>
      <c r="K251" t="s">
        <v>4053</v>
      </c>
      <c r="L251" t="s">
        <v>4054</v>
      </c>
      <c r="M251" s="3" t="str">
        <f>HYPERLINK(склад2въезд131920212223[[#This Row],[RelativePath]])</f>
        <v>10 Сушилка навес\E33149364_3_20251128T151656Z.jpg</v>
      </c>
    </row>
    <row r="252" spans="1:13" x14ac:dyDescent="0.25">
      <c r="A252" s="2" t="s">
        <v>17</v>
      </c>
      <c r="B252" s="4">
        <v>45989</v>
      </c>
      <c r="C252" s="5">
        <v>0.63684027777777774</v>
      </c>
      <c r="D252" t="s">
        <v>533</v>
      </c>
      <c r="E252" t="s">
        <v>1607</v>
      </c>
      <c r="F252" t="s">
        <v>58</v>
      </c>
      <c r="H252" t="s">
        <v>2958</v>
      </c>
      <c r="I252" t="s">
        <v>4055</v>
      </c>
      <c r="J252" t="s">
        <v>2985</v>
      </c>
      <c r="K252" t="s">
        <v>4056</v>
      </c>
      <c r="L252" t="s">
        <v>4057</v>
      </c>
      <c r="M252" s="3" t="str">
        <f>HYPERLINK(склад2въезд131920212223[[#This Row],[RelativePath]])</f>
        <v>10 Сушилка навес\E33149364_3_20251128T151703Z.jpg</v>
      </c>
    </row>
    <row r="253" spans="1:13" x14ac:dyDescent="0.25">
      <c r="A253" s="2" t="s">
        <v>17</v>
      </c>
      <c r="B253" s="4">
        <v>45989</v>
      </c>
      <c r="C253" s="5">
        <v>0.63993055555555556</v>
      </c>
      <c r="D253" t="s">
        <v>533</v>
      </c>
      <c r="E253" t="s">
        <v>1607</v>
      </c>
      <c r="F253" t="s">
        <v>58</v>
      </c>
      <c r="H253" t="s">
        <v>2958</v>
      </c>
      <c r="I253" t="s">
        <v>4058</v>
      </c>
      <c r="J253" t="s">
        <v>2985</v>
      </c>
      <c r="K253" t="s">
        <v>4059</v>
      </c>
      <c r="L253" t="s">
        <v>4060</v>
      </c>
      <c r="M253" s="3" t="str">
        <f>HYPERLINK(склад2въезд131920212223[[#This Row],[RelativePath]])</f>
        <v>10 Сушилка навес\E33149364_3_20251128T152130Z.jpg</v>
      </c>
    </row>
    <row r="254" spans="1:13" x14ac:dyDescent="0.25">
      <c r="A254" s="2" t="s">
        <v>17</v>
      </c>
      <c r="B254" s="4">
        <v>45989</v>
      </c>
      <c r="C254" s="5">
        <v>0.64309027777777783</v>
      </c>
      <c r="D254" t="s">
        <v>533</v>
      </c>
      <c r="E254" t="s">
        <v>1607</v>
      </c>
      <c r="F254" t="s">
        <v>58</v>
      </c>
      <c r="H254" t="s">
        <v>2958</v>
      </c>
      <c r="I254" t="s">
        <v>4061</v>
      </c>
      <c r="J254" t="s">
        <v>2985</v>
      </c>
      <c r="K254" t="s">
        <v>4062</v>
      </c>
      <c r="L254" t="s">
        <v>4063</v>
      </c>
      <c r="M254" s="3" t="str">
        <f>HYPERLINK(склад2въезд131920212223[[#This Row],[RelativePath]])</f>
        <v>10 Сушилка навес\E33149364_3_20251128T152603Z.jpg</v>
      </c>
    </row>
    <row r="255" spans="1:13" x14ac:dyDescent="0.25">
      <c r="A255" s="2" t="s">
        <v>17</v>
      </c>
      <c r="B255" s="4">
        <v>45989</v>
      </c>
      <c r="C255" s="5">
        <v>0.69055555555555559</v>
      </c>
      <c r="D255" t="s">
        <v>533</v>
      </c>
      <c r="E255" t="s">
        <v>1607</v>
      </c>
      <c r="F255" t="s">
        <v>58</v>
      </c>
      <c r="H255" t="s">
        <v>2958</v>
      </c>
      <c r="I255" t="s">
        <v>4064</v>
      </c>
      <c r="J255" t="s">
        <v>2985</v>
      </c>
      <c r="K255" t="s">
        <v>4065</v>
      </c>
      <c r="L255" t="s">
        <v>4066</v>
      </c>
      <c r="M255" s="3" t="str">
        <f>HYPERLINK(склад2въезд131920212223[[#This Row],[RelativePath]])</f>
        <v>10 Сушилка навес\E33149364_3_20251128T163424Z.jpg</v>
      </c>
    </row>
    <row r="256" spans="1:13" x14ac:dyDescent="0.25">
      <c r="A256" s="2" t="s">
        <v>18</v>
      </c>
      <c r="B256" s="4">
        <v>45990</v>
      </c>
      <c r="C256" s="5">
        <v>0.64872685185185186</v>
      </c>
      <c r="D256" t="s">
        <v>533</v>
      </c>
      <c r="E256" t="s">
        <v>1607</v>
      </c>
      <c r="F256" t="s">
        <v>1099</v>
      </c>
      <c r="H256" t="s">
        <v>1620</v>
      </c>
      <c r="I256" t="s">
        <v>4067</v>
      </c>
      <c r="J256" t="s">
        <v>2985</v>
      </c>
      <c r="K256" t="s">
        <v>4068</v>
      </c>
      <c r="L256" t="s">
        <v>4069</v>
      </c>
      <c r="M256" s="3" t="str">
        <f>HYPERLINK(склад2въезд131920212223[[#This Row],[RelativePath]])</f>
        <v>10 Сушилка навес\E33149364_3_20251129T153410Z.jpg</v>
      </c>
    </row>
    <row r="257" spans="1:13" x14ac:dyDescent="0.25">
      <c r="A257" s="2" t="s">
        <v>22</v>
      </c>
      <c r="B257" s="4">
        <v>45991</v>
      </c>
      <c r="C257" s="5">
        <v>0.47109953703703705</v>
      </c>
      <c r="D257" t="s">
        <v>2004</v>
      </c>
      <c r="I257" t="s">
        <v>4285</v>
      </c>
      <c r="J257" t="s">
        <v>2985</v>
      </c>
      <c r="K257" t="s">
        <v>4286</v>
      </c>
      <c r="L257" t="s">
        <v>4287</v>
      </c>
      <c r="M257" s="3" t="str">
        <f>HYPERLINK(склад2въезд131920212223[[#This Row],[RelativePath]])</f>
        <v>10 Сушилка навес\E33149364_3_20251130T111823Z.jpg</v>
      </c>
    </row>
    <row r="258" spans="1:13" x14ac:dyDescent="0.25">
      <c r="A258" s="2" t="s">
        <v>13</v>
      </c>
      <c r="B258" s="4">
        <v>45992</v>
      </c>
      <c r="C258" s="5">
        <v>0.62716435185185182</v>
      </c>
      <c r="D258" t="s">
        <v>533</v>
      </c>
      <c r="E258" t="s">
        <v>1607</v>
      </c>
      <c r="F258" t="s">
        <v>1099</v>
      </c>
      <c r="H258" t="s">
        <v>1620</v>
      </c>
      <c r="I258" t="s">
        <v>4831</v>
      </c>
      <c r="J258" t="s">
        <v>2985</v>
      </c>
      <c r="K258" t="s">
        <v>4832</v>
      </c>
      <c r="L258" t="s">
        <v>4833</v>
      </c>
      <c r="M258" s="3" t="str">
        <f>HYPERLINK(склад2въезд131920212223[[#This Row],[RelativePath]])</f>
        <v>10 Сушилка навес\E33149364_3_20251201T150307Z.jpg</v>
      </c>
    </row>
    <row r="259" spans="1:13" x14ac:dyDescent="0.25">
      <c r="A259" s="2" t="s">
        <v>13</v>
      </c>
      <c r="B259" s="4">
        <v>45992</v>
      </c>
      <c r="C259" s="5">
        <v>0.64009259259259255</v>
      </c>
      <c r="D259" t="s">
        <v>4</v>
      </c>
      <c r="E259" t="s">
        <v>8</v>
      </c>
      <c r="I259" t="s">
        <v>4834</v>
      </c>
      <c r="J259" t="s">
        <v>2985</v>
      </c>
      <c r="K259" t="s">
        <v>4835</v>
      </c>
      <c r="L259" t="s">
        <v>4836</v>
      </c>
      <c r="M259" s="3" t="str">
        <f>HYPERLINK(склад2въезд131920212223[[#This Row],[RelativePath]])</f>
        <v>10 Сушилка навес\E33149364_3_20251201T152144Z.jpg</v>
      </c>
    </row>
    <row r="260" spans="1:13" x14ac:dyDescent="0.25">
      <c r="A260" s="2" t="s">
        <v>14</v>
      </c>
      <c r="B260" s="4">
        <v>45993</v>
      </c>
      <c r="C260" s="5">
        <v>0.40104166666666669</v>
      </c>
      <c r="D260" t="s">
        <v>533</v>
      </c>
      <c r="E260" t="s">
        <v>531</v>
      </c>
      <c r="F260" t="s">
        <v>58</v>
      </c>
      <c r="H260" t="s">
        <v>4236</v>
      </c>
      <c r="I260" t="s">
        <v>4837</v>
      </c>
      <c r="J260" t="s">
        <v>2985</v>
      </c>
      <c r="K260" t="s">
        <v>4838</v>
      </c>
      <c r="L260" t="s">
        <v>4839</v>
      </c>
      <c r="M260" s="3" t="str">
        <f>HYPERLINK(склад2въезд131920212223[[#This Row],[RelativePath]])</f>
        <v>10 Сушилка навес\E33149364_3_20251202T093730Z.jpg</v>
      </c>
    </row>
    <row r="261" spans="1:13" x14ac:dyDescent="0.25">
      <c r="A261" s="2" t="s">
        <v>14</v>
      </c>
      <c r="B261" s="4">
        <v>45993</v>
      </c>
      <c r="C261" s="5">
        <v>0.44371527777777775</v>
      </c>
      <c r="D261" t="s">
        <v>4</v>
      </c>
      <c r="E261" t="s">
        <v>8</v>
      </c>
      <c r="I261" t="s">
        <v>4840</v>
      </c>
      <c r="J261" t="s">
        <v>2985</v>
      </c>
      <c r="K261" t="s">
        <v>4841</v>
      </c>
      <c r="L261" t="s">
        <v>4842</v>
      </c>
      <c r="M261" s="3" t="str">
        <f>HYPERLINK(склад2въезд131920212223[[#This Row],[RelativePath]])</f>
        <v>10 Сушилка навес\E33149364_3_20251202T103857Z.jpg</v>
      </c>
    </row>
    <row r="262" spans="1:13" x14ac:dyDescent="0.25">
      <c r="A262" s="2" t="s">
        <v>14</v>
      </c>
      <c r="B262" s="4">
        <v>45993</v>
      </c>
      <c r="C262" s="5">
        <v>0.63126157407407413</v>
      </c>
      <c r="D262" t="s">
        <v>533</v>
      </c>
      <c r="E262" t="s">
        <v>531</v>
      </c>
      <c r="F262" t="s">
        <v>58</v>
      </c>
      <c r="H262" t="s">
        <v>4236</v>
      </c>
      <c r="I262" t="s">
        <v>4843</v>
      </c>
      <c r="J262" t="s">
        <v>2985</v>
      </c>
      <c r="K262" t="s">
        <v>4844</v>
      </c>
      <c r="L262" t="s">
        <v>4845</v>
      </c>
      <c r="M262" s="3" t="str">
        <f>HYPERLINK(склад2въезд131920212223[[#This Row],[RelativePath]])</f>
        <v>10 Сушилка навес\E33149364_3_20251202T150901Z.jpg</v>
      </c>
    </row>
    <row r="263" spans="1:13" x14ac:dyDescent="0.25">
      <c r="A263" s="2" t="s">
        <v>14</v>
      </c>
      <c r="B263" s="4">
        <v>45993</v>
      </c>
      <c r="C263" s="5">
        <v>0.6556481481481482</v>
      </c>
      <c r="D263" t="s">
        <v>289</v>
      </c>
      <c r="E263" t="s">
        <v>86</v>
      </c>
      <c r="F263" t="s">
        <v>4240</v>
      </c>
      <c r="I263" t="s">
        <v>4846</v>
      </c>
      <c r="J263" t="s">
        <v>2985</v>
      </c>
      <c r="K263" t="s">
        <v>4847</v>
      </c>
      <c r="L263" t="s">
        <v>4848</v>
      </c>
      <c r="M263" s="3" t="str">
        <f>HYPERLINK(склад2въезд131920212223[[#This Row],[RelativePath]])</f>
        <v>10 Сушилка навес\E33149364_3_20251202T154408Z.jpg</v>
      </c>
    </row>
    <row r="264" spans="1:13" x14ac:dyDescent="0.25">
      <c r="A264" s="2" t="s">
        <v>14</v>
      </c>
      <c r="B264" s="4">
        <v>45993</v>
      </c>
      <c r="C264" s="5">
        <v>0.6594444444444445</v>
      </c>
      <c r="D264" t="s">
        <v>289</v>
      </c>
      <c r="E264" t="s">
        <v>86</v>
      </c>
      <c r="F264" t="s">
        <v>4240</v>
      </c>
      <c r="H264" t="s">
        <v>2936</v>
      </c>
      <c r="I264" t="s">
        <v>4849</v>
      </c>
      <c r="J264" t="s">
        <v>2985</v>
      </c>
      <c r="K264" t="s">
        <v>4850</v>
      </c>
      <c r="L264" t="s">
        <v>4851</v>
      </c>
      <c r="M264" s="3" t="str">
        <f>HYPERLINK(склад2въезд131920212223[[#This Row],[RelativePath]])</f>
        <v>10 Сушилка навес\E33149364_3_20251202T154936Z.jpg</v>
      </c>
    </row>
    <row r="265" spans="1:13" x14ac:dyDescent="0.25">
      <c r="A265" s="2" t="s">
        <v>15</v>
      </c>
      <c r="B265" s="4">
        <v>45994</v>
      </c>
      <c r="C265" s="5">
        <v>0.38624999999999998</v>
      </c>
      <c r="D265" t="s">
        <v>289</v>
      </c>
      <c r="E265" t="s">
        <v>86</v>
      </c>
      <c r="F265" t="s">
        <v>4240</v>
      </c>
      <c r="I265" t="s">
        <v>4852</v>
      </c>
      <c r="J265" t="s">
        <v>2985</v>
      </c>
      <c r="K265" t="s">
        <v>4853</v>
      </c>
      <c r="L265" t="s">
        <v>4854</v>
      </c>
      <c r="M265" s="3" t="str">
        <f>HYPERLINK(склад2въезд131920212223[[#This Row],[RelativePath]])</f>
        <v>10 Сушилка навес\E33149364_3_20251203T091612Z.jpg</v>
      </c>
    </row>
    <row r="266" spans="1:13" x14ac:dyDescent="0.25">
      <c r="A266" s="2" t="s">
        <v>15</v>
      </c>
      <c r="B266" s="4">
        <v>45994</v>
      </c>
      <c r="C266" s="5">
        <v>0.38949074074074075</v>
      </c>
      <c r="D266" t="s">
        <v>4241</v>
      </c>
      <c r="E266" t="s">
        <v>86</v>
      </c>
      <c r="F266" t="s">
        <v>4240</v>
      </c>
      <c r="H266" t="s">
        <v>4236</v>
      </c>
      <c r="I266" t="s">
        <v>4855</v>
      </c>
      <c r="J266" t="s">
        <v>2985</v>
      </c>
      <c r="K266" t="s">
        <v>4856</v>
      </c>
      <c r="L266" t="s">
        <v>4857</v>
      </c>
      <c r="M266" s="3" t="str">
        <f>HYPERLINK(склад2въезд131920212223[[#This Row],[RelativePath]])</f>
        <v>10 Сушилка навес\E33149364_3_20251203T092052Z.jpg</v>
      </c>
    </row>
    <row r="267" spans="1:13" x14ac:dyDescent="0.25">
      <c r="A267" s="2" t="s">
        <v>15</v>
      </c>
      <c r="B267" s="4">
        <v>45994</v>
      </c>
      <c r="C267" s="5">
        <v>0.40879629629629627</v>
      </c>
      <c r="D267" t="s">
        <v>533</v>
      </c>
      <c r="E267" t="s">
        <v>531</v>
      </c>
      <c r="F267" t="s">
        <v>58</v>
      </c>
      <c r="H267" t="s">
        <v>4236</v>
      </c>
      <c r="I267" t="s">
        <v>4858</v>
      </c>
      <c r="J267" t="s">
        <v>2985</v>
      </c>
      <c r="K267" t="s">
        <v>4859</v>
      </c>
      <c r="L267" t="s">
        <v>4860</v>
      </c>
      <c r="M267" s="3" t="str">
        <f>HYPERLINK(склад2въезд131920212223[[#This Row],[RelativePath]])</f>
        <v>10 Сушилка навес\E33149364_3_20251203T094840Z.jpg</v>
      </c>
    </row>
    <row r="268" spans="1:13" x14ac:dyDescent="0.25">
      <c r="A268" s="2" t="s">
        <v>15</v>
      </c>
      <c r="B268" s="4">
        <v>45994</v>
      </c>
      <c r="C268" s="5">
        <v>0.67202546296296295</v>
      </c>
      <c r="D268" t="s">
        <v>533</v>
      </c>
      <c r="E268" t="s">
        <v>531</v>
      </c>
      <c r="F268" t="s">
        <v>58</v>
      </c>
      <c r="H268" t="s">
        <v>4236</v>
      </c>
      <c r="I268" t="s">
        <v>4861</v>
      </c>
      <c r="J268" t="s">
        <v>2985</v>
      </c>
      <c r="K268" t="s">
        <v>4862</v>
      </c>
      <c r="L268" t="s">
        <v>4863</v>
      </c>
      <c r="M268" s="3" t="str">
        <f>HYPERLINK(склад2въезд131920212223[[#This Row],[RelativePath]])</f>
        <v>10 Сушилка навес\E33149364_3_20251203T160743Z.jpg</v>
      </c>
    </row>
    <row r="269" spans="1:13" x14ac:dyDescent="0.25">
      <c r="A269" s="2" t="s">
        <v>16</v>
      </c>
      <c r="B269" s="4">
        <v>45995</v>
      </c>
      <c r="C269" s="5">
        <v>0.4805902777777778</v>
      </c>
      <c r="D269" t="s">
        <v>533</v>
      </c>
      <c r="E269" t="s">
        <v>531</v>
      </c>
      <c r="F269" t="s">
        <v>58</v>
      </c>
      <c r="H269" t="s">
        <v>4236</v>
      </c>
      <c r="I269" t="s">
        <v>4864</v>
      </c>
      <c r="J269" t="s">
        <v>2985</v>
      </c>
      <c r="K269" t="s">
        <v>4865</v>
      </c>
      <c r="L269" t="s">
        <v>4866</v>
      </c>
      <c r="M269" s="3" t="str">
        <f>HYPERLINK(склад2въезд131920212223[[#This Row],[RelativePath]])</f>
        <v>10 Сушилка навес\E33149364_3_20251204T113203Z.jpg</v>
      </c>
    </row>
    <row r="270" spans="1:13" x14ac:dyDescent="0.25">
      <c r="A270" s="2" t="s">
        <v>16</v>
      </c>
      <c r="B270" s="4">
        <v>45995</v>
      </c>
      <c r="C270" s="5">
        <v>0.67572916666666671</v>
      </c>
      <c r="D270" t="s">
        <v>289</v>
      </c>
      <c r="E270" t="s">
        <v>86</v>
      </c>
      <c r="F270" t="s">
        <v>4240</v>
      </c>
      <c r="I270" t="s">
        <v>4867</v>
      </c>
      <c r="J270" t="s">
        <v>2985</v>
      </c>
      <c r="K270" t="s">
        <v>4868</v>
      </c>
      <c r="L270" t="s">
        <v>4869</v>
      </c>
      <c r="M270" s="3" t="str">
        <f>HYPERLINK(склад2въезд131920212223[[#This Row],[RelativePath]])</f>
        <v>10 Сушилка навес\E33149364_3_20251204T161303Z.jpg</v>
      </c>
    </row>
    <row r="271" spans="1:13" x14ac:dyDescent="0.25">
      <c r="A271" s="2" t="s">
        <v>16</v>
      </c>
      <c r="B271" s="4">
        <v>45995</v>
      </c>
      <c r="C271" s="5">
        <v>0.67605324074074069</v>
      </c>
      <c r="D271" t="s">
        <v>4241</v>
      </c>
      <c r="E271" t="s">
        <v>86</v>
      </c>
      <c r="F271" t="s">
        <v>4240</v>
      </c>
      <c r="H271" t="s">
        <v>4236</v>
      </c>
      <c r="I271" t="s">
        <v>4870</v>
      </c>
      <c r="J271" t="s">
        <v>2985</v>
      </c>
      <c r="K271" t="s">
        <v>4871</v>
      </c>
      <c r="L271" t="s">
        <v>4872</v>
      </c>
      <c r="M271" s="3" t="str">
        <f>HYPERLINK(склад2въезд131920212223[[#This Row],[RelativePath]])</f>
        <v>10 Сушилка навес\E33149364_3_20251204T161331Z.jpg</v>
      </c>
    </row>
    <row r="272" spans="1:13" x14ac:dyDescent="0.25">
      <c r="A272" s="2" t="s">
        <v>16</v>
      </c>
      <c r="B272" s="4">
        <v>45995</v>
      </c>
      <c r="C272" s="5">
        <v>0.68111111111111111</v>
      </c>
      <c r="D272" t="s">
        <v>533</v>
      </c>
      <c r="E272" t="s">
        <v>531</v>
      </c>
      <c r="F272" t="s">
        <v>58</v>
      </c>
      <c r="H272" t="s">
        <v>4236</v>
      </c>
      <c r="I272" t="s">
        <v>4873</v>
      </c>
      <c r="J272" t="s">
        <v>2985</v>
      </c>
      <c r="K272" t="s">
        <v>4874</v>
      </c>
      <c r="L272" t="s">
        <v>4875</v>
      </c>
      <c r="M272" s="3" t="str">
        <f>HYPERLINK(склад2въезд131920212223[[#This Row],[RelativePath]])</f>
        <v>10 Сушилка навес\E33149364_3_20251204T162048Z.jpg</v>
      </c>
    </row>
    <row r="273" spans="1:13" x14ac:dyDescent="0.25">
      <c r="A273" s="2" t="s">
        <v>17</v>
      </c>
      <c r="B273" s="4">
        <v>45996</v>
      </c>
      <c r="C273" s="5">
        <v>0.3862962962962963</v>
      </c>
      <c r="D273" t="s">
        <v>533</v>
      </c>
      <c r="E273" t="s">
        <v>531</v>
      </c>
      <c r="F273" t="s">
        <v>58</v>
      </c>
      <c r="H273" t="s">
        <v>4236</v>
      </c>
      <c r="I273" t="s">
        <v>4876</v>
      </c>
      <c r="J273" t="s">
        <v>2985</v>
      </c>
      <c r="K273" t="s">
        <v>4877</v>
      </c>
      <c r="L273" t="s">
        <v>4878</v>
      </c>
      <c r="M273" s="3" t="str">
        <f>HYPERLINK(склад2въезд131920212223[[#This Row],[RelativePath]])</f>
        <v>10 Сушилка навес\E33149364_3_20251205T091616Z.jpg</v>
      </c>
    </row>
    <row r="274" spans="1:13" x14ac:dyDescent="0.25">
      <c r="A274" s="2" t="s">
        <v>17</v>
      </c>
      <c r="B274" s="4">
        <v>45996</v>
      </c>
      <c r="C274" s="5">
        <v>0.39599537037037036</v>
      </c>
      <c r="D274" t="s">
        <v>289</v>
      </c>
      <c r="E274" t="s">
        <v>86</v>
      </c>
      <c r="F274" t="s">
        <v>4240</v>
      </c>
      <c r="I274" t="s">
        <v>4879</v>
      </c>
      <c r="J274" t="s">
        <v>2985</v>
      </c>
      <c r="K274" t="s">
        <v>4880</v>
      </c>
      <c r="L274" t="s">
        <v>4881</v>
      </c>
      <c r="M274" s="3" t="str">
        <f>HYPERLINK(склад2въезд131920212223[[#This Row],[RelativePath]])</f>
        <v>10 Сушилка навес\E33149364_3_20251205T093014Z.jpg</v>
      </c>
    </row>
    <row r="275" spans="1:13" x14ac:dyDescent="0.25">
      <c r="A275" s="2" t="s">
        <v>17</v>
      </c>
      <c r="B275" s="4">
        <v>45996</v>
      </c>
      <c r="C275" s="5">
        <v>0.39608796296296295</v>
      </c>
      <c r="D275" t="s">
        <v>4241</v>
      </c>
      <c r="E275" t="s">
        <v>86</v>
      </c>
      <c r="F275" t="s">
        <v>4240</v>
      </c>
      <c r="H275" t="s">
        <v>4236</v>
      </c>
      <c r="I275" t="s">
        <v>4882</v>
      </c>
      <c r="J275" t="s">
        <v>2985</v>
      </c>
      <c r="K275" t="s">
        <v>4883</v>
      </c>
      <c r="L275" t="s">
        <v>4884</v>
      </c>
      <c r="M275" s="3" t="str">
        <f>HYPERLINK(склад2въезд131920212223[[#This Row],[RelativePath]])</f>
        <v>10 Сушилка навес\E33149364_3_20251205T093022Z.jpg</v>
      </c>
    </row>
    <row r="276" spans="1:13" x14ac:dyDescent="0.25">
      <c r="A276" s="2" t="s">
        <v>17</v>
      </c>
      <c r="B276" s="4">
        <v>45996</v>
      </c>
      <c r="C276" s="5">
        <v>0.40619212962962964</v>
      </c>
      <c r="D276" t="s">
        <v>533</v>
      </c>
      <c r="E276" t="s">
        <v>531</v>
      </c>
      <c r="F276" t="s">
        <v>1099</v>
      </c>
      <c r="H276" t="s">
        <v>4236</v>
      </c>
      <c r="I276" t="s">
        <v>4885</v>
      </c>
      <c r="J276" t="s">
        <v>2985</v>
      </c>
      <c r="K276" t="s">
        <v>4886</v>
      </c>
      <c r="L276" t="s">
        <v>4887</v>
      </c>
      <c r="M276" s="3" t="str">
        <f>HYPERLINK(склад2въезд131920212223[[#This Row],[RelativePath]])</f>
        <v>10 Сушилка навес\E33149364_3_20251205T094455Z.jpg</v>
      </c>
    </row>
    <row r="277" spans="1:13" x14ac:dyDescent="0.25">
      <c r="A277" s="2" t="s">
        <v>17</v>
      </c>
      <c r="B277" s="4">
        <v>45996</v>
      </c>
      <c r="C277" s="5">
        <v>0.47696759259259258</v>
      </c>
      <c r="D277" t="s">
        <v>533</v>
      </c>
      <c r="E277" t="s">
        <v>531</v>
      </c>
      <c r="F277" t="s">
        <v>58</v>
      </c>
      <c r="H277" t="s">
        <v>4236</v>
      </c>
      <c r="I277" t="s">
        <v>4888</v>
      </c>
      <c r="J277" t="s">
        <v>2985</v>
      </c>
      <c r="K277" t="s">
        <v>4889</v>
      </c>
      <c r="L277" t="s">
        <v>4890</v>
      </c>
      <c r="M277" s="3" t="str">
        <f>HYPERLINK(склад2въезд131920212223[[#This Row],[RelativePath]])</f>
        <v>10 Сушилка навес\E33149364_3_20251205T112650Z.jpg</v>
      </c>
    </row>
    <row r="278" spans="1:13" x14ac:dyDescent="0.25">
      <c r="A278" s="2" t="s">
        <v>17</v>
      </c>
      <c r="B278" s="4">
        <v>45996</v>
      </c>
      <c r="C278" s="5">
        <v>0.62177083333333338</v>
      </c>
      <c r="D278" t="s">
        <v>4227</v>
      </c>
      <c r="E278" t="s">
        <v>531</v>
      </c>
      <c r="F278" t="s">
        <v>4233</v>
      </c>
      <c r="H278" t="s">
        <v>2957</v>
      </c>
      <c r="I278" t="s">
        <v>4891</v>
      </c>
      <c r="J278" t="s">
        <v>2985</v>
      </c>
      <c r="K278" t="s">
        <v>4892</v>
      </c>
      <c r="L278" t="s">
        <v>4893</v>
      </c>
      <c r="M278" s="3" t="str">
        <f>HYPERLINK(склад2въезд131920212223[[#This Row],[RelativePath]])</f>
        <v>10 Сушилка навес\E33149364_3_20251205T145521Z.jpg</v>
      </c>
    </row>
    <row r="279" spans="1:13" x14ac:dyDescent="0.25">
      <c r="A279" s="2" t="s">
        <v>17</v>
      </c>
      <c r="B279" s="4">
        <v>45996</v>
      </c>
      <c r="C279" s="5">
        <v>0.68119212962962961</v>
      </c>
      <c r="D279" t="s">
        <v>4</v>
      </c>
      <c r="E279" t="s">
        <v>8</v>
      </c>
      <c r="I279" t="s">
        <v>4894</v>
      </c>
      <c r="J279" t="s">
        <v>2985</v>
      </c>
      <c r="K279" t="s">
        <v>4895</v>
      </c>
      <c r="L279" t="s">
        <v>4896</v>
      </c>
      <c r="M279" s="3" t="str">
        <f>HYPERLINK(склад2въезд131920212223[[#This Row],[RelativePath]])</f>
        <v>10 Сушилка навес\E33149364_3_20251205T162055Z.jpg</v>
      </c>
    </row>
    <row r="280" spans="1:13" x14ac:dyDescent="0.25">
      <c r="A280" s="2" t="s">
        <v>18</v>
      </c>
      <c r="B280" s="4">
        <v>45997</v>
      </c>
      <c r="C280" s="5">
        <v>0.67979166666666668</v>
      </c>
      <c r="D280" t="s">
        <v>2004</v>
      </c>
      <c r="E280" t="s">
        <v>8</v>
      </c>
      <c r="I280" t="s">
        <v>4897</v>
      </c>
      <c r="J280" t="s">
        <v>2985</v>
      </c>
      <c r="K280" t="s">
        <v>4898</v>
      </c>
      <c r="L280" t="s">
        <v>4899</v>
      </c>
      <c r="M280" s="3" t="str">
        <f>HYPERLINK(склад2въезд131920212223[[#This Row],[RelativePath]])</f>
        <v>10 Сушилка навес\E33149364_3_20251206T161854Z.jpg</v>
      </c>
    </row>
    <row r="281" spans="1:13" x14ac:dyDescent="0.25">
      <c r="A281" s="2" t="s">
        <v>22</v>
      </c>
      <c r="B281" s="4">
        <v>45998</v>
      </c>
      <c r="C281" s="5">
        <v>0.5006828703703704</v>
      </c>
      <c r="D281" t="s">
        <v>4</v>
      </c>
      <c r="E281" t="s">
        <v>8</v>
      </c>
      <c r="I281" t="s">
        <v>5181</v>
      </c>
      <c r="J281" t="s">
        <v>2985</v>
      </c>
      <c r="K281" t="s">
        <v>5182</v>
      </c>
      <c r="L281" t="s">
        <v>5183</v>
      </c>
      <c r="M281" s="3" t="str">
        <f>HYPERLINK(склад2въезд131920212223[[#This Row],[RelativePath]])</f>
        <v>10 Сушилка навес\E33149364_3_20251207T120059Z.jpg</v>
      </c>
    </row>
    <row r="282" spans="1:13" x14ac:dyDescent="0.25">
      <c r="A282" s="2" t="s">
        <v>22</v>
      </c>
      <c r="B282" s="4">
        <v>45998</v>
      </c>
      <c r="C282" s="5">
        <v>0.59520833333333334</v>
      </c>
      <c r="D282" t="s">
        <v>1606</v>
      </c>
      <c r="E282" t="s">
        <v>5263</v>
      </c>
      <c r="F282" t="s">
        <v>51</v>
      </c>
      <c r="I282" t="s">
        <v>5184</v>
      </c>
      <c r="J282" t="s">
        <v>2985</v>
      </c>
      <c r="K282" t="s">
        <v>5185</v>
      </c>
      <c r="L282" t="s">
        <v>5186</v>
      </c>
      <c r="M282" s="3" t="str">
        <f>HYPERLINK(склад2въезд131920212223[[#This Row],[RelativePath]])</f>
        <v>10 Сушилка навес\E33149364_3_20251207T141706Z.jpg</v>
      </c>
    </row>
    <row r="283" spans="1:13" x14ac:dyDescent="0.25">
      <c r="A283" s="2" t="s">
        <v>22</v>
      </c>
      <c r="B283" s="4">
        <v>45998</v>
      </c>
      <c r="C283" s="5">
        <v>0.60039351851851852</v>
      </c>
      <c r="D283" t="s">
        <v>289</v>
      </c>
      <c r="E283" t="s">
        <v>5263</v>
      </c>
      <c r="F283" t="s">
        <v>4233</v>
      </c>
      <c r="I283" t="s">
        <v>5187</v>
      </c>
      <c r="J283" t="s">
        <v>2985</v>
      </c>
      <c r="K283" t="s">
        <v>5188</v>
      </c>
      <c r="L283" t="s">
        <v>5189</v>
      </c>
      <c r="M283" s="3" t="str">
        <f>HYPERLINK(склад2въезд131920212223[[#This Row],[RelativePath]])</f>
        <v>10 Сушилка навес\E33149364_3_20251207T142434Z.jpg</v>
      </c>
    </row>
    <row r="284" spans="1:13" x14ac:dyDescent="0.25">
      <c r="A284" s="2" t="s">
        <v>22</v>
      </c>
      <c r="B284" s="4">
        <v>45998</v>
      </c>
      <c r="C284" s="5">
        <v>0.60648148148148151</v>
      </c>
      <c r="D284" t="s">
        <v>289</v>
      </c>
      <c r="E284" t="s">
        <v>5263</v>
      </c>
      <c r="F284" t="s">
        <v>4233</v>
      </c>
      <c r="H284" t="s">
        <v>2936</v>
      </c>
      <c r="I284" t="s">
        <v>5190</v>
      </c>
      <c r="J284" t="s">
        <v>2985</v>
      </c>
      <c r="K284" t="s">
        <v>5191</v>
      </c>
      <c r="L284" t="s">
        <v>5192</v>
      </c>
      <c r="M284" s="3" t="str">
        <f>HYPERLINK(склад2въезд131920212223[[#This Row],[RelativePath]])</f>
        <v>10 Сушилка навес\E33149364_3_20251207T143320Z.jpg</v>
      </c>
    </row>
    <row r="285" spans="1:13" x14ac:dyDescent="0.25">
      <c r="A285" s="2" t="s">
        <v>22</v>
      </c>
      <c r="B285" s="4">
        <v>45998</v>
      </c>
      <c r="C285" s="5">
        <v>0.61306712962962961</v>
      </c>
      <c r="D285" t="s">
        <v>4232</v>
      </c>
      <c r="E285" t="s">
        <v>5263</v>
      </c>
      <c r="F285" t="s">
        <v>4233</v>
      </c>
      <c r="I285" t="s">
        <v>5193</v>
      </c>
      <c r="J285" t="s">
        <v>2985</v>
      </c>
      <c r="K285" t="s">
        <v>5194</v>
      </c>
      <c r="L285" t="s">
        <v>5195</v>
      </c>
      <c r="M285" s="3" t="str">
        <f>HYPERLINK(склад2въезд131920212223[[#This Row],[RelativePath]])</f>
        <v>10 Сушилка навес\E33149364_3_20251207T144249Z.jpg</v>
      </c>
    </row>
    <row r="286" spans="1:13" x14ac:dyDescent="0.25">
      <c r="A286" s="2" t="s">
        <v>13</v>
      </c>
      <c r="B286" s="4">
        <v>45999</v>
      </c>
      <c r="C286" s="5">
        <v>0.38292824074074072</v>
      </c>
      <c r="D286" t="s">
        <v>289</v>
      </c>
      <c r="E286" t="s">
        <v>86</v>
      </c>
      <c r="F286" t="s">
        <v>4240</v>
      </c>
      <c r="I286" t="s">
        <v>5385</v>
      </c>
      <c r="J286" t="s">
        <v>2985</v>
      </c>
      <c r="K286" t="s">
        <v>5386</v>
      </c>
      <c r="L286" t="s">
        <v>5387</v>
      </c>
      <c r="M286" s="3" t="str">
        <f>HYPERLINK(склад2въезд131920212223[[#This Row],[RelativePath]])</f>
        <v>10 Сушилка навес\E33149364_3_20251208T091125Z.jpg</v>
      </c>
    </row>
    <row r="287" spans="1:13" x14ac:dyDescent="0.25">
      <c r="A287" s="2" t="s">
        <v>13</v>
      </c>
      <c r="B287" s="4">
        <v>45999</v>
      </c>
      <c r="C287" s="5">
        <v>0.38321759259259258</v>
      </c>
      <c r="D287" t="s">
        <v>4241</v>
      </c>
      <c r="E287" t="s">
        <v>86</v>
      </c>
      <c r="F287" t="s">
        <v>4240</v>
      </c>
      <c r="I287" t="s">
        <v>5388</v>
      </c>
      <c r="J287" t="s">
        <v>2985</v>
      </c>
      <c r="K287" t="s">
        <v>5389</v>
      </c>
      <c r="L287" t="s">
        <v>5390</v>
      </c>
      <c r="M287" s="3" t="str">
        <f>HYPERLINK(склад2въезд131920212223[[#This Row],[RelativePath]])</f>
        <v>10 Сушилка навес\E33149364_3_20251208T091150Z.jpg</v>
      </c>
    </row>
    <row r="288" spans="1:13" x14ac:dyDescent="0.25">
      <c r="A288" s="2" t="s">
        <v>13</v>
      </c>
      <c r="B288" s="4">
        <v>45999</v>
      </c>
      <c r="C288" s="5">
        <v>0.38679398148148147</v>
      </c>
      <c r="D288" t="s">
        <v>533</v>
      </c>
      <c r="E288" t="s">
        <v>531</v>
      </c>
      <c r="F288" t="s">
        <v>1099</v>
      </c>
      <c r="H288" t="s">
        <v>1620</v>
      </c>
      <c r="I288" t="s">
        <v>5391</v>
      </c>
      <c r="J288" t="s">
        <v>2985</v>
      </c>
      <c r="K288" t="s">
        <v>5392</v>
      </c>
      <c r="L288" t="s">
        <v>5393</v>
      </c>
      <c r="M288" s="3" t="str">
        <f>HYPERLINK(склад2въезд131920212223[[#This Row],[RelativePath]])</f>
        <v>10 Сушилка навес\E33149364_3_20251208T091659Z.jpg</v>
      </c>
    </row>
    <row r="289" spans="1:13" x14ac:dyDescent="0.25">
      <c r="A289" s="2" t="s">
        <v>13</v>
      </c>
      <c r="B289" s="4">
        <v>45999</v>
      </c>
      <c r="C289" s="5">
        <v>0.39261574074074074</v>
      </c>
      <c r="D289" t="s">
        <v>4</v>
      </c>
      <c r="E289" t="s">
        <v>8</v>
      </c>
      <c r="I289" t="s">
        <v>5394</v>
      </c>
      <c r="J289" t="s">
        <v>2985</v>
      </c>
      <c r="K289" t="s">
        <v>5395</v>
      </c>
      <c r="L289" t="s">
        <v>5268</v>
      </c>
      <c r="M289" s="3" t="str">
        <f>HYPERLINK(склад2въезд131920212223[[#This Row],[RelativePath]])</f>
        <v>10 Сушилка навес\E33149364_3_20251208T092522Z.jpg</v>
      </c>
    </row>
    <row r="290" spans="1:13" x14ac:dyDescent="0.25">
      <c r="A290" s="2" t="s">
        <v>13</v>
      </c>
      <c r="B290" s="4">
        <v>45999</v>
      </c>
      <c r="C290" s="5">
        <v>0.39297453703703705</v>
      </c>
      <c r="D290" t="s">
        <v>533</v>
      </c>
      <c r="E290" t="s">
        <v>531</v>
      </c>
      <c r="F290" t="s">
        <v>58</v>
      </c>
      <c r="H290" t="s">
        <v>4236</v>
      </c>
      <c r="I290" t="s">
        <v>5396</v>
      </c>
      <c r="J290" t="s">
        <v>2985</v>
      </c>
      <c r="K290" t="s">
        <v>5397</v>
      </c>
      <c r="L290" t="s">
        <v>5398</v>
      </c>
      <c r="M290" s="3" t="str">
        <f>HYPERLINK(склад2въезд131920212223[[#This Row],[RelativePath]])</f>
        <v>10 Сушилка навес\E33149364_3_20251208T092553Z.jpg</v>
      </c>
    </row>
    <row r="291" spans="1:13" x14ac:dyDescent="0.25">
      <c r="A291" s="2" t="s">
        <v>13</v>
      </c>
      <c r="B291" s="4">
        <v>45999</v>
      </c>
      <c r="C291" s="5">
        <v>0.39328703703703705</v>
      </c>
      <c r="D291" t="s">
        <v>533</v>
      </c>
      <c r="E291" t="s">
        <v>531</v>
      </c>
      <c r="F291" t="s">
        <v>58</v>
      </c>
      <c r="H291" t="s">
        <v>4236</v>
      </c>
      <c r="I291" t="s">
        <v>5399</v>
      </c>
      <c r="J291" t="s">
        <v>2985</v>
      </c>
      <c r="K291" t="s">
        <v>5400</v>
      </c>
      <c r="L291" t="s">
        <v>5401</v>
      </c>
      <c r="M291" s="3" t="str">
        <f>HYPERLINK(склад2въезд131920212223[[#This Row],[RelativePath]])</f>
        <v>10 Сушилка навес\E33149364_3_20251208T092620Z.jpg</v>
      </c>
    </row>
    <row r="292" spans="1:13" x14ac:dyDescent="0.25">
      <c r="A292" s="2" t="s">
        <v>13</v>
      </c>
      <c r="B292" s="4">
        <v>45999</v>
      </c>
      <c r="C292" s="5">
        <v>0.39341435185185186</v>
      </c>
      <c r="D292" t="s">
        <v>533</v>
      </c>
      <c r="E292" t="s">
        <v>531</v>
      </c>
      <c r="F292" t="s">
        <v>58</v>
      </c>
      <c r="H292" t="s">
        <v>4236</v>
      </c>
      <c r="I292" t="s">
        <v>5402</v>
      </c>
      <c r="J292" t="s">
        <v>2985</v>
      </c>
      <c r="K292" t="s">
        <v>5403</v>
      </c>
      <c r="L292" t="s">
        <v>5404</v>
      </c>
      <c r="M292" s="3" t="str">
        <f>HYPERLINK(склад2въезд131920212223[[#This Row],[RelativePath]])</f>
        <v>10 Сушилка навес\E33149364_3_20251208T092631Z.jpg</v>
      </c>
    </row>
    <row r="293" spans="1:13" x14ac:dyDescent="0.25">
      <c r="A293" s="2" t="s">
        <v>13</v>
      </c>
      <c r="B293" s="4">
        <v>45999</v>
      </c>
      <c r="C293" s="5">
        <v>0.39350694444444445</v>
      </c>
      <c r="D293" t="s">
        <v>533</v>
      </c>
      <c r="E293" t="s">
        <v>531</v>
      </c>
      <c r="F293" t="s">
        <v>58</v>
      </c>
      <c r="H293" t="s">
        <v>4236</v>
      </c>
      <c r="I293" t="s">
        <v>5405</v>
      </c>
      <c r="J293" t="s">
        <v>2985</v>
      </c>
      <c r="K293" t="s">
        <v>5406</v>
      </c>
      <c r="L293" t="s">
        <v>5407</v>
      </c>
      <c r="M293" s="3" t="str">
        <f>HYPERLINK(склад2въезд131920212223[[#This Row],[RelativePath]])</f>
        <v>10 Сушилка навес\E33149364_3_20251208T092639Z.jpg</v>
      </c>
    </row>
    <row r="294" spans="1:13" x14ac:dyDescent="0.25">
      <c r="A294" s="2" t="s">
        <v>13</v>
      </c>
      <c r="B294" s="4">
        <v>45999</v>
      </c>
      <c r="C294" s="5">
        <v>0.39398148148148149</v>
      </c>
      <c r="D294" t="s">
        <v>533</v>
      </c>
      <c r="E294" t="s">
        <v>531</v>
      </c>
      <c r="F294" t="s">
        <v>58</v>
      </c>
      <c r="H294" t="s">
        <v>4236</v>
      </c>
      <c r="I294" t="s">
        <v>5408</v>
      </c>
      <c r="J294" t="s">
        <v>2985</v>
      </c>
      <c r="K294" t="s">
        <v>5409</v>
      </c>
      <c r="L294" t="s">
        <v>5410</v>
      </c>
      <c r="M294" s="3" t="str">
        <f>HYPERLINK(склад2въезд131920212223[[#This Row],[RelativePath]])</f>
        <v>10 Сушилка навес\E33149364_3_20251208T092720Z.jpg</v>
      </c>
    </row>
    <row r="295" spans="1:13" x14ac:dyDescent="0.25">
      <c r="A295" s="2" t="s">
        <v>13</v>
      </c>
      <c r="B295" s="4">
        <v>45999</v>
      </c>
      <c r="C295" s="5">
        <v>0.4160300925925926</v>
      </c>
      <c r="D295" t="s">
        <v>4223</v>
      </c>
      <c r="E295" t="s">
        <v>86</v>
      </c>
      <c r="F295" t="s">
        <v>58</v>
      </c>
      <c r="I295" t="s">
        <v>5411</v>
      </c>
      <c r="J295" t="s">
        <v>2985</v>
      </c>
      <c r="K295" t="s">
        <v>5412</v>
      </c>
      <c r="L295" t="s">
        <v>5413</v>
      </c>
      <c r="M295" s="3" t="str">
        <f>HYPERLINK(склад2въезд131920212223[[#This Row],[RelativePath]])</f>
        <v>10 Сушилка навес\E33149364_3_20251208T095905Z.jpg</v>
      </c>
    </row>
    <row r="296" spans="1:13" x14ac:dyDescent="0.25">
      <c r="A296" s="2" t="s">
        <v>13</v>
      </c>
      <c r="B296" s="4">
        <v>45999</v>
      </c>
      <c r="C296" s="5">
        <v>0.41706018518518517</v>
      </c>
      <c r="D296" t="s">
        <v>4223</v>
      </c>
      <c r="E296" t="s">
        <v>86</v>
      </c>
      <c r="F296" t="s">
        <v>58</v>
      </c>
      <c r="H296" t="s">
        <v>2954</v>
      </c>
      <c r="I296" t="s">
        <v>5414</v>
      </c>
      <c r="J296" t="s">
        <v>2985</v>
      </c>
      <c r="K296" t="s">
        <v>5415</v>
      </c>
      <c r="L296" t="s">
        <v>5416</v>
      </c>
      <c r="M296" s="3" t="str">
        <f>HYPERLINK(склад2въезд131920212223[[#This Row],[RelativePath]])</f>
        <v>10 Сушилка навес\E33149364_3_20251208T100034Z.jpg</v>
      </c>
    </row>
    <row r="297" spans="1:13" x14ac:dyDescent="0.25">
      <c r="A297" s="2" t="s">
        <v>13</v>
      </c>
      <c r="B297" s="4">
        <v>45999</v>
      </c>
      <c r="C297" s="5">
        <v>0.41962962962962963</v>
      </c>
      <c r="D297" t="s">
        <v>4223</v>
      </c>
      <c r="E297" t="s">
        <v>86</v>
      </c>
      <c r="F297" t="s">
        <v>58</v>
      </c>
      <c r="I297" t="s">
        <v>5417</v>
      </c>
      <c r="J297" t="s">
        <v>2985</v>
      </c>
      <c r="K297" t="s">
        <v>5418</v>
      </c>
      <c r="L297" t="s">
        <v>5419</v>
      </c>
      <c r="M297" s="3" t="str">
        <f>HYPERLINK(склад2въезд131920212223[[#This Row],[RelativePath]])</f>
        <v>10 Сушилка навес\E33149364_3_20251208T100416Z.jpg</v>
      </c>
    </row>
    <row r="298" spans="1:13" x14ac:dyDescent="0.25">
      <c r="A298" s="2" t="s">
        <v>13</v>
      </c>
      <c r="B298" s="4">
        <v>45999</v>
      </c>
      <c r="C298" s="5">
        <v>0.41980324074074077</v>
      </c>
      <c r="D298" t="s">
        <v>4223</v>
      </c>
      <c r="E298" t="s">
        <v>86</v>
      </c>
      <c r="F298" t="s">
        <v>58</v>
      </c>
      <c r="H298" t="s">
        <v>2954</v>
      </c>
      <c r="I298" t="s">
        <v>5420</v>
      </c>
      <c r="J298" t="s">
        <v>2985</v>
      </c>
      <c r="K298" t="s">
        <v>5421</v>
      </c>
      <c r="L298" t="s">
        <v>5422</v>
      </c>
      <c r="M298" s="3" t="str">
        <f>HYPERLINK(склад2въезд131920212223[[#This Row],[RelativePath]])</f>
        <v>10 Сушилка навес\E33149364_3_20251208T100431Z.jpg</v>
      </c>
    </row>
    <row r="299" spans="1:13" x14ac:dyDescent="0.25">
      <c r="A299" s="2" t="s">
        <v>13</v>
      </c>
      <c r="B299" s="4">
        <v>45999</v>
      </c>
      <c r="C299" s="5">
        <v>0.42469907407407409</v>
      </c>
      <c r="D299" t="s">
        <v>4223</v>
      </c>
      <c r="E299" t="s">
        <v>86</v>
      </c>
      <c r="F299" t="s">
        <v>58</v>
      </c>
      <c r="I299" t="s">
        <v>5423</v>
      </c>
      <c r="J299" t="s">
        <v>2985</v>
      </c>
      <c r="K299" t="s">
        <v>5424</v>
      </c>
      <c r="L299" t="s">
        <v>5425</v>
      </c>
      <c r="M299" s="3" t="str">
        <f>HYPERLINK(склад2въезд131920212223[[#This Row],[RelativePath]])</f>
        <v>10 Сушилка навес\E33149364_3_20251208T101134Z.jpg</v>
      </c>
    </row>
    <row r="300" spans="1:13" x14ac:dyDescent="0.25">
      <c r="A300" s="2" t="s">
        <v>13</v>
      </c>
      <c r="B300" s="4">
        <v>45999</v>
      </c>
      <c r="C300" s="5">
        <v>0.42531249999999998</v>
      </c>
      <c r="D300" t="s">
        <v>4223</v>
      </c>
      <c r="E300" t="s">
        <v>86</v>
      </c>
      <c r="F300" t="s">
        <v>58</v>
      </c>
      <c r="H300" t="s">
        <v>2936</v>
      </c>
      <c r="I300" t="s">
        <v>5426</v>
      </c>
      <c r="J300" t="s">
        <v>2985</v>
      </c>
      <c r="K300" t="s">
        <v>5427</v>
      </c>
      <c r="L300" t="s">
        <v>5428</v>
      </c>
      <c r="M300" s="3" t="str">
        <f>HYPERLINK(склад2въезд131920212223[[#This Row],[RelativePath]])</f>
        <v>10 Сушилка навес\E33149364_3_20251208T101227Z.jpg</v>
      </c>
    </row>
    <row r="301" spans="1:13" x14ac:dyDescent="0.25">
      <c r="A301" s="2" t="s">
        <v>13</v>
      </c>
      <c r="B301" s="4">
        <v>45999</v>
      </c>
      <c r="C301" s="5">
        <v>0.42561342592592594</v>
      </c>
      <c r="D301" t="s">
        <v>4223</v>
      </c>
      <c r="E301" t="s">
        <v>86</v>
      </c>
      <c r="F301" t="s">
        <v>58</v>
      </c>
      <c r="H301" t="s">
        <v>4236</v>
      </c>
      <c r="I301" t="s">
        <v>5429</v>
      </c>
      <c r="J301" t="s">
        <v>2985</v>
      </c>
      <c r="K301" t="s">
        <v>5430</v>
      </c>
      <c r="L301" t="s">
        <v>5431</v>
      </c>
      <c r="M301" s="3" t="str">
        <f>HYPERLINK(склад2въезд131920212223[[#This Row],[RelativePath]])</f>
        <v>10 Сушилка навес\E33149364_3_20251208T101253Z.jpg</v>
      </c>
    </row>
    <row r="302" spans="1:13" x14ac:dyDescent="0.25">
      <c r="A302" s="2" t="s">
        <v>13</v>
      </c>
      <c r="B302" s="4">
        <v>45999</v>
      </c>
      <c r="C302" s="5">
        <v>0.4620023148148148</v>
      </c>
      <c r="D302" t="s">
        <v>4223</v>
      </c>
      <c r="E302" t="s">
        <v>86</v>
      </c>
      <c r="F302" t="s">
        <v>58</v>
      </c>
      <c r="I302" t="s">
        <v>5432</v>
      </c>
      <c r="J302" t="s">
        <v>2985</v>
      </c>
      <c r="K302" t="s">
        <v>5433</v>
      </c>
      <c r="L302" t="s">
        <v>5434</v>
      </c>
      <c r="M302" s="3" t="str">
        <f>HYPERLINK(склад2въезд131920212223[[#This Row],[RelativePath]])</f>
        <v>10 Сушилка навес\E33149364_3_20251208T110517Z.jpg</v>
      </c>
    </row>
    <row r="303" spans="1:13" x14ac:dyDescent="0.25">
      <c r="A303" s="2" t="s">
        <v>13</v>
      </c>
      <c r="B303" s="4">
        <v>45999</v>
      </c>
      <c r="C303" s="5">
        <v>0.46225694444444443</v>
      </c>
      <c r="D303" t="s">
        <v>4223</v>
      </c>
      <c r="E303" t="s">
        <v>86</v>
      </c>
      <c r="F303" t="s">
        <v>58</v>
      </c>
      <c r="H303" t="s">
        <v>2954</v>
      </c>
      <c r="I303" t="s">
        <v>5435</v>
      </c>
      <c r="J303" t="s">
        <v>2985</v>
      </c>
      <c r="K303" t="s">
        <v>5436</v>
      </c>
      <c r="L303" t="s">
        <v>5437</v>
      </c>
      <c r="M303" s="3" t="str">
        <f>HYPERLINK(склад2въезд131920212223[[#This Row],[RelativePath]])</f>
        <v>10 Сушилка навес\E33149364_3_20251208T110539Z.jpg</v>
      </c>
    </row>
    <row r="304" spans="1:13" x14ac:dyDescent="0.25">
      <c r="A304" s="2" t="s">
        <v>13</v>
      </c>
      <c r="B304" s="4">
        <v>45999</v>
      </c>
      <c r="C304" s="5">
        <v>0.46872685185185187</v>
      </c>
      <c r="D304" t="s">
        <v>533</v>
      </c>
      <c r="E304" t="s">
        <v>531</v>
      </c>
      <c r="F304" t="s">
        <v>58</v>
      </c>
      <c r="H304" t="s">
        <v>4236</v>
      </c>
      <c r="I304" t="s">
        <v>5438</v>
      </c>
      <c r="J304" t="s">
        <v>2985</v>
      </c>
      <c r="K304" t="s">
        <v>5439</v>
      </c>
      <c r="L304" t="s">
        <v>5440</v>
      </c>
      <c r="M304" s="3" t="str">
        <f>HYPERLINK(склад2въезд131920212223[[#This Row],[RelativePath]])</f>
        <v>10 Сушилка навес\E33149364_3_20251208T111458Z.jpg</v>
      </c>
    </row>
    <row r="305" spans="1:13" x14ac:dyDescent="0.25">
      <c r="A305" s="2" t="s">
        <v>13</v>
      </c>
      <c r="B305" s="4">
        <v>45999</v>
      </c>
      <c r="C305" s="5">
        <v>0.6012615740740741</v>
      </c>
      <c r="D305" t="s">
        <v>533</v>
      </c>
      <c r="E305" t="s">
        <v>531</v>
      </c>
      <c r="F305" t="s">
        <v>58</v>
      </c>
      <c r="H305" t="s">
        <v>4236</v>
      </c>
      <c r="I305" t="s">
        <v>5441</v>
      </c>
      <c r="J305" t="s">
        <v>2985</v>
      </c>
      <c r="K305" t="s">
        <v>5442</v>
      </c>
      <c r="L305" t="s">
        <v>5443</v>
      </c>
      <c r="M305" s="3" t="str">
        <f>HYPERLINK(склад2въезд131920212223[[#This Row],[RelativePath]])</f>
        <v>10 Сушилка навес\E33149364_3_20251208T142549Z.jpg</v>
      </c>
    </row>
    <row r="306" spans="1:13" x14ac:dyDescent="0.25">
      <c r="A306" s="2" t="s">
        <v>13</v>
      </c>
      <c r="B306" s="4">
        <v>45999</v>
      </c>
      <c r="C306" s="5">
        <v>0.63436342592592587</v>
      </c>
      <c r="D306" t="s">
        <v>4223</v>
      </c>
      <c r="E306" t="s">
        <v>86</v>
      </c>
      <c r="F306" t="s">
        <v>200</v>
      </c>
      <c r="H306" t="s">
        <v>1605</v>
      </c>
      <c r="I306" t="s">
        <v>5444</v>
      </c>
      <c r="J306" t="s">
        <v>2985</v>
      </c>
      <c r="K306" t="s">
        <v>5445</v>
      </c>
      <c r="L306" t="s">
        <v>5446</v>
      </c>
      <c r="M306" s="3" t="str">
        <f>HYPERLINK(склад2въезд131920212223[[#This Row],[RelativePath]])</f>
        <v>10 Сушилка навес\E33149364_3_20251208T151329Z.jpg</v>
      </c>
    </row>
    <row r="307" spans="1:13" x14ac:dyDescent="0.25">
      <c r="A307" s="2" t="s">
        <v>13</v>
      </c>
      <c r="B307" s="4">
        <v>45999</v>
      </c>
      <c r="C307" s="5">
        <v>0.64134259259259263</v>
      </c>
      <c r="D307" t="s">
        <v>4223</v>
      </c>
      <c r="E307" t="s">
        <v>86</v>
      </c>
      <c r="F307" t="s">
        <v>200</v>
      </c>
      <c r="H307" t="s">
        <v>1605</v>
      </c>
      <c r="I307" t="s">
        <v>5447</v>
      </c>
      <c r="J307" t="s">
        <v>2985</v>
      </c>
      <c r="K307" t="s">
        <v>5448</v>
      </c>
      <c r="L307" t="s">
        <v>5449</v>
      </c>
      <c r="M307" s="3" t="str">
        <f>HYPERLINK(склад2въезд131920212223[[#This Row],[RelativePath]])</f>
        <v>10 Сушилка навес\E33149364_3_20251208T152332Z.jpg</v>
      </c>
    </row>
    <row r="308" spans="1:13" x14ac:dyDescent="0.25">
      <c r="A308" s="2" t="s">
        <v>13</v>
      </c>
      <c r="B308" s="4">
        <v>45999</v>
      </c>
      <c r="C308" s="5">
        <v>0.7248148148148148</v>
      </c>
      <c r="D308" t="s">
        <v>4</v>
      </c>
      <c r="E308" t="s">
        <v>8</v>
      </c>
      <c r="I308" t="s">
        <v>5450</v>
      </c>
      <c r="J308" t="s">
        <v>2985</v>
      </c>
      <c r="K308" t="s">
        <v>5451</v>
      </c>
      <c r="L308" t="s">
        <v>5452</v>
      </c>
      <c r="M308" s="3" t="str">
        <f>HYPERLINK(склад2въезд131920212223[[#This Row],[RelativePath]])</f>
        <v>10 Сушилка навес\E33149364_3_20251208T172344Z.jpg</v>
      </c>
    </row>
    <row r="309" spans="1:13" x14ac:dyDescent="0.25">
      <c r="A309" s="2" t="s">
        <v>14</v>
      </c>
      <c r="B309" s="4">
        <v>46000</v>
      </c>
      <c r="C309" s="5">
        <v>0.37462962962962965</v>
      </c>
      <c r="D309" t="s">
        <v>4</v>
      </c>
      <c r="E309" t="s">
        <v>8</v>
      </c>
      <c r="I309" t="s">
        <v>5746</v>
      </c>
      <c r="J309" t="s">
        <v>2985</v>
      </c>
      <c r="K309" t="s">
        <v>5747</v>
      </c>
      <c r="L309" t="s">
        <v>5748</v>
      </c>
      <c r="M309" s="3" t="str">
        <f>HYPERLINK(склад2въезд131920212223[[#This Row],[RelativePath]])</f>
        <v>10 Сушилка навес\E33149364_3_20251209T085928Z.jpg</v>
      </c>
    </row>
    <row r="310" spans="1:13" x14ac:dyDescent="0.25">
      <c r="A310" s="2" t="s">
        <v>14</v>
      </c>
      <c r="B310" s="4">
        <v>46000</v>
      </c>
      <c r="C310" s="5">
        <v>0.4216550925925926</v>
      </c>
      <c r="D310" t="s">
        <v>4223</v>
      </c>
      <c r="E310" t="s">
        <v>86</v>
      </c>
      <c r="F310" t="s">
        <v>6184</v>
      </c>
      <c r="I310" t="s">
        <v>5749</v>
      </c>
      <c r="J310" t="s">
        <v>2985</v>
      </c>
      <c r="K310" t="s">
        <v>5750</v>
      </c>
      <c r="L310" t="s">
        <v>5751</v>
      </c>
      <c r="M310" s="3" t="str">
        <f>HYPERLINK(склад2въезд131920212223[[#This Row],[RelativePath]])</f>
        <v>10 Сушилка навес\E33149364_3_20251209T100711Z.jpg</v>
      </c>
    </row>
    <row r="311" spans="1:13" x14ac:dyDescent="0.25">
      <c r="A311" s="2" t="s">
        <v>14</v>
      </c>
      <c r="B311" s="4">
        <v>46000</v>
      </c>
      <c r="C311" s="5">
        <v>0.48509259259259258</v>
      </c>
      <c r="D311" t="s">
        <v>533</v>
      </c>
      <c r="E311" t="s">
        <v>531</v>
      </c>
      <c r="F311" t="s">
        <v>58</v>
      </c>
      <c r="H311" t="s">
        <v>4236</v>
      </c>
      <c r="I311" t="s">
        <v>5752</v>
      </c>
      <c r="J311" t="s">
        <v>2985</v>
      </c>
      <c r="K311" t="s">
        <v>5753</v>
      </c>
      <c r="L311" t="s">
        <v>5754</v>
      </c>
      <c r="M311" s="3" t="str">
        <f>HYPERLINK(склад2въезд131920212223[[#This Row],[RelativePath]])</f>
        <v>10 Сушилка навес\E33149364_3_20251209T113832Z.jpg</v>
      </c>
    </row>
    <row r="312" spans="1:13" x14ac:dyDescent="0.25">
      <c r="A312" s="2" t="s">
        <v>14</v>
      </c>
      <c r="B312" s="4">
        <v>46000</v>
      </c>
      <c r="C312" s="5">
        <v>0.62200231481481483</v>
      </c>
      <c r="D312" t="s">
        <v>158</v>
      </c>
      <c r="E312" t="s">
        <v>86</v>
      </c>
      <c r="F312" t="s">
        <v>528</v>
      </c>
      <c r="G312">
        <v>1</v>
      </c>
      <c r="H312" t="s">
        <v>1605</v>
      </c>
      <c r="I312" t="s">
        <v>5755</v>
      </c>
      <c r="J312" t="s">
        <v>2985</v>
      </c>
      <c r="K312" t="s">
        <v>5756</v>
      </c>
      <c r="L312" t="s">
        <v>5757</v>
      </c>
      <c r="M312" s="3" t="str">
        <f>HYPERLINK(склад2въезд131920212223[[#This Row],[RelativePath]])</f>
        <v>10 Сушилка навес\E33149364_3_20251209T145541Z.jpg</v>
      </c>
    </row>
    <row r="313" spans="1:13" x14ac:dyDescent="0.25">
      <c r="A313" s="2" t="s">
        <v>14</v>
      </c>
      <c r="B313" s="4">
        <v>46000</v>
      </c>
      <c r="C313" s="5">
        <v>0.62737268518518519</v>
      </c>
      <c r="D313" t="s">
        <v>158</v>
      </c>
      <c r="E313" t="s">
        <v>86</v>
      </c>
      <c r="F313" t="s">
        <v>528</v>
      </c>
      <c r="G313">
        <v>1</v>
      </c>
      <c r="H313" t="s">
        <v>1605</v>
      </c>
      <c r="I313" t="s">
        <v>5758</v>
      </c>
      <c r="J313" t="s">
        <v>2985</v>
      </c>
      <c r="K313" t="s">
        <v>5759</v>
      </c>
      <c r="L313" t="s">
        <v>5760</v>
      </c>
      <c r="M313" s="3" t="str">
        <f>HYPERLINK(склад2въезд131920212223[[#This Row],[RelativePath]])</f>
        <v>10 Сушилка навес\E33149364_3_20251209T150325Z.jpg</v>
      </c>
    </row>
    <row r="314" spans="1:13" x14ac:dyDescent="0.25">
      <c r="A314" s="2" t="s">
        <v>14</v>
      </c>
      <c r="B314" s="4">
        <v>46000</v>
      </c>
      <c r="C314" s="5">
        <v>0.63340277777777776</v>
      </c>
      <c r="D314" t="s">
        <v>158</v>
      </c>
      <c r="E314" t="s">
        <v>86</v>
      </c>
      <c r="F314" t="s">
        <v>528</v>
      </c>
      <c r="G314">
        <v>1</v>
      </c>
      <c r="H314" t="s">
        <v>1605</v>
      </c>
      <c r="I314" t="s">
        <v>5761</v>
      </c>
      <c r="J314" t="s">
        <v>2985</v>
      </c>
      <c r="K314" t="s">
        <v>5762</v>
      </c>
      <c r="L314" t="s">
        <v>5763</v>
      </c>
      <c r="M314" s="3" t="str">
        <f>HYPERLINK(склад2въезд131920212223[[#This Row],[RelativePath]])</f>
        <v>10 Сушилка навес\E33149364_3_20251209T151206Z.jpg</v>
      </c>
    </row>
    <row r="315" spans="1:13" x14ac:dyDescent="0.25">
      <c r="A315" s="2" t="s">
        <v>15</v>
      </c>
      <c r="B315" s="4">
        <v>46001</v>
      </c>
      <c r="C315" s="5">
        <v>0.3651388888888889</v>
      </c>
      <c r="D315" t="s">
        <v>533</v>
      </c>
      <c r="E315" t="s">
        <v>531</v>
      </c>
      <c r="F315" t="s">
        <v>2944</v>
      </c>
      <c r="H315" t="s">
        <v>1620</v>
      </c>
      <c r="I315" t="s">
        <v>5764</v>
      </c>
      <c r="J315" t="s">
        <v>2985</v>
      </c>
      <c r="K315" t="s">
        <v>5765</v>
      </c>
      <c r="L315" t="s">
        <v>5766</v>
      </c>
      <c r="M315" s="3" t="str">
        <f>HYPERLINK(склад2въезд131920212223[[#This Row],[RelativePath]])</f>
        <v>10 Сушилка навес\E33149364_3_20251210T084548Z.jpg</v>
      </c>
    </row>
    <row r="316" spans="1:13" x14ac:dyDescent="0.25">
      <c r="A316" s="2" t="s">
        <v>15</v>
      </c>
      <c r="B316" s="4">
        <v>46001</v>
      </c>
      <c r="C316" s="5">
        <v>0.37614583333333335</v>
      </c>
      <c r="D316" t="s">
        <v>4223</v>
      </c>
      <c r="E316" t="s">
        <v>86</v>
      </c>
      <c r="F316" t="s">
        <v>6185</v>
      </c>
      <c r="I316" t="s">
        <v>5767</v>
      </c>
      <c r="J316" t="s">
        <v>2985</v>
      </c>
      <c r="K316" t="s">
        <v>5768</v>
      </c>
      <c r="L316" t="s">
        <v>5769</v>
      </c>
      <c r="M316" s="3" t="str">
        <f>HYPERLINK(склад2въезд131920212223[[#This Row],[RelativePath]])</f>
        <v>10 Сушилка навес\E33149364_3_20251210T090139Z.jpg</v>
      </c>
    </row>
    <row r="317" spans="1:13" x14ac:dyDescent="0.25">
      <c r="A317" s="2" t="s">
        <v>15</v>
      </c>
      <c r="B317" s="4">
        <v>46001</v>
      </c>
      <c r="C317" s="5">
        <v>0.37626157407407407</v>
      </c>
      <c r="D317" t="s">
        <v>4223</v>
      </c>
      <c r="E317" t="s">
        <v>86</v>
      </c>
      <c r="F317" t="s">
        <v>6185</v>
      </c>
      <c r="H317" t="s">
        <v>2936</v>
      </c>
      <c r="I317" t="s">
        <v>5770</v>
      </c>
      <c r="J317" t="s">
        <v>2985</v>
      </c>
      <c r="K317" t="s">
        <v>5771</v>
      </c>
      <c r="L317" t="s">
        <v>5772</v>
      </c>
      <c r="M317" s="3" t="str">
        <f>HYPERLINK(склад2въезд131920212223[[#This Row],[RelativePath]])</f>
        <v>10 Сушилка навес\E33149364_3_20251210T090149Z.jpg</v>
      </c>
    </row>
    <row r="318" spans="1:13" x14ac:dyDescent="0.25">
      <c r="A318" s="2" t="s">
        <v>15</v>
      </c>
      <c r="B318" s="4">
        <v>46001</v>
      </c>
      <c r="C318" s="5">
        <v>0.38162037037037039</v>
      </c>
      <c r="D318" t="s">
        <v>533</v>
      </c>
      <c r="E318" t="s">
        <v>531</v>
      </c>
      <c r="F318" t="s">
        <v>2944</v>
      </c>
      <c r="H318" t="s">
        <v>1620</v>
      </c>
      <c r="I318" t="s">
        <v>5773</v>
      </c>
      <c r="J318" t="s">
        <v>2985</v>
      </c>
      <c r="K318" t="s">
        <v>5774</v>
      </c>
      <c r="L318" t="s">
        <v>5775</v>
      </c>
      <c r="M318" s="3" t="str">
        <f>HYPERLINK(склад2въезд131920212223[[#This Row],[RelativePath]])</f>
        <v>10 Сушилка навес\E33149364_3_20251210T090932Z.jpg</v>
      </c>
    </row>
    <row r="319" spans="1:13" x14ac:dyDescent="0.25">
      <c r="A319" s="2" t="s">
        <v>15</v>
      </c>
      <c r="B319" s="4">
        <v>46001</v>
      </c>
      <c r="C319" s="5">
        <v>0.38256944444444446</v>
      </c>
      <c r="D319" t="s">
        <v>4223</v>
      </c>
      <c r="E319" t="s">
        <v>86</v>
      </c>
      <c r="F319" t="s">
        <v>6185</v>
      </c>
      <c r="I319" t="s">
        <v>5776</v>
      </c>
      <c r="J319" t="s">
        <v>2985</v>
      </c>
      <c r="K319" t="s">
        <v>5777</v>
      </c>
      <c r="L319" t="s">
        <v>5778</v>
      </c>
      <c r="M319" s="3" t="str">
        <f>HYPERLINK(склад2въезд131920212223[[#This Row],[RelativePath]])</f>
        <v>10 Сушилка навес\E33149364_3_20251210T091054Z.jpg</v>
      </c>
    </row>
    <row r="320" spans="1:13" x14ac:dyDescent="0.25">
      <c r="A320" s="2" t="s">
        <v>15</v>
      </c>
      <c r="B320" s="4">
        <v>46001</v>
      </c>
      <c r="C320" s="5">
        <v>0.4064814814814815</v>
      </c>
      <c r="D320" t="s">
        <v>289</v>
      </c>
      <c r="E320" t="s">
        <v>86</v>
      </c>
      <c r="F320" t="s">
        <v>6184</v>
      </c>
      <c r="I320" t="s">
        <v>5779</v>
      </c>
      <c r="J320" t="s">
        <v>2985</v>
      </c>
      <c r="K320" t="s">
        <v>5780</v>
      </c>
      <c r="L320" t="s">
        <v>5781</v>
      </c>
      <c r="M320" s="3" t="str">
        <f>HYPERLINK(склад2въезд131920212223[[#This Row],[RelativePath]])</f>
        <v>10 Сушилка навес\E33149364_3_20251210T094520Z.jpg</v>
      </c>
    </row>
    <row r="321" spans="1:13" x14ac:dyDescent="0.25">
      <c r="A321" s="2" t="s">
        <v>15</v>
      </c>
      <c r="B321" s="4">
        <v>46001</v>
      </c>
      <c r="C321" s="5">
        <v>0.49738425925925928</v>
      </c>
      <c r="D321" t="s">
        <v>650</v>
      </c>
      <c r="E321" t="s">
        <v>86</v>
      </c>
      <c r="F321" t="s">
        <v>6184</v>
      </c>
      <c r="I321" t="s">
        <v>5782</v>
      </c>
      <c r="J321" t="s">
        <v>2985</v>
      </c>
      <c r="K321" t="s">
        <v>5783</v>
      </c>
      <c r="L321" t="s">
        <v>5784</v>
      </c>
      <c r="M321" s="3" t="str">
        <f>HYPERLINK(склад2въезд131920212223[[#This Row],[RelativePath]])</f>
        <v>10 Сушилка навес\E33149364_3_20251210T115614Z.jpg</v>
      </c>
    </row>
    <row r="322" spans="1:13" x14ac:dyDescent="0.25">
      <c r="A322" s="2" t="s">
        <v>15</v>
      </c>
      <c r="B322" s="4">
        <v>46001</v>
      </c>
      <c r="C322" s="5">
        <v>0.4974884259259259</v>
      </c>
      <c r="D322" t="s">
        <v>533</v>
      </c>
      <c r="E322" t="s">
        <v>531</v>
      </c>
      <c r="F322" t="s">
        <v>58</v>
      </c>
      <c r="H322" t="s">
        <v>4236</v>
      </c>
      <c r="I322" t="s">
        <v>5785</v>
      </c>
      <c r="J322" t="s">
        <v>2985</v>
      </c>
      <c r="K322" t="s">
        <v>5786</v>
      </c>
      <c r="L322" t="s">
        <v>5787</v>
      </c>
      <c r="M322" s="3" t="str">
        <f>HYPERLINK(склад2въезд131920212223[[#This Row],[RelativePath]])</f>
        <v>10 Сушилка навес\E33149364_3_20251210T115623Z.jpg</v>
      </c>
    </row>
    <row r="323" spans="1:13" x14ac:dyDescent="0.25">
      <c r="A323" s="2" t="s">
        <v>15</v>
      </c>
      <c r="B323" s="4">
        <v>46001</v>
      </c>
      <c r="C323" s="5">
        <v>0.50359953703703708</v>
      </c>
      <c r="D323" t="s">
        <v>158</v>
      </c>
      <c r="E323" t="s">
        <v>86</v>
      </c>
      <c r="F323" t="s">
        <v>528</v>
      </c>
      <c r="G323">
        <v>1</v>
      </c>
      <c r="H323" t="s">
        <v>1605</v>
      </c>
      <c r="I323" t="s">
        <v>5788</v>
      </c>
      <c r="J323" t="s">
        <v>2985</v>
      </c>
      <c r="K323" t="s">
        <v>5789</v>
      </c>
      <c r="L323" t="s">
        <v>5790</v>
      </c>
      <c r="M323" s="3" t="str">
        <f>HYPERLINK(склад2въезд131920212223[[#This Row],[RelativePath]])</f>
        <v>10 Сушилка навес\E33149364_3_20251210T120511Z.jpg</v>
      </c>
    </row>
    <row r="324" spans="1:13" x14ac:dyDescent="0.25">
      <c r="A324" s="2" t="s">
        <v>15</v>
      </c>
      <c r="B324" s="4">
        <v>46001</v>
      </c>
      <c r="C324" s="5">
        <v>0.50922453703703707</v>
      </c>
      <c r="D324" t="s">
        <v>158</v>
      </c>
      <c r="E324" t="s">
        <v>86</v>
      </c>
      <c r="F324" t="s">
        <v>528</v>
      </c>
      <c r="G324">
        <v>1</v>
      </c>
      <c r="H324" t="s">
        <v>1605</v>
      </c>
      <c r="I324" t="s">
        <v>5791</v>
      </c>
      <c r="J324" t="s">
        <v>2985</v>
      </c>
      <c r="K324" t="s">
        <v>5792</v>
      </c>
      <c r="L324" t="s">
        <v>5793</v>
      </c>
      <c r="M324" s="3" t="str">
        <f>HYPERLINK(склад2въезд131920212223[[#This Row],[RelativePath]])</f>
        <v>10 Сушилка навес\E33149364_3_20251210T121317Z.jpg</v>
      </c>
    </row>
    <row r="325" spans="1:13" x14ac:dyDescent="0.25">
      <c r="A325" s="2" t="s">
        <v>16</v>
      </c>
      <c r="B325" s="4">
        <v>46002</v>
      </c>
      <c r="C325" s="5">
        <v>0.38542824074074072</v>
      </c>
      <c r="D325" t="s">
        <v>4</v>
      </c>
      <c r="E325" t="s">
        <v>8</v>
      </c>
      <c r="I325" t="s">
        <v>5794</v>
      </c>
      <c r="J325" t="s">
        <v>2985</v>
      </c>
      <c r="K325" t="s">
        <v>5795</v>
      </c>
      <c r="L325" t="s">
        <v>5796</v>
      </c>
      <c r="M325" s="3" t="str">
        <f>HYPERLINK(склад2въезд131920212223[[#This Row],[RelativePath]])</f>
        <v>10 Сушилка навес\E33149364_3_20251211T091501Z.jpg</v>
      </c>
    </row>
    <row r="326" spans="1:13" x14ac:dyDescent="0.25">
      <c r="A326" s="2" t="s">
        <v>16</v>
      </c>
      <c r="B326" s="4">
        <v>46002</v>
      </c>
      <c r="C326" s="5">
        <v>0.55590277777777775</v>
      </c>
      <c r="D326" t="s">
        <v>4</v>
      </c>
      <c r="E326" t="s">
        <v>8</v>
      </c>
      <c r="I326" t="s">
        <v>5797</v>
      </c>
      <c r="J326" t="s">
        <v>2985</v>
      </c>
      <c r="K326" t="s">
        <v>5798</v>
      </c>
      <c r="L326" t="s">
        <v>5799</v>
      </c>
      <c r="M326" s="3" t="str">
        <f>HYPERLINK(склад2въезд131920212223[[#This Row],[RelativePath]])</f>
        <v>10 Сушилка навес\E33149364_3_20251211T132030Z.jpg</v>
      </c>
    </row>
    <row r="327" spans="1:13" x14ac:dyDescent="0.25">
      <c r="A327" s="2" t="s">
        <v>16</v>
      </c>
      <c r="B327" s="4">
        <v>46002</v>
      </c>
      <c r="C327" s="5">
        <v>0.70651620370370372</v>
      </c>
      <c r="D327" t="s">
        <v>4</v>
      </c>
      <c r="E327" t="s">
        <v>8</v>
      </c>
      <c r="I327" t="s">
        <v>5800</v>
      </c>
      <c r="J327" t="s">
        <v>2985</v>
      </c>
      <c r="K327" t="s">
        <v>5801</v>
      </c>
      <c r="L327" t="s">
        <v>5802</v>
      </c>
      <c r="M327" s="3" t="str">
        <f>HYPERLINK(склад2въезд131920212223[[#This Row],[RelativePath]])</f>
        <v>10 Сушилка навес\E33149364_3_20251211T165723Z.jpg</v>
      </c>
    </row>
    <row r="328" spans="1:13" x14ac:dyDescent="0.25">
      <c r="A328" s="2" t="s">
        <v>17</v>
      </c>
      <c r="B328" s="4">
        <v>46003</v>
      </c>
      <c r="C328" s="5">
        <v>0.37761574074074072</v>
      </c>
      <c r="D328" t="s">
        <v>4</v>
      </c>
      <c r="E328" t="s">
        <v>8</v>
      </c>
      <c r="I328" t="s">
        <v>5881</v>
      </c>
      <c r="J328" t="s">
        <v>2985</v>
      </c>
      <c r="K328" t="s">
        <v>5882</v>
      </c>
      <c r="L328" t="s">
        <v>5883</v>
      </c>
      <c r="M328" s="3" t="str">
        <f>HYPERLINK(склад2въезд131920212223[[#This Row],[RelativePath]])</f>
        <v>10 Сушилка навес\E33149364_3_20251212T090346Z.jpg</v>
      </c>
    </row>
    <row r="329" spans="1:13" x14ac:dyDescent="0.25">
      <c r="A329" s="2" t="s">
        <v>17</v>
      </c>
      <c r="B329" s="4">
        <v>46003</v>
      </c>
      <c r="C329" s="5">
        <v>0.42268518518518516</v>
      </c>
      <c r="D329" t="s">
        <v>4</v>
      </c>
      <c r="E329" t="s">
        <v>86</v>
      </c>
      <c r="F329" t="s">
        <v>4240</v>
      </c>
      <c r="H329" t="s">
        <v>1620</v>
      </c>
      <c r="I329" t="s">
        <v>5884</v>
      </c>
      <c r="J329" t="s">
        <v>2985</v>
      </c>
      <c r="K329" t="s">
        <v>5885</v>
      </c>
      <c r="L329" t="s">
        <v>5886</v>
      </c>
      <c r="M329" s="3" t="str">
        <f>HYPERLINK(склад2въезд131920212223[[#This Row],[RelativePath]])</f>
        <v>10 Сушилка навес\E33149364_3_20251212T100840Z.jpg</v>
      </c>
    </row>
    <row r="330" spans="1:13" x14ac:dyDescent="0.25">
      <c r="A330" s="2" t="s">
        <v>17</v>
      </c>
      <c r="B330" s="4">
        <v>46003</v>
      </c>
      <c r="C330" s="5">
        <v>0.44277777777777777</v>
      </c>
      <c r="D330" t="s">
        <v>4223</v>
      </c>
      <c r="E330" t="s">
        <v>86</v>
      </c>
      <c r="F330" t="s">
        <v>6174</v>
      </c>
      <c r="I330" t="s">
        <v>5887</v>
      </c>
      <c r="J330" t="s">
        <v>2985</v>
      </c>
      <c r="K330" t="s">
        <v>5888</v>
      </c>
      <c r="L330" t="s">
        <v>5889</v>
      </c>
      <c r="M330" s="3" t="str">
        <f>HYPERLINK(склад2въезд131920212223[[#This Row],[RelativePath]])</f>
        <v>10 Сушилка навес\E33149364_3_20251212T103736Z.jpg</v>
      </c>
    </row>
    <row r="331" spans="1:13" x14ac:dyDescent="0.25">
      <c r="A331" s="2" t="s">
        <v>17</v>
      </c>
      <c r="B331" s="4">
        <v>46003</v>
      </c>
      <c r="C331" s="5">
        <v>0.44572916666666668</v>
      </c>
      <c r="D331" t="s">
        <v>4221</v>
      </c>
      <c r="E331" t="s">
        <v>86</v>
      </c>
      <c r="F331" t="s">
        <v>58</v>
      </c>
      <c r="H331" t="s">
        <v>1620</v>
      </c>
      <c r="I331" t="s">
        <v>5890</v>
      </c>
      <c r="J331" t="s">
        <v>2985</v>
      </c>
      <c r="K331" t="s">
        <v>5891</v>
      </c>
      <c r="L331" t="s">
        <v>5892</v>
      </c>
      <c r="M331" s="3" t="str">
        <f>HYPERLINK(склад2въезд131920212223[[#This Row],[RelativePath]])</f>
        <v>10 Сушилка навес\E33149364_3_20251212T104151Z.jpg</v>
      </c>
    </row>
    <row r="332" spans="1:13" x14ac:dyDescent="0.25">
      <c r="A332" s="2" t="s">
        <v>17</v>
      </c>
      <c r="B332" s="4">
        <v>46003</v>
      </c>
      <c r="C332" s="5">
        <v>0.44583333333333336</v>
      </c>
      <c r="D332" t="s">
        <v>4221</v>
      </c>
      <c r="E332" t="s">
        <v>86</v>
      </c>
      <c r="F332" t="s">
        <v>58</v>
      </c>
      <c r="H332" t="s">
        <v>2936</v>
      </c>
      <c r="I332" t="s">
        <v>5893</v>
      </c>
      <c r="J332" t="s">
        <v>2985</v>
      </c>
      <c r="K332" t="s">
        <v>5894</v>
      </c>
      <c r="L332" t="s">
        <v>5895</v>
      </c>
      <c r="M332" s="3" t="str">
        <f>HYPERLINK(склад2въезд131920212223[[#This Row],[RelativePath]])</f>
        <v>10 Сушилка навес\E33149364_3_20251212T104200Z.jpg</v>
      </c>
    </row>
    <row r="333" spans="1:13" x14ac:dyDescent="0.25">
      <c r="A333" s="2" t="s">
        <v>17</v>
      </c>
      <c r="B333" s="4">
        <v>46003</v>
      </c>
      <c r="C333" s="5">
        <v>0.44943287037037039</v>
      </c>
      <c r="D333" t="s">
        <v>533</v>
      </c>
      <c r="E333" t="s">
        <v>531</v>
      </c>
      <c r="F333" t="s">
        <v>1099</v>
      </c>
      <c r="H333" t="s">
        <v>1620</v>
      </c>
      <c r="I333" t="s">
        <v>5896</v>
      </c>
      <c r="J333" t="s">
        <v>2985</v>
      </c>
      <c r="K333" t="s">
        <v>5897</v>
      </c>
      <c r="L333" t="s">
        <v>5898</v>
      </c>
      <c r="M333" s="3" t="str">
        <f>HYPERLINK(склад2въезд131920212223[[#This Row],[RelativePath]])</f>
        <v>10 Сушилка навес\E33149364_3_20251212T104711Z.jpg</v>
      </c>
    </row>
    <row r="334" spans="1:13" x14ac:dyDescent="0.25">
      <c r="A334" s="2" t="s">
        <v>17</v>
      </c>
      <c r="B334" s="4">
        <v>46003</v>
      </c>
      <c r="C334" s="5">
        <v>0.45038194444444446</v>
      </c>
      <c r="D334" t="s">
        <v>533</v>
      </c>
      <c r="E334" t="s">
        <v>531</v>
      </c>
      <c r="F334" t="s">
        <v>1099</v>
      </c>
      <c r="H334" t="s">
        <v>1620</v>
      </c>
      <c r="I334" t="s">
        <v>5899</v>
      </c>
      <c r="J334" t="s">
        <v>2985</v>
      </c>
      <c r="K334" t="s">
        <v>5900</v>
      </c>
      <c r="L334" t="s">
        <v>5901</v>
      </c>
      <c r="M334" s="3" t="str">
        <f>HYPERLINK(склад2въезд131920212223[[#This Row],[RelativePath]])</f>
        <v>10 Сушилка навес\E33149364_3_20251212T104833Z.jpg</v>
      </c>
    </row>
    <row r="335" spans="1:13" x14ac:dyDescent="0.25">
      <c r="A335" s="2" t="s">
        <v>17</v>
      </c>
      <c r="B335" s="4">
        <v>46003</v>
      </c>
      <c r="C335" s="5">
        <v>0.45893518518518517</v>
      </c>
      <c r="D335" t="s">
        <v>4223</v>
      </c>
      <c r="E335" t="s">
        <v>86</v>
      </c>
      <c r="F335" t="s">
        <v>200</v>
      </c>
      <c r="I335" t="s">
        <v>5902</v>
      </c>
      <c r="J335" t="s">
        <v>2985</v>
      </c>
      <c r="K335" t="s">
        <v>5903</v>
      </c>
      <c r="L335" t="s">
        <v>5904</v>
      </c>
      <c r="M335" s="3" t="str">
        <f>HYPERLINK(склад2въезд131920212223[[#This Row],[RelativePath]])</f>
        <v>10 Сушилка навес\E33149364_3_20251212T110052Z.jpg</v>
      </c>
    </row>
    <row r="336" spans="1:13" x14ac:dyDescent="0.25">
      <c r="A336" s="2" t="s">
        <v>17</v>
      </c>
      <c r="B336" s="4">
        <v>46003</v>
      </c>
      <c r="C336" s="5">
        <v>0.47061342592592592</v>
      </c>
      <c r="D336" t="s">
        <v>4223</v>
      </c>
      <c r="E336" t="s">
        <v>86</v>
      </c>
      <c r="F336" t="s">
        <v>200</v>
      </c>
      <c r="I336" t="s">
        <v>5905</v>
      </c>
      <c r="J336" t="s">
        <v>2985</v>
      </c>
      <c r="K336" t="s">
        <v>5906</v>
      </c>
      <c r="L336" t="s">
        <v>5907</v>
      </c>
      <c r="M336" s="3" t="str">
        <f>HYPERLINK(склад2въезд131920212223[[#This Row],[RelativePath]])</f>
        <v>10 Сушилка навес\E33149364_3_20251212T111741Z.jpg</v>
      </c>
    </row>
    <row r="337" spans="1:13" x14ac:dyDescent="0.25">
      <c r="A337" s="2" t="s">
        <v>17</v>
      </c>
      <c r="B337" s="4">
        <v>46003</v>
      </c>
      <c r="C337" s="5">
        <v>0.4770949074074074</v>
      </c>
      <c r="D337" t="s">
        <v>4223</v>
      </c>
      <c r="E337" t="s">
        <v>86</v>
      </c>
      <c r="F337" t="s">
        <v>200</v>
      </c>
      <c r="I337" t="s">
        <v>5908</v>
      </c>
      <c r="J337" t="s">
        <v>2985</v>
      </c>
      <c r="K337" t="s">
        <v>5909</v>
      </c>
      <c r="L337" t="s">
        <v>5910</v>
      </c>
      <c r="M337" s="3" t="str">
        <f>HYPERLINK(склад2въезд131920212223[[#This Row],[RelativePath]])</f>
        <v>10 Сушилка навес\E33149364_3_20251212T112701Z.jpg</v>
      </c>
    </row>
    <row r="338" spans="1:13" x14ac:dyDescent="0.25">
      <c r="A338" s="2" t="s">
        <v>17</v>
      </c>
      <c r="B338" s="4">
        <v>46003</v>
      </c>
      <c r="C338" s="5">
        <v>0.48163194444444446</v>
      </c>
      <c r="D338" t="s">
        <v>4223</v>
      </c>
      <c r="E338" t="s">
        <v>86</v>
      </c>
      <c r="F338" t="s">
        <v>200</v>
      </c>
      <c r="I338" t="s">
        <v>5911</v>
      </c>
      <c r="J338" t="s">
        <v>2985</v>
      </c>
      <c r="K338" t="s">
        <v>5912</v>
      </c>
      <c r="L338" t="s">
        <v>5913</v>
      </c>
      <c r="M338" s="3" t="str">
        <f>HYPERLINK(склад2въезд131920212223[[#This Row],[RelativePath]])</f>
        <v>10 Сушилка навес\E33149364_3_20251212T113333Z.jpg</v>
      </c>
    </row>
    <row r="339" spans="1:13" x14ac:dyDescent="0.25">
      <c r="A339" s="2" t="s">
        <v>17</v>
      </c>
      <c r="B339" s="4">
        <v>46003</v>
      </c>
      <c r="C339" s="5">
        <v>0.48888888888888887</v>
      </c>
      <c r="D339" t="s">
        <v>4223</v>
      </c>
      <c r="E339" t="s">
        <v>86</v>
      </c>
      <c r="F339" t="s">
        <v>200</v>
      </c>
      <c r="I339" t="s">
        <v>5914</v>
      </c>
      <c r="J339" t="s">
        <v>2985</v>
      </c>
      <c r="K339" t="s">
        <v>5915</v>
      </c>
      <c r="L339" t="s">
        <v>5916</v>
      </c>
      <c r="M339" s="3" t="str">
        <f>HYPERLINK(склад2въезд131920212223[[#This Row],[RelativePath]])</f>
        <v>10 Сушилка навес\E33149364_3_20251212T114400Z.jpg</v>
      </c>
    </row>
    <row r="340" spans="1:13" x14ac:dyDescent="0.25">
      <c r="A340" s="2" t="s">
        <v>17</v>
      </c>
      <c r="B340" s="4">
        <v>46003</v>
      </c>
      <c r="C340" s="5">
        <v>0.50528935185185186</v>
      </c>
      <c r="D340" t="s">
        <v>4223</v>
      </c>
      <c r="E340" t="s">
        <v>86</v>
      </c>
      <c r="F340" t="s">
        <v>200</v>
      </c>
      <c r="I340" t="s">
        <v>5917</v>
      </c>
      <c r="J340" t="s">
        <v>2985</v>
      </c>
      <c r="K340" t="s">
        <v>5918</v>
      </c>
      <c r="L340" t="s">
        <v>5919</v>
      </c>
      <c r="M340" s="3" t="str">
        <f>HYPERLINK(склад2въезд131920212223[[#This Row],[RelativePath]])</f>
        <v>10 Сушилка навес\E33149364_3_20251212T120737Z.jpg</v>
      </c>
    </row>
    <row r="341" spans="1:13" x14ac:dyDescent="0.25">
      <c r="A341" s="2" t="s">
        <v>17</v>
      </c>
      <c r="B341" s="4">
        <v>46003</v>
      </c>
      <c r="C341" s="5">
        <v>0.51416666666666666</v>
      </c>
      <c r="D341" t="s">
        <v>4223</v>
      </c>
      <c r="E341" t="s">
        <v>86</v>
      </c>
      <c r="F341" t="s">
        <v>200</v>
      </c>
      <c r="I341" t="s">
        <v>5920</v>
      </c>
      <c r="J341" t="s">
        <v>2985</v>
      </c>
      <c r="K341" t="s">
        <v>5921</v>
      </c>
      <c r="L341" t="s">
        <v>5922</v>
      </c>
      <c r="M341" s="3" t="str">
        <f>HYPERLINK(склад2въезд131920212223[[#This Row],[RelativePath]])</f>
        <v>10 Сушилка навес\E33149364_3_20251212T122024Z.jpg</v>
      </c>
    </row>
    <row r="342" spans="1:13" x14ac:dyDescent="0.25">
      <c r="A342" s="2" t="s">
        <v>17</v>
      </c>
      <c r="B342" s="4">
        <v>46003</v>
      </c>
      <c r="C342" s="5">
        <v>0.6803703703703704</v>
      </c>
      <c r="D342" t="s">
        <v>4</v>
      </c>
      <c r="E342" t="s">
        <v>8</v>
      </c>
      <c r="I342" t="s">
        <v>5923</v>
      </c>
      <c r="J342" t="s">
        <v>2985</v>
      </c>
      <c r="K342" t="s">
        <v>5924</v>
      </c>
      <c r="L342" t="s">
        <v>5925</v>
      </c>
      <c r="M342" s="3" t="str">
        <f>HYPERLINK(склад2въезд131920212223[[#This Row],[RelativePath]])</f>
        <v>10 Сушилка навес\E33149364_3_20251212T161944Z.jpg</v>
      </c>
    </row>
    <row r="343" spans="1:13" x14ac:dyDescent="0.25">
      <c r="A343" s="2" t="s">
        <v>18</v>
      </c>
      <c r="B343" s="4">
        <v>46004</v>
      </c>
      <c r="C343" s="5">
        <v>0.38762731481481483</v>
      </c>
      <c r="D343" t="s">
        <v>4</v>
      </c>
      <c r="E343" t="s">
        <v>6169</v>
      </c>
      <c r="I343" t="s">
        <v>6097</v>
      </c>
      <c r="J343" t="s">
        <v>2985</v>
      </c>
      <c r="K343" t="s">
        <v>6098</v>
      </c>
      <c r="L343" t="s">
        <v>6099</v>
      </c>
      <c r="M343" s="3" t="str">
        <f>HYPERLINK(склад2въезд131920212223[[#This Row],[RelativePath]])</f>
        <v>10 Сушилка навес\E33149364_3_20251213T091811Z.jpg</v>
      </c>
    </row>
    <row r="344" spans="1:13" x14ac:dyDescent="0.25">
      <c r="A344" s="2" t="s">
        <v>18</v>
      </c>
      <c r="B344" s="4">
        <v>46004</v>
      </c>
      <c r="C344" s="5">
        <v>0.41502314814814817</v>
      </c>
      <c r="D344" t="s">
        <v>4</v>
      </c>
      <c r="E344" t="s">
        <v>8</v>
      </c>
      <c r="I344" t="s">
        <v>6100</v>
      </c>
      <c r="J344" t="s">
        <v>2985</v>
      </c>
      <c r="K344" t="s">
        <v>6101</v>
      </c>
      <c r="L344" t="s">
        <v>6102</v>
      </c>
      <c r="M344" s="3" t="str">
        <f>HYPERLINK(склад2въезд131920212223[[#This Row],[RelativePath]])</f>
        <v>10 Сушилка навес\E33149364_3_20251213T095738Z.jpg</v>
      </c>
    </row>
    <row r="345" spans="1:13" x14ac:dyDescent="0.25">
      <c r="A345" s="2" t="s">
        <v>18</v>
      </c>
      <c r="B345" s="4">
        <v>46004</v>
      </c>
      <c r="C345" s="5">
        <v>0.55000000000000004</v>
      </c>
      <c r="D345" t="s">
        <v>4</v>
      </c>
      <c r="E345" t="s">
        <v>6169</v>
      </c>
      <c r="I345" t="s">
        <v>6103</v>
      </c>
      <c r="J345" t="s">
        <v>2985</v>
      </c>
      <c r="K345" t="s">
        <v>6104</v>
      </c>
      <c r="L345" t="s">
        <v>6105</v>
      </c>
      <c r="M345" s="3" t="str">
        <f>HYPERLINK(склад2въезд131920212223[[#This Row],[RelativePath]])</f>
        <v>10 Сушилка навес\E33149364_3_20251213T131200Z.jpg</v>
      </c>
    </row>
    <row r="346" spans="1:13" x14ac:dyDescent="0.25">
      <c r="A346" s="2" t="s">
        <v>18</v>
      </c>
      <c r="B346" s="4">
        <v>46004</v>
      </c>
      <c r="C346" s="5">
        <v>0.7160185185185185</v>
      </c>
      <c r="D346" t="s">
        <v>4</v>
      </c>
      <c r="E346" t="s">
        <v>8</v>
      </c>
      <c r="I346" t="s">
        <v>6106</v>
      </c>
      <c r="J346" t="s">
        <v>2985</v>
      </c>
      <c r="K346" t="s">
        <v>6107</v>
      </c>
      <c r="L346" t="s">
        <v>6108</v>
      </c>
      <c r="M346" s="3" t="str">
        <f>HYPERLINK(склад2въезд131920212223[[#This Row],[RelativePath]])</f>
        <v>10 Сушилка навес\E33149364_3_20251213T171104Z.jpg</v>
      </c>
    </row>
  </sheetData>
  <conditionalFormatting sqref="D347:D357 E347:E360 G2:H346 D2:E346">
    <cfRule type="containsText" dxfId="369" priority="14" operator="containsText" text="Выезд с территории">
      <formula>NOT(ISERROR(SEARCH("Выезд с территории",D2)))</formula>
    </cfRule>
  </conditionalFormatting>
  <conditionalFormatting sqref="F2:F346">
    <cfRule type="notContainsText" dxfId="368" priority="13" operator="notContains" text="порожний">
      <formula>ISERROR(SEARCH("порожний",F2))</formula>
    </cfRule>
  </conditionalFormatting>
  <conditionalFormatting sqref="E2:E360">
    <cfRule type="containsText" dxfId="367" priority="11" operator="containsText" text="Газель базы">
      <formula>NOT(ISERROR(SEARCH("Газель базы",E2)))</formula>
    </cfRule>
    <cfRule type="containsText" dxfId="366" priority="12" operator="containsText" text="Погрузчик базы">
      <formula>NOT(ISERROR(SEARCH("Погрузчик базы",E2)))</formula>
    </cfRule>
  </conditionalFormatting>
  <conditionalFormatting sqref="E2:E360">
    <cfRule type="containsText" dxfId="365" priority="10" operator="containsText" text="Трактор базы">
      <formula>NOT(ISERROR(SEARCH("Трактор базы",E2)))</formula>
    </cfRule>
  </conditionalFormatting>
  <conditionalFormatting sqref="A2:C346">
    <cfRule type="expression" dxfId="364" priority="9">
      <formula>$A2="пн"</formula>
    </cfRule>
  </conditionalFormatting>
  <conditionalFormatting sqref="A2:C348">
    <cfRule type="expression" dxfId="363" priority="3">
      <formula>$A2="вс"</formula>
    </cfRule>
    <cfRule type="expression" dxfId="362" priority="4">
      <formula>$A2="сб"</formula>
    </cfRule>
    <cfRule type="expression" dxfId="361" priority="5">
      <formula>$A2="пт"</formula>
    </cfRule>
    <cfRule type="expression" dxfId="360" priority="6">
      <formula>$A2="чт"</formula>
    </cfRule>
    <cfRule type="expression" dxfId="359" priority="7">
      <formula>$A2="ср"</formula>
    </cfRule>
    <cfRule type="expression" dxfId="358" priority="8">
      <formula>$A2="вт"</formula>
    </cfRule>
  </conditionalFormatting>
  <conditionalFormatting sqref="D2:D357">
    <cfRule type="containsText" dxfId="357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357">
    <cfRule type="containsText" dxfId="356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DCFA-9734-40BF-B406-2E45383EB680}">
  <sheetPr>
    <tabColor theme="1"/>
  </sheetPr>
  <dimension ref="A1:M151"/>
  <sheetViews>
    <sheetView zoomScale="90" zoomScaleNormal="90" workbookViewId="0">
      <pane ySplit="1" topLeftCell="A129" activePane="bottomLeft" state="frozen"/>
      <selection pane="bottomLeft" activeCell="F154" sqref="F154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27.5703125" bestFit="1" customWidth="1"/>
    <col min="5" max="5" width="39.28515625" bestFit="1" customWidth="1"/>
    <col min="6" max="6" width="29.7109375" bestFit="1" customWidth="1"/>
    <col min="7" max="7" width="7.28515625" bestFit="1" customWidth="1"/>
    <col min="8" max="8" width="34.85546875" bestFit="1" customWidth="1"/>
    <col min="9" max="9" width="35.42578125" hidden="1" customWidth="1"/>
    <col min="10" max="10" width="42.85546875" hidden="1" customWidth="1"/>
    <col min="11" max="11" width="54.7109375" hidden="1" customWidth="1"/>
    <col min="12" max="12" width="24.5703125" hidden="1" customWidth="1"/>
    <col min="13" max="13" width="54.7109375" bestFit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0.34427083333333336</v>
      </c>
      <c r="D2" t="s">
        <v>4</v>
      </c>
      <c r="E2" t="s">
        <v>8</v>
      </c>
      <c r="H2" t="s">
        <v>5</v>
      </c>
      <c r="I2" t="s">
        <v>1627</v>
      </c>
      <c r="J2" t="s">
        <v>2986</v>
      </c>
      <c r="K2" t="s">
        <v>1629</v>
      </c>
      <c r="L2" t="s">
        <v>1630</v>
      </c>
      <c r="M2" s="3" t="str">
        <f>HYPERLINK(склад2въезд1319202122237[[#This Row],[RelativePath]])</f>
        <v>11 С ангара на базу\E33149364_4_20251110T081545Z.jpg</v>
      </c>
    </row>
    <row r="3" spans="1:13" x14ac:dyDescent="0.25">
      <c r="A3" s="2" t="s">
        <v>13</v>
      </c>
      <c r="B3" s="4">
        <v>45971</v>
      </c>
      <c r="C3" s="5">
        <v>0.39631944444444445</v>
      </c>
      <c r="D3" t="s">
        <v>159</v>
      </c>
      <c r="E3" t="s">
        <v>86</v>
      </c>
      <c r="F3" t="s">
        <v>60</v>
      </c>
      <c r="I3" t="s">
        <v>1631</v>
      </c>
      <c r="J3" t="s">
        <v>2986</v>
      </c>
      <c r="K3" t="s">
        <v>1632</v>
      </c>
      <c r="L3" t="s">
        <v>1633</v>
      </c>
      <c r="M3" s="3" t="str">
        <f>HYPERLINK(склад2въезд1319202122237[[#This Row],[RelativePath]])</f>
        <v>11 С ангара на базу\E33149364_4_20251110T093042Z.jpg</v>
      </c>
    </row>
    <row r="4" spans="1:13" x14ac:dyDescent="0.25">
      <c r="A4" s="2" t="s">
        <v>13</v>
      </c>
      <c r="B4" s="4">
        <v>45971</v>
      </c>
      <c r="C4" s="5">
        <v>0.39664351851851853</v>
      </c>
      <c r="D4" t="s">
        <v>1819</v>
      </c>
      <c r="E4" t="s">
        <v>86</v>
      </c>
      <c r="F4" t="s">
        <v>60</v>
      </c>
      <c r="H4" t="s">
        <v>1818</v>
      </c>
      <c r="I4" t="s">
        <v>1634</v>
      </c>
      <c r="J4" t="s">
        <v>2986</v>
      </c>
      <c r="K4" t="s">
        <v>1635</v>
      </c>
      <c r="L4" t="s">
        <v>1636</v>
      </c>
      <c r="M4" s="3" t="str">
        <f>HYPERLINK(склад2въезд1319202122237[[#This Row],[RelativePath]])</f>
        <v>11 С ангара на базу\E33149364_4_20251110T093110Z.jpg</v>
      </c>
    </row>
    <row r="5" spans="1:13" x14ac:dyDescent="0.25">
      <c r="A5" s="2" t="s">
        <v>13</v>
      </c>
      <c r="B5" s="4">
        <v>45971</v>
      </c>
      <c r="C5" s="5">
        <v>0.39850694444444446</v>
      </c>
      <c r="D5" t="s">
        <v>159</v>
      </c>
      <c r="E5" t="s">
        <v>86</v>
      </c>
      <c r="F5" t="s">
        <v>60</v>
      </c>
      <c r="I5" t="s">
        <v>1637</v>
      </c>
      <c r="J5" t="s">
        <v>2986</v>
      </c>
      <c r="K5" t="s">
        <v>1638</v>
      </c>
      <c r="L5" t="s">
        <v>1639</v>
      </c>
      <c r="M5" s="3" t="str">
        <f>HYPERLINK(склад2въезд1319202122237[[#This Row],[RelativePath]])</f>
        <v>11 С ангара на базу\E33149364_4_20251110T093351Z.jpg</v>
      </c>
    </row>
    <row r="6" spans="1:13" x14ac:dyDescent="0.25">
      <c r="A6" s="2" t="s">
        <v>13</v>
      </c>
      <c r="B6" s="4">
        <v>45971</v>
      </c>
      <c r="C6" s="5">
        <v>0.39874999999999999</v>
      </c>
      <c r="D6" t="s">
        <v>1819</v>
      </c>
      <c r="E6" t="s">
        <v>86</v>
      </c>
      <c r="F6" t="s">
        <v>60</v>
      </c>
      <c r="I6" t="s">
        <v>1640</v>
      </c>
      <c r="J6" t="s">
        <v>2986</v>
      </c>
      <c r="K6" t="s">
        <v>1641</v>
      </c>
      <c r="L6" t="s">
        <v>1642</v>
      </c>
      <c r="M6" s="3" t="str">
        <f>HYPERLINK(склад2въезд1319202122237[[#This Row],[RelativePath]])</f>
        <v>11 С ангара на базу\E33149364_4_20251110T093412Z.jpg</v>
      </c>
    </row>
    <row r="7" spans="1:13" x14ac:dyDescent="0.25">
      <c r="A7" s="2" t="s">
        <v>13</v>
      </c>
      <c r="B7" s="4">
        <v>45971</v>
      </c>
      <c r="C7" s="5">
        <v>0.39891203703703704</v>
      </c>
      <c r="D7" t="s">
        <v>1819</v>
      </c>
      <c r="E7" t="s">
        <v>86</v>
      </c>
      <c r="F7" t="s">
        <v>60</v>
      </c>
      <c r="H7" t="s">
        <v>1818</v>
      </c>
      <c r="I7" t="s">
        <v>1643</v>
      </c>
      <c r="J7" t="s">
        <v>2986</v>
      </c>
      <c r="K7" t="s">
        <v>1644</v>
      </c>
      <c r="L7" t="s">
        <v>1645</v>
      </c>
      <c r="M7" s="3" t="str">
        <f>HYPERLINK(склад2въезд1319202122237[[#This Row],[RelativePath]])</f>
        <v>11 С ангара на базу\E33149364_4_20251110T093426Z.jpg</v>
      </c>
    </row>
    <row r="8" spans="1:13" x14ac:dyDescent="0.25">
      <c r="A8" s="2" t="s">
        <v>13</v>
      </c>
      <c r="B8" s="4">
        <v>45971</v>
      </c>
      <c r="C8" s="5">
        <v>0.40152777777777776</v>
      </c>
      <c r="D8" t="s">
        <v>1819</v>
      </c>
      <c r="E8" t="s">
        <v>86</v>
      </c>
      <c r="F8" t="s">
        <v>60</v>
      </c>
      <c r="I8" t="s">
        <v>1646</v>
      </c>
      <c r="J8" t="s">
        <v>2986</v>
      </c>
      <c r="K8" t="s">
        <v>1647</v>
      </c>
      <c r="L8" t="s">
        <v>1648</v>
      </c>
      <c r="M8" s="3" t="str">
        <f>HYPERLINK(склад2въезд1319202122237[[#This Row],[RelativePath]])</f>
        <v>11 С ангара на базу\E33149364_4_20251110T093812Z.jpg</v>
      </c>
    </row>
    <row r="9" spans="1:13" x14ac:dyDescent="0.25">
      <c r="A9" s="2" t="s">
        <v>13</v>
      </c>
      <c r="B9" s="4">
        <v>45971</v>
      </c>
      <c r="C9" s="5">
        <v>0.40177083333333335</v>
      </c>
      <c r="D9" t="s">
        <v>1819</v>
      </c>
      <c r="E9" t="s">
        <v>86</v>
      </c>
      <c r="F9" t="s">
        <v>60</v>
      </c>
      <c r="H9" t="s">
        <v>1818</v>
      </c>
      <c r="I9" t="s">
        <v>1649</v>
      </c>
      <c r="J9" t="s">
        <v>2986</v>
      </c>
      <c r="K9" t="s">
        <v>1650</v>
      </c>
      <c r="L9" t="s">
        <v>1651</v>
      </c>
      <c r="M9" s="3" t="str">
        <f>HYPERLINK(склад2въезд1319202122237[[#This Row],[RelativePath]])</f>
        <v>11 С ангара на базу\E33149364_4_20251110T093833Z.jpg</v>
      </c>
    </row>
    <row r="10" spans="1:13" x14ac:dyDescent="0.25">
      <c r="A10" s="2" t="s">
        <v>13</v>
      </c>
      <c r="B10" s="4">
        <v>45971</v>
      </c>
      <c r="C10" s="5">
        <v>0.40320601851851851</v>
      </c>
      <c r="D10" t="s">
        <v>159</v>
      </c>
      <c r="E10" t="s">
        <v>86</v>
      </c>
      <c r="F10" t="s">
        <v>60</v>
      </c>
      <c r="I10" t="s">
        <v>1652</v>
      </c>
      <c r="J10" t="s">
        <v>2986</v>
      </c>
      <c r="K10" t="s">
        <v>1653</v>
      </c>
      <c r="L10" t="s">
        <v>1654</v>
      </c>
      <c r="M10" s="3" t="str">
        <f>HYPERLINK(склад2въезд1319202122237[[#This Row],[RelativePath]])</f>
        <v>11 С ангара на базу\E33149364_4_20251110T094037Z.jpg</v>
      </c>
    </row>
    <row r="11" spans="1:13" x14ac:dyDescent="0.25">
      <c r="A11" s="2" t="s">
        <v>13</v>
      </c>
      <c r="B11" s="4">
        <v>45971</v>
      </c>
      <c r="C11" s="5">
        <v>0.40347222222222223</v>
      </c>
      <c r="D11" t="s">
        <v>1819</v>
      </c>
      <c r="E11" t="s">
        <v>86</v>
      </c>
      <c r="F11" t="s">
        <v>60</v>
      </c>
      <c r="I11" t="s">
        <v>1655</v>
      </c>
      <c r="J11" t="s">
        <v>2986</v>
      </c>
      <c r="K11" t="s">
        <v>1656</v>
      </c>
      <c r="L11" t="s">
        <v>1657</v>
      </c>
      <c r="M11" s="3" t="str">
        <f>HYPERLINK(склад2въезд1319202122237[[#This Row],[RelativePath]])</f>
        <v>11 С ангара на базу\E33149364_4_20251110T094100Z.jpg</v>
      </c>
    </row>
    <row r="12" spans="1:13" x14ac:dyDescent="0.25">
      <c r="A12" s="2" t="s">
        <v>13</v>
      </c>
      <c r="B12" s="4">
        <v>45971</v>
      </c>
      <c r="C12" s="5">
        <v>0.40364583333333331</v>
      </c>
      <c r="D12" t="s">
        <v>1819</v>
      </c>
      <c r="E12" t="s">
        <v>86</v>
      </c>
      <c r="F12" t="s">
        <v>60</v>
      </c>
      <c r="H12" t="s">
        <v>1818</v>
      </c>
      <c r="I12" t="s">
        <v>1658</v>
      </c>
      <c r="J12" t="s">
        <v>2986</v>
      </c>
      <c r="K12" t="s">
        <v>1659</v>
      </c>
      <c r="L12" t="s">
        <v>1660</v>
      </c>
      <c r="M12" s="3" t="str">
        <f>HYPERLINK(склад2въезд1319202122237[[#This Row],[RelativePath]])</f>
        <v>11 С ангара на базу\E33149364_4_20251110T094115Z.jpg</v>
      </c>
    </row>
    <row r="13" spans="1:13" x14ac:dyDescent="0.25">
      <c r="A13" s="2" t="s">
        <v>13</v>
      </c>
      <c r="B13" s="4">
        <v>45971</v>
      </c>
      <c r="C13" s="5">
        <v>0.40591435185185187</v>
      </c>
      <c r="D13" t="s">
        <v>159</v>
      </c>
      <c r="E13" t="s">
        <v>86</v>
      </c>
      <c r="F13" t="s">
        <v>60</v>
      </c>
      <c r="I13" t="s">
        <v>1661</v>
      </c>
      <c r="J13" t="s">
        <v>2986</v>
      </c>
      <c r="K13" t="s">
        <v>1662</v>
      </c>
      <c r="L13" t="s">
        <v>1663</v>
      </c>
      <c r="M13" s="3" t="str">
        <f>HYPERLINK(склад2въезд1319202122237[[#This Row],[RelativePath]])</f>
        <v>11 С ангара на базу\E33149364_4_20251110T094431Z.jpg</v>
      </c>
    </row>
    <row r="14" spans="1:13" x14ac:dyDescent="0.25">
      <c r="A14" s="2" t="s">
        <v>13</v>
      </c>
      <c r="B14" s="4">
        <v>45971</v>
      </c>
      <c r="C14" s="5">
        <v>0.40607638888888886</v>
      </c>
      <c r="D14" t="s">
        <v>1819</v>
      </c>
      <c r="E14" t="s">
        <v>86</v>
      </c>
      <c r="F14" t="s">
        <v>60</v>
      </c>
      <c r="H14" t="s">
        <v>1818</v>
      </c>
      <c r="I14" t="s">
        <v>1664</v>
      </c>
      <c r="J14" t="s">
        <v>2986</v>
      </c>
      <c r="K14" t="s">
        <v>1665</v>
      </c>
      <c r="L14" t="s">
        <v>1666</v>
      </c>
      <c r="M14" s="3" t="str">
        <f>HYPERLINK(склад2въезд1319202122237[[#This Row],[RelativePath]])</f>
        <v>11 С ангара на базу\E33149364_4_20251110T094445Z.jpg</v>
      </c>
    </row>
    <row r="15" spans="1:13" x14ac:dyDescent="0.25">
      <c r="A15" s="2" t="s">
        <v>13</v>
      </c>
      <c r="B15" s="4">
        <v>45971</v>
      </c>
      <c r="C15" s="5">
        <v>0.40895833333333331</v>
      </c>
      <c r="D15" t="s">
        <v>159</v>
      </c>
      <c r="E15" t="s">
        <v>86</v>
      </c>
      <c r="F15" t="s">
        <v>60</v>
      </c>
      <c r="I15" t="s">
        <v>1667</v>
      </c>
      <c r="J15" t="s">
        <v>2986</v>
      </c>
      <c r="K15" t="s">
        <v>1668</v>
      </c>
      <c r="L15" t="s">
        <v>1669</v>
      </c>
      <c r="M15" s="3" t="str">
        <f>HYPERLINK(склад2въезд1319202122237[[#This Row],[RelativePath]])</f>
        <v>11 С ангара на базу\E33149364_4_20251110T094854Z.jpg</v>
      </c>
    </row>
    <row r="16" spans="1:13" x14ac:dyDescent="0.25">
      <c r="A16" s="2" t="s">
        <v>13</v>
      </c>
      <c r="B16" s="4">
        <v>45971</v>
      </c>
      <c r="C16" s="5">
        <v>0.40925925925925927</v>
      </c>
      <c r="D16" t="s">
        <v>1819</v>
      </c>
      <c r="E16" t="s">
        <v>86</v>
      </c>
      <c r="F16" t="s">
        <v>60</v>
      </c>
      <c r="H16" t="s">
        <v>1818</v>
      </c>
      <c r="I16" t="s">
        <v>1670</v>
      </c>
      <c r="J16" t="s">
        <v>2986</v>
      </c>
      <c r="K16" t="s">
        <v>1671</v>
      </c>
      <c r="L16" t="s">
        <v>1672</v>
      </c>
      <c r="M16" s="3" t="str">
        <f>HYPERLINK(склад2въезд1319202122237[[#This Row],[RelativePath]])</f>
        <v>11 С ангара на базу\E33149364_4_20251110T094920Z.jpg</v>
      </c>
    </row>
    <row r="17" spans="1:13" x14ac:dyDescent="0.25">
      <c r="A17" s="2" t="s">
        <v>13</v>
      </c>
      <c r="B17" s="4">
        <v>45971</v>
      </c>
      <c r="C17" s="5">
        <v>0.42236111111111113</v>
      </c>
      <c r="D17" t="s">
        <v>159</v>
      </c>
      <c r="E17" t="s">
        <v>86</v>
      </c>
      <c r="F17" t="s">
        <v>53</v>
      </c>
      <c r="H17" t="s">
        <v>1818</v>
      </c>
      <c r="I17" t="s">
        <v>1673</v>
      </c>
      <c r="J17" t="s">
        <v>2986</v>
      </c>
      <c r="K17" t="s">
        <v>1674</v>
      </c>
      <c r="L17" t="s">
        <v>1675</v>
      </c>
      <c r="M17" s="3" t="str">
        <f>HYPERLINK(склад2въезд1319202122237[[#This Row],[RelativePath]])</f>
        <v>11 С ангара на базу\E33149364_4_20251110T100812Z.jpg</v>
      </c>
    </row>
    <row r="18" spans="1:13" x14ac:dyDescent="0.25">
      <c r="A18" s="2" t="s">
        <v>13</v>
      </c>
      <c r="B18" s="4">
        <v>45971</v>
      </c>
      <c r="C18" s="5">
        <v>0.62362268518518515</v>
      </c>
      <c r="D18" t="s">
        <v>1606</v>
      </c>
      <c r="E18" t="s">
        <v>55</v>
      </c>
      <c r="F18" t="s">
        <v>58</v>
      </c>
      <c r="I18" t="s">
        <v>1676</v>
      </c>
      <c r="J18" t="s">
        <v>2986</v>
      </c>
      <c r="K18" t="s">
        <v>1677</v>
      </c>
      <c r="L18" t="s">
        <v>1678</v>
      </c>
      <c r="M18" s="3" t="str">
        <f>HYPERLINK(склад2въезд1319202122237[[#This Row],[RelativePath]])</f>
        <v>11 С ангара на базу\E33149364_4_20251110T145801Z.jpg</v>
      </c>
    </row>
    <row r="19" spans="1:13" x14ac:dyDescent="0.25">
      <c r="A19" s="2" t="s">
        <v>13</v>
      </c>
      <c r="B19" s="4">
        <v>45971</v>
      </c>
      <c r="C19" s="5">
        <v>0.62613425925925925</v>
      </c>
      <c r="D19" t="s">
        <v>290</v>
      </c>
      <c r="E19" t="s">
        <v>55</v>
      </c>
      <c r="F19" t="s">
        <v>58</v>
      </c>
      <c r="I19" t="s">
        <v>1679</v>
      </c>
      <c r="J19" t="s">
        <v>2986</v>
      </c>
      <c r="K19" t="s">
        <v>1680</v>
      </c>
      <c r="L19" t="s">
        <v>1681</v>
      </c>
      <c r="M19" s="3" t="str">
        <f>HYPERLINK(склад2въезд1319202122237[[#This Row],[RelativePath]])</f>
        <v>11 С ангара на базу\E33149364_4_20251110T150138Z.jpg</v>
      </c>
    </row>
    <row r="20" spans="1:13" x14ac:dyDescent="0.25">
      <c r="A20" s="2" t="s">
        <v>13</v>
      </c>
      <c r="B20" s="4">
        <v>45971</v>
      </c>
      <c r="C20" s="5">
        <v>0.62623842592592593</v>
      </c>
      <c r="D20" t="s">
        <v>1820</v>
      </c>
      <c r="E20" t="s">
        <v>55</v>
      </c>
      <c r="F20" t="s">
        <v>58</v>
      </c>
      <c r="I20" t="s">
        <v>1682</v>
      </c>
      <c r="J20" t="s">
        <v>2986</v>
      </c>
      <c r="K20" t="s">
        <v>1683</v>
      </c>
      <c r="L20" t="s">
        <v>1684</v>
      </c>
      <c r="M20" s="3" t="str">
        <f>HYPERLINK(склад2въезд1319202122237[[#This Row],[RelativePath]])</f>
        <v>11 С ангара на базу\E33149364_4_20251110T150147Z.jpg</v>
      </c>
    </row>
    <row r="21" spans="1:13" x14ac:dyDescent="0.25">
      <c r="A21" s="2" t="s">
        <v>13</v>
      </c>
      <c r="B21" s="4">
        <v>45971</v>
      </c>
      <c r="C21" s="5">
        <v>0.6270486111111111</v>
      </c>
      <c r="D21" t="s">
        <v>1820</v>
      </c>
      <c r="E21" t="s">
        <v>55</v>
      </c>
      <c r="F21" t="s">
        <v>58</v>
      </c>
      <c r="I21" t="s">
        <v>1685</v>
      </c>
      <c r="J21" t="s">
        <v>2986</v>
      </c>
      <c r="K21" t="s">
        <v>1686</v>
      </c>
      <c r="L21" t="s">
        <v>1687</v>
      </c>
      <c r="M21" s="3" t="str">
        <f>HYPERLINK(склад2въезд1319202122237[[#This Row],[RelativePath]])</f>
        <v>11 С ангара на базу\E33149364_4_20251110T150257Z.jpg</v>
      </c>
    </row>
    <row r="22" spans="1:13" x14ac:dyDescent="0.25">
      <c r="A22" s="2" t="s">
        <v>13</v>
      </c>
      <c r="B22" s="4">
        <v>45971</v>
      </c>
      <c r="C22" s="5">
        <v>0.62809027777777782</v>
      </c>
      <c r="D22" t="s">
        <v>1820</v>
      </c>
      <c r="E22" t="s">
        <v>55</v>
      </c>
      <c r="F22" t="s">
        <v>58</v>
      </c>
      <c r="I22" t="s">
        <v>1688</v>
      </c>
      <c r="J22" t="s">
        <v>2986</v>
      </c>
      <c r="K22" t="s">
        <v>1689</v>
      </c>
      <c r="L22" t="s">
        <v>1690</v>
      </c>
      <c r="M22" s="3" t="str">
        <f>HYPERLINK(склад2въезд1319202122237[[#This Row],[RelativePath]])</f>
        <v>11 С ангара на базу\E33149364_4_20251110T150427Z.jpg</v>
      </c>
    </row>
    <row r="23" spans="1:13" x14ac:dyDescent="0.25">
      <c r="A23" s="2" t="s">
        <v>13</v>
      </c>
      <c r="B23" s="4">
        <v>45971</v>
      </c>
      <c r="C23" s="5">
        <v>0.62959490740740742</v>
      </c>
      <c r="D23" t="s">
        <v>1820</v>
      </c>
      <c r="E23" t="s">
        <v>55</v>
      </c>
      <c r="F23" t="s">
        <v>58</v>
      </c>
      <c r="I23" t="s">
        <v>1691</v>
      </c>
      <c r="J23" t="s">
        <v>2986</v>
      </c>
      <c r="K23" t="s">
        <v>1692</v>
      </c>
      <c r="L23" t="s">
        <v>1693</v>
      </c>
      <c r="M23" s="3" t="str">
        <f>HYPERLINK(склад2въезд1319202122237[[#This Row],[RelativePath]])</f>
        <v>11 С ангара на базу\E33149364_4_20251110T150637Z.jpg</v>
      </c>
    </row>
    <row r="24" spans="1:13" x14ac:dyDescent="0.25">
      <c r="A24" s="2" t="s">
        <v>13</v>
      </c>
      <c r="B24" s="4">
        <v>45971</v>
      </c>
      <c r="C24" s="5">
        <v>0.63015046296296295</v>
      </c>
      <c r="D24" t="s">
        <v>1821</v>
      </c>
      <c r="E24" t="s">
        <v>55</v>
      </c>
      <c r="I24" t="s">
        <v>1694</v>
      </c>
      <c r="J24" t="s">
        <v>2986</v>
      </c>
      <c r="K24" t="s">
        <v>1695</v>
      </c>
      <c r="L24" t="s">
        <v>1696</v>
      </c>
      <c r="M24" s="3" t="str">
        <f>HYPERLINK(склад2въезд1319202122237[[#This Row],[RelativePath]])</f>
        <v>11 С ангара на базу\E33149364_4_20251110T150725Z.jpg</v>
      </c>
    </row>
    <row r="25" spans="1:13" x14ac:dyDescent="0.25">
      <c r="A25" s="2" t="s">
        <v>13</v>
      </c>
      <c r="B25" s="4">
        <v>45971</v>
      </c>
      <c r="C25" s="5">
        <v>0.63042824074074078</v>
      </c>
      <c r="D25" t="s">
        <v>290</v>
      </c>
      <c r="E25" t="s">
        <v>55</v>
      </c>
      <c r="F25" t="s">
        <v>58</v>
      </c>
      <c r="I25" t="s">
        <v>1697</v>
      </c>
      <c r="J25" t="s">
        <v>2986</v>
      </c>
      <c r="K25" t="s">
        <v>1698</v>
      </c>
      <c r="L25" t="s">
        <v>1699</v>
      </c>
      <c r="M25" s="3" t="str">
        <f>HYPERLINK(склад2въезд1319202122237[[#This Row],[RelativePath]])</f>
        <v>11 С ангара на базу\E33149364_4_20251110T150749Z.jpg</v>
      </c>
    </row>
    <row r="26" spans="1:13" x14ac:dyDescent="0.25">
      <c r="A26" s="2" t="s">
        <v>13</v>
      </c>
      <c r="B26" s="4">
        <v>45971</v>
      </c>
      <c r="C26" s="5">
        <v>0.63086805555555558</v>
      </c>
      <c r="D26" t="s">
        <v>1820</v>
      </c>
      <c r="E26" t="s">
        <v>55</v>
      </c>
      <c r="F26" t="s">
        <v>58</v>
      </c>
      <c r="I26" t="s">
        <v>1700</v>
      </c>
      <c r="J26" t="s">
        <v>2986</v>
      </c>
      <c r="K26" t="s">
        <v>1701</v>
      </c>
      <c r="L26" t="s">
        <v>1702</v>
      </c>
      <c r="M26" s="3" t="str">
        <f>HYPERLINK(склад2въезд1319202122237[[#This Row],[RelativePath]])</f>
        <v>11 С ангара на базу\E33149364_4_20251110T150827Z.jpg</v>
      </c>
    </row>
    <row r="27" spans="1:13" x14ac:dyDescent="0.25">
      <c r="A27" s="2" t="s">
        <v>13</v>
      </c>
      <c r="B27" s="4">
        <v>45971</v>
      </c>
      <c r="C27" s="5">
        <v>0.63107638888888884</v>
      </c>
      <c r="D27" t="s">
        <v>1820</v>
      </c>
      <c r="E27" t="s">
        <v>55</v>
      </c>
      <c r="F27" t="s">
        <v>58</v>
      </c>
      <c r="I27" t="s">
        <v>1703</v>
      </c>
      <c r="J27" t="s">
        <v>2986</v>
      </c>
      <c r="K27" t="s">
        <v>1704</v>
      </c>
      <c r="L27" t="s">
        <v>1705</v>
      </c>
      <c r="M27" s="3" t="str">
        <f>HYPERLINK(склад2въезд1319202122237[[#This Row],[RelativePath]])</f>
        <v>11 С ангара на базу\E33149364_4_20251110T150845Z.jpg</v>
      </c>
    </row>
    <row r="28" spans="1:13" x14ac:dyDescent="0.25">
      <c r="A28" s="2" t="s">
        <v>13</v>
      </c>
      <c r="B28" s="4">
        <v>45971</v>
      </c>
      <c r="C28" s="5">
        <v>0.72167824074074072</v>
      </c>
      <c r="D28" t="s">
        <v>4</v>
      </c>
      <c r="E28" t="s">
        <v>8</v>
      </c>
      <c r="H28" t="s">
        <v>1625</v>
      </c>
      <c r="I28" t="s">
        <v>1706</v>
      </c>
      <c r="J28" t="s">
        <v>2986</v>
      </c>
      <c r="K28" t="s">
        <v>1707</v>
      </c>
      <c r="L28" t="s">
        <v>1708</v>
      </c>
      <c r="M28" s="3" t="str">
        <f>HYPERLINK(склад2въезд1319202122237[[#This Row],[RelativePath]])</f>
        <v>11 С ангара на базу\E33149364_4_20251110T171913Z.jpg</v>
      </c>
    </row>
    <row r="29" spans="1:13" x14ac:dyDescent="0.25">
      <c r="A29" s="2" t="s">
        <v>14</v>
      </c>
      <c r="B29" s="4">
        <v>45972</v>
      </c>
      <c r="C29" s="5">
        <v>0.34748842592592594</v>
      </c>
      <c r="D29" t="s">
        <v>4</v>
      </c>
      <c r="E29" t="s">
        <v>8</v>
      </c>
      <c r="H29" t="s">
        <v>5</v>
      </c>
      <c r="I29" t="s">
        <v>1709</v>
      </c>
      <c r="J29" t="s">
        <v>2986</v>
      </c>
      <c r="K29" t="s">
        <v>1710</v>
      </c>
      <c r="L29" t="s">
        <v>1711</v>
      </c>
      <c r="M29" s="3" t="str">
        <f>HYPERLINK(склад2въезд1319202122237[[#This Row],[RelativePath]])</f>
        <v>11 С ангара на базу\E33149364_4_20251111T082023Z.jpg</v>
      </c>
    </row>
    <row r="30" spans="1:13" x14ac:dyDescent="0.25">
      <c r="A30" s="2" t="s">
        <v>14</v>
      </c>
      <c r="B30" s="4">
        <v>45972</v>
      </c>
      <c r="C30" s="5">
        <v>0.45525462962962965</v>
      </c>
      <c r="D30" t="s">
        <v>159</v>
      </c>
      <c r="E30" t="s">
        <v>86</v>
      </c>
      <c r="F30" t="s">
        <v>1097</v>
      </c>
      <c r="I30" t="s">
        <v>1712</v>
      </c>
      <c r="J30" t="s">
        <v>2986</v>
      </c>
      <c r="K30" t="s">
        <v>1713</v>
      </c>
      <c r="L30" t="s">
        <v>1714</v>
      </c>
      <c r="M30" s="3" t="str">
        <f>HYPERLINK(склад2въезд1319202122237[[#This Row],[RelativePath]])</f>
        <v>11 С ангара на базу\E33149364_4_20251111T105534Z.jpg</v>
      </c>
    </row>
    <row r="31" spans="1:13" x14ac:dyDescent="0.25">
      <c r="A31" s="2" t="s">
        <v>14</v>
      </c>
      <c r="B31" s="4">
        <v>45972</v>
      </c>
      <c r="C31" s="5">
        <v>0.45591435185185186</v>
      </c>
      <c r="D31" t="s">
        <v>1819</v>
      </c>
      <c r="E31" t="s">
        <v>86</v>
      </c>
      <c r="F31" t="s">
        <v>1097</v>
      </c>
      <c r="H31" t="s">
        <v>1818</v>
      </c>
      <c r="I31" t="s">
        <v>1715</v>
      </c>
      <c r="J31" t="s">
        <v>2986</v>
      </c>
      <c r="K31" t="s">
        <v>1716</v>
      </c>
      <c r="L31" t="s">
        <v>1717</v>
      </c>
      <c r="M31" s="3" t="str">
        <f>HYPERLINK(склад2въезд1319202122237[[#This Row],[RelativePath]])</f>
        <v>11 С ангара на базу\E33149364_4_20251111T105631Z.jpg</v>
      </c>
    </row>
    <row r="32" spans="1:13" x14ac:dyDescent="0.25">
      <c r="A32" s="2" t="s">
        <v>14</v>
      </c>
      <c r="B32" s="4">
        <v>45972</v>
      </c>
      <c r="C32" s="5">
        <v>0.48247685185185185</v>
      </c>
      <c r="D32" t="s">
        <v>4</v>
      </c>
      <c r="E32" t="s">
        <v>8</v>
      </c>
      <c r="I32" t="s">
        <v>1718</v>
      </c>
      <c r="J32" t="s">
        <v>2986</v>
      </c>
      <c r="K32" t="s">
        <v>1719</v>
      </c>
      <c r="L32" t="s">
        <v>1720</v>
      </c>
      <c r="M32" s="3" t="str">
        <f>HYPERLINK(склад2въезд1319202122237[[#This Row],[RelativePath]])</f>
        <v>11 С ангара на базу\E33149364_4_20251111T113446Z.jpg</v>
      </c>
    </row>
    <row r="33" spans="1:13" x14ac:dyDescent="0.25">
      <c r="A33" s="2" t="s">
        <v>14</v>
      </c>
      <c r="B33" s="4">
        <v>45972</v>
      </c>
      <c r="C33" s="5">
        <v>0.51576388888888891</v>
      </c>
      <c r="D33" t="s">
        <v>1615</v>
      </c>
      <c r="E33" t="s">
        <v>86</v>
      </c>
      <c r="F33" t="s">
        <v>60</v>
      </c>
      <c r="I33" t="s">
        <v>1721</v>
      </c>
      <c r="J33" t="s">
        <v>2986</v>
      </c>
      <c r="K33" t="s">
        <v>1722</v>
      </c>
      <c r="L33" t="s">
        <v>1723</v>
      </c>
      <c r="M33" s="3" t="str">
        <f>HYPERLINK(склад2въезд1319202122237[[#This Row],[RelativePath]])</f>
        <v>11 С ангара на базу\E33149364_4_20251111T122242Z.jpg</v>
      </c>
    </row>
    <row r="34" spans="1:13" x14ac:dyDescent="0.25">
      <c r="A34" s="2" t="s">
        <v>14</v>
      </c>
      <c r="B34" s="4">
        <v>45972</v>
      </c>
      <c r="C34" s="5">
        <v>0.51980324074074069</v>
      </c>
      <c r="D34" t="s">
        <v>1615</v>
      </c>
      <c r="E34" t="s">
        <v>86</v>
      </c>
      <c r="F34" t="s">
        <v>60</v>
      </c>
      <c r="I34" t="s">
        <v>1724</v>
      </c>
      <c r="J34" t="s">
        <v>2986</v>
      </c>
      <c r="K34" t="s">
        <v>1725</v>
      </c>
      <c r="L34" t="s">
        <v>1726</v>
      </c>
      <c r="M34" s="3" t="str">
        <f>HYPERLINK(склад2въезд1319202122237[[#This Row],[RelativePath]])</f>
        <v>11 С ангара на базу\E33149364_4_20251111T122831Z.jpg</v>
      </c>
    </row>
    <row r="35" spans="1:13" x14ac:dyDescent="0.25">
      <c r="A35" s="2" t="s">
        <v>14</v>
      </c>
      <c r="B35" s="4">
        <v>45972</v>
      </c>
      <c r="C35" s="5">
        <v>0.52334490740740736</v>
      </c>
      <c r="D35" t="s">
        <v>1615</v>
      </c>
      <c r="E35" t="s">
        <v>86</v>
      </c>
      <c r="F35" t="s">
        <v>60</v>
      </c>
      <c r="I35" t="s">
        <v>1727</v>
      </c>
      <c r="J35" t="s">
        <v>2986</v>
      </c>
      <c r="K35" t="s">
        <v>1728</v>
      </c>
      <c r="L35" t="s">
        <v>1729</v>
      </c>
      <c r="M35" s="3" t="str">
        <f>HYPERLINK(склад2въезд1319202122237[[#This Row],[RelativePath]])</f>
        <v>11 С ангара на базу\E33149364_4_20251111T123337Z.jpg</v>
      </c>
    </row>
    <row r="36" spans="1:13" x14ac:dyDescent="0.25">
      <c r="A36" s="2" t="s">
        <v>14</v>
      </c>
      <c r="B36" s="4">
        <v>45972</v>
      </c>
      <c r="C36" s="5">
        <v>0.52337962962962958</v>
      </c>
      <c r="D36" t="s">
        <v>1615</v>
      </c>
      <c r="E36" t="s">
        <v>86</v>
      </c>
      <c r="F36" t="s">
        <v>60</v>
      </c>
      <c r="I36" t="s">
        <v>1730</v>
      </c>
      <c r="J36" t="s">
        <v>2986</v>
      </c>
      <c r="K36" t="s">
        <v>1731</v>
      </c>
      <c r="L36" t="s">
        <v>1732</v>
      </c>
      <c r="M36" s="3" t="str">
        <f>HYPERLINK(склад2въезд1319202122237[[#This Row],[RelativePath]])</f>
        <v>11 С ангара на базу\E33149364_4_20251111T123340Z.jpg</v>
      </c>
    </row>
    <row r="37" spans="1:13" x14ac:dyDescent="0.25">
      <c r="A37" s="2" t="s">
        <v>14</v>
      </c>
      <c r="B37" s="4">
        <v>45972</v>
      </c>
      <c r="C37" s="5">
        <v>0.5269907407407407</v>
      </c>
      <c r="D37" t="s">
        <v>1615</v>
      </c>
      <c r="E37" t="s">
        <v>86</v>
      </c>
      <c r="F37" t="s">
        <v>60</v>
      </c>
      <c r="I37" t="s">
        <v>1733</v>
      </c>
      <c r="J37" t="s">
        <v>2986</v>
      </c>
      <c r="K37" t="s">
        <v>1734</v>
      </c>
      <c r="L37" t="s">
        <v>1735</v>
      </c>
      <c r="M37" s="3" t="str">
        <f>HYPERLINK(склад2въезд1319202122237[[#This Row],[RelativePath]])</f>
        <v>11 С ангара на базу\E33149364_4_20251111T123852Z.jpg</v>
      </c>
    </row>
    <row r="38" spans="1:13" x14ac:dyDescent="0.25">
      <c r="A38" s="2" t="s">
        <v>14</v>
      </c>
      <c r="B38" s="4">
        <v>45972</v>
      </c>
      <c r="C38" s="5">
        <v>0.53318287037037038</v>
      </c>
      <c r="D38" t="s">
        <v>4</v>
      </c>
      <c r="E38" t="s">
        <v>8</v>
      </c>
      <c r="I38" t="s">
        <v>1736</v>
      </c>
      <c r="J38" t="s">
        <v>2986</v>
      </c>
      <c r="K38" t="s">
        <v>1737</v>
      </c>
      <c r="L38" t="s">
        <v>1738</v>
      </c>
      <c r="M38" s="3" t="str">
        <f>HYPERLINK(склад2въезд1319202122237[[#This Row],[RelativePath]])</f>
        <v>11 С ангара на базу\E33149364_4_20251111T124747Z.jpg</v>
      </c>
    </row>
    <row r="39" spans="1:13" x14ac:dyDescent="0.25">
      <c r="A39" s="2" t="s">
        <v>14</v>
      </c>
      <c r="B39" s="4">
        <v>45972</v>
      </c>
      <c r="C39" s="5">
        <v>0.71144675925925926</v>
      </c>
      <c r="D39" t="s">
        <v>4</v>
      </c>
      <c r="E39" t="s">
        <v>8</v>
      </c>
      <c r="H39" t="s">
        <v>1625</v>
      </c>
      <c r="I39" t="s">
        <v>1739</v>
      </c>
      <c r="J39" t="s">
        <v>2986</v>
      </c>
      <c r="K39" t="s">
        <v>1740</v>
      </c>
      <c r="L39" t="s">
        <v>1741</v>
      </c>
      <c r="M39" s="3" t="str">
        <f>HYPERLINK(склад2въезд1319202122237[[#This Row],[RelativePath]])</f>
        <v>11 С ангара на базу\E33149364_4_20251111T170429Z.jpg</v>
      </c>
    </row>
    <row r="40" spans="1:13" x14ac:dyDescent="0.25">
      <c r="A40" s="2" t="s">
        <v>15</v>
      </c>
      <c r="B40" s="4">
        <v>45973</v>
      </c>
      <c r="C40" s="5">
        <v>0.40519675925925924</v>
      </c>
      <c r="D40" t="s">
        <v>4</v>
      </c>
      <c r="E40" t="s">
        <v>8</v>
      </c>
      <c r="H40" t="s">
        <v>5</v>
      </c>
      <c r="I40" t="s">
        <v>1742</v>
      </c>
      <c r="J40" t="s">
        <v>2986</v>
      </c>
      <c r="K40" t="s">
        <v>1743</v>
      </c>
      <c r="L40" t="s">
        <v>1744</v>
      </c>
      <c r="M40" s="3" t="str">
        <f>HYPERLINK(склад2въезд1319202122237[[#This Row],[RelativePath]])</f>
        <v>11 С ангара на базу\E33149364_4_20251112T094329Z.jpg</v>
      </c>
    </row>
    <row r="41" spans="1:13" x14ac:dyDescent="0.25">
      <c r="A41" s="2" t="s">
        <v>15</v>
      </c>
      <c r="B41" s="4">
        <v>45973</v>
      </c>
      <c r="C41" s="5">
        <v>0.40539351851851851</v>
      </c>
      <c r="D41" t="s">
        <v>289</v>
      </c>
      <c r="E41" t="s">
        <v>86</v>
      </c>
      <c r="F41" t="s">
        <v>60</v>
      </c>
      <c r="H41" t="s">
        <v>1822</v>
      </c>
      <c r="I41" t="s">
        <v>1745</v>
      </c>
      <c r="J41" t="s">
        <v>2986</v>
      </c>
      <c r="K41" t="s">
        <v>1746</v>
      </c>
      <c r="L41" t="s">
        <v>1747</v>
      </c>
      <c r="M41" s="3" t="str">
        <f>HYPERLINK(склад2въезд1319202122237[[#This Row],[RelativePath]])</f>
        <v>11 С ангара на базу\E33149364_4_20251112T094346Z.jpg</v>
      </c>
    </row>
    <row r="42" spans="1:13" x14ac:dyDescent="0.25">
      <c r="A42" s="2" t="s">
        <v>15</v>
      </c>
      <c r="B42" s="4">
        <v>45973</v>
      </c>
      <c r="C42" s="5">
        <v>0.69604166666666667</v>
      </c>
      <c r="D42" t="s">
        <v>1606</v>
      </c>
      <c r="E42" t="s">
        <v>66</v>
      </c>
      <c r="F42" t="s">
        <v>69</v>
      </c>
      <c r="I42" t="s">
        <v>1748</v>
      </c>
      <c r="J42" t="s">
        <v>2986</v>
      </c>
      <c r="K42" t="s">
        <v>1749</v>
      </c>
      <c r="L42" t="s">
        <v>1750</v>
      </c>
      <c r="M42" s="3" t="str">
        <f>HYPERLINK(склад2въезд1319202122237[[#This Row],[RelativePath]])</f>
        <v>11 С ангара на базу\E33149364_4_20251112T164218Z.jpg</v>
      </c>
    </row>
    <row r="43" spans="1:13" x14ac:dyDescent="0.25">
      <c r="A43" s="2" t="s">
        <v>15</v>
      </c>
      <c r="B43" s="4">
        <v>45973</v>
      </c>
      <c r="C43" s="5">
        <v>0.69677083333333334</v>
      </c>
      <c r="D43" t="s">
        <v>290</v>
      </c>
      <c r="E43" t="s">
        <v>66</v>
      </c>
      <c r="F43" t="s">
        <v>69</v>
      </c>
      <c r="I43" t="s">
        <v>1751</v>
      </c>
      <c r="J43" t="s">
        <v>2986</v>
      </c>
      <c r="K43" t="s">
        <v>1752</v>
      </c>
      <c r="L43" t="s">
        <v>1753</v>
      </c>
      <c r="M43" s="3" t="str">
        <f>HYPERLINK(склад2въезд1319202122237[[#This Row],[RelativePath]])</f>
        <v>11 С ангара на базу\E33149364_4_20251112T164321Z.jpg</v>
      </c>
    </row>
    <row r="44" spans="1:13" x14ac:dyDescent="0.25">
      <c r="A44" s="2" t="s">
        <v>15</v>
      </c>
      <c r="B44" s="4">
        <v>45973</v>
      </c>
      <c r="C44" s="5">
        <v>0.70961805555555557</v>
      </c>
      <c r="D44" t="s">
        <v>650</v>
      </c>
      <c r="E44" t="s">
        <v>66</v>
      </c>
      <c r="F44" t="s">
        <v>51</v>
      </c>
      <c r="I44" t="s">
        <v>1754</v>
      </c>
      <c r="J44" t="s">
        <v>2986</v>
      </c>
      <c r="K44" t="s">
        <v>1755</v>
      </c>
      <c r="L44" t="s">
        <v>1756</v>
      </c>
      <c r="M44" s="3" t="str">
        <f>HYPERLINK(склад2въезд1319202122237[[#This Row],[RelativePath]])</f>
        <v>11 С ангара на базу\E33149364_4_20251112T170151Z.jpg</v>
      </c>
    </row>
    <row r="45" spans="1:13" x14ac:dyDescent="0.25">
      <c r="A45" s="2" t="s">
        <v>15</v>
      </c>
      <c r="B45" s="4">
        <v>45973</v>
      </c>
      <c r="C45" s="5">
        <v>0.74185185185185187</v>
      </c>
      <c r="D45" t="s">
        <v>4</v>
      </c>
      <c r="E45" t="s">
        <v>8</v>
      </c>
      <c r="H45" t="s">
        <v>1625</v>
      </c>
      <c r="I45" t="s">
        <v>1757</v>
      </c>
      <c r="J45" t="s">
        <v>2986</v>
      </c>
      <c r="K45" t="s">
        <v>1758</v>
      </c>
      <c r="L45" t="s">
        <v>1759</v>
      </c>
      <c r="M45" s="3" t="str">
        <f>HYPERLINK(склад2въезд1319202122237[[#This Row],[RelativePath]])</f>
        <v>11 С ангара на базу\E33149364_4_20251112T174816Z.jpg</v>
      </c>
    </row>
    <row r="46" spans="1:13" x14ac:dyDescent="0.25">
      <c r="A46" s="2" t="s">
        <v>16</v>
      </c>
      <c r="B46" s="4">
        <v>45974</v>
      </c>
      <c r="C46" s="5">
        <v>0.36912037037037038</v>
      </c>
      <c r="D46" t="s">
        <v>4</v>
      </c>
      <c r="E46" t="s">
        <v>8</v>
      </c>
      <c r="H46" t="s">
        <v>5</v>
      </c>
      <c r="I46" t="s">
        <v>1760</v>
      </c>
      <c r="J46" t="s">
        <v>2986</v>
      </c>
      <c r="K46" t="s">
        <v>1761</v>
      </c>
      <c r="L46" t="s">
        <v>1762</v>
      </c>
      <c r="M46" s="3" t="str">
        <f>HYPERLINK(склад2въезд1319202122237[[#This Row],[RelativePath]])</f>
        <v>11 С ангара на базу\E33149364_4_20251113T085132Z.jpg</v>
      </c>
    </row>
    <row r="47" spans="1:13" x14ac:dyDescent="0.25">
      <c r="A47" s="2" t="s">
        <v>16</v>
      </c>
      <c r="B47" s="4">
        <v>45974</v>
      </c>
      <c r="C47" s="5">
        <v>0.38871527777777776</v>
      </c>
      <c r="D47" t="s">
        <v>4</v>
      </c>
      <c r="E47" t="s">
        <v>70</v>
      </c>
      <c r="H47" t="s">
        <v>1823</v>
      </c>
      <c r="I47" t="s">
        <v>1763</v>
      </c>
      <c r="J47" t="s">
        <v>2986</v>
      </c>
      <c r="K47" t="s">
        <v>1764</v>
      </c>
      <c r="L47" t="s">
        <v>1765</v>
      </c>
      <c r="M47" s="3" t="str">
        <f>HYPERLINK(склад2въезд1319202122237[[#This Row],[RelativePath]])</f>
        <v>11 С ангара на базу\E33149364_4_20251113T091945Z.jpg</v>
      </c>
    </row>
    <row r="48" spans="1:13" x14ac:dyDescent="0.25">
      <c r="A48" s="2" t="s">
        <v>16</v>
      </c>
      <c r="B48" s="4">
        <v>45974</v>
      </c>
      <c r="C48" s="5">
        <v>0.52577546296296296</v>
      </c>
      <c r="D48" t="s">
        <v>4</v>
      </c>
      <c r="E48" t="s">
        <v>86</v>
      </c>
      <c r="H48" t="s">
        <v>1824</v>
      </c>
      <c r="I48" t="s">
        <v>1766</v>
      </c>
      <c r="J48" t="s">
        <v>2986</v>
      </c>
      <c r="K48" t="s">
        <v>1767</v>
      </c>
      <c r="L48" t="s">
        <v>1768</v>
      </c>
      <c r="M48" s="3" t="str">
        <f>HYPERLINK(склад2въезд1319202122237[[#This Row],[RelativePath]])</f>
        <v>11 С ангара на базу\E33149364_4_20251113T123707Z.jpg</v>
      </c>
    </row>
    <row r="49" spans="1:13" x14ac:dyDescent="0.25">
      <c r="A49" s="2" t="s">
        <v>16</v>
      </c>
      <c r="B49" s="4">
        <v>45974</v>
      </c>
      <c r="C49" s="5">
        <v>0.68486111111111114</v>
      </c>
      <c r="D49" t="s">
        <v>159</v>
      </c>
      <c r="E49" t="s">
        <v>86</v>
      </c>
      <c r="F49" t="s">
        <v>528</v>
      </c>
      <c r="I49" t="s">
        <v>1769</v>
      </c>
      <c r="J49" t="s">
        <v>2986</v>
      </c>
      <c r="K49" t="s">
        <v>1770</v>
      </c>
      <c r="L49" t="s">
        <v>1771</v>
      </c>
      <c r="M49" s="3" t="str">
        <f>HYPERLINK(склад2въезд1319202122237[[#This Row],[RelativePath]])</f>
        <v>11 С ангара на базу\E33149364_4_20251113T162612Z.jpg</v>
      </c>
    </row>
    <row r="50" spans="1:13" x14ac:dyDescent="0.25">
      <c r="A50" s="2" t="s">
        <v>16</v>
      </c>
      <c r="B50" s="4">
        <v>45974</v>
      </c>
      <c r="C50" s="5">
        <v>0.74509259259259264</v>
      </c>
      <c r="D50" t="s">
        <v>4</v>
      </c>
      <c r="E50" t="s">
        <v>8</v>
      </c>
      <c r="H50" t="s">
        <v>1625</v>
      </c>
      <c r="I50" t="s">
        <v>1772</v>
      </c>
      <c r="J50" t="s">
        <v>2986</v>
      </c>
      <c r="K50" t="s">
        <v>1773</v>
      </c>
      <c r="L50" t="s">
        <v>1774</v>
      </c>
      <c r="M50" s="3" t="str">
        <f>HYPERLINK(склад2въезд1319202122237[[#This Row],[RelativePath]])</f>
        <v>11 С ангара на базу\E33149364_4_20251113T175256Z.jpg</v>
      </c>
    </row>
    <row r="51" spans="1:13" x14ac:dyDescent="0.25">
      <c r="A51" s="2" t="s">
        <v>17</v>
      </c>
      <c r="B51" s="4">
        <v>45975</v>
      </c>
      <c r="C51" s="5">
        <v>0.36483796296296295</v>
      </c>
      <c r="D51" t="s">
        <v>4</v>
      </c>
      <c r="E51" t="s">
        <v>8</v>
      </c>
      <c r="H51" t="s">
        <v>5</v>
      </c>
      <c r="I51" t="s">
        <v>1775</v>
      </c>
      <c r="J51" t="s">
        <v>2986</v>
      </c>
      <c r="K51" t="s">
        <v>1776</v>
      </c>
      <c r="L51" t="s">
        <v>1777</v>
      </c>
      <c r="M51" s="3" t="str">
        <f>HYPERLINK(склад2въезд1319202122237[[#This Row],[RelativePath]])</f>
        <v>11 С ангара на базу\E33149364_4_20251114T084522Z.jpg</v>
      </c>
    </row>
    <row r="52" spans="1:13" x14ac:dyDescent="0.25">
      <c r="A52" s="2" t="s">
        <v>17</v>
      </c>
      <c r="B52" s="4">
        <v>45975</v>
      </c>
      <c r="C52" s="5">
        <v>0.42787037037037035</v>
      </c>
      <c r="D52" t="s">
        <v>159</v>
      </c>
      <c r="E52" t="s">
        <v>86</v>
      </c>
      <c r="F52" t="s">
        <v>200</v>
      </c>
      <c r="I52" t="s">
        <v>1778</v>
      </c>
      <c r="J52" t="s">
        <v>2986</v>
      </c>
      <c r="K52" t="s">
        <v>1779</v>
      </c>
      <c r="L52" t="s">
        <v>1780</v>
      </c>
      <c r="M52" s="3" t="str">
        <f>HYPERLINK(склад2въезд1319202122237[[#This Row],[RelativePath]])</f>
        <v>11 С ангара на базу\E33149364_4_20251114T101608Z.jpg</v>
      </c>
    </row>
    <row r="53" spans="1:13" x14ac:dyDescent="0.25">
      <c r="A53" s="2" t="s">
        <v>17</v>
      </c>
      <c r="B53" s="4">
        <v>45975</v>
      </c>
      <c r="C53" s="5">
        <v>0.42792824074074076</v>
      </c>
      <c r="D53" t="s">
        <v>1819</v>
      </c>
      <c r="E53" t="s">
        <v>86</v>
      </c>
      <c r="H53" t="s">
        <v>1818</v>
      </c>
      <c r="I53" t="s">
        <v>1781</v>
      </c>
      <c r="J53" t="s">
        <v>2986</v>
      </c>
      <c r="K53" t="s">
        <v>1782</v>
      </c>
      <c r="L53" t="s">
        <v>1783</v>
      </c>
      <c r="M53" s="3" t="str">
        <f>HYPERLINK(склад2въезд1319202122237[[#This Row],[RelativePath]])</f>
        <v>11 С ангара на базу\E33149364_4_20251114T101613Z.jpg</v>
      </c>
    </row>
    <row r="54" spans="1:13" x14ac:dyDescent="0.25">
      <c r="A54" s="2" t="s">
        <v>17</v>
      </c>
      <c r="B54" s="4">
        <v>45975</v>
      </c>
      <c r="C54" s="5">
        <v>0.43548611111111113</v>
      </c>
      <c r="D54" t="s">
        <v>159</v>
      </c>
      <c r="E54" t="s">
        <v>86</v>
      </c>
      <c r="F54" t="s">
        <v>200</v>
      </c>
      <c r="H54" t="s">
        <v>1818</v>
      </c>
      <c r="I54" t="s">
        <v>1784</v>
      </c>
      <c r="J54" t="s">
        <v>2986</v>
      </c>
      <c r="K54" t="s">
        <v>1785</v>
      </c>
      <c r="L54" t="s">
        <v>1786</v>
      </c>
      <c r="M54" s="3" t="str">
        <f>HYPERLINK(склад2въезд1319202122237[[#This Row],[RelativePath]])</f>
        <v>11 С ангара на базу\E33149364_4_20251114T102706Z.jpg</v>
      </c>
    </row>
    <row r="55" spans="1:13" x14ac:dyDescent="0.25">
      <c r="A55" s="2" t="s">
        <v>17</v>
      </c>
      <c r="B55" s="4">
        <v>45975</v>
      </c>
      <c r="C55" s="5">
        <v>0.47024305555555557</v>
      </c>
      <c r="D55" t="s">
        <v>4</v>
      </c>
      <c r="E55" t="s">
        <v>8</v>
      </c>
      <c r="I55" t="s">
        <v>1787</v>
      </c>
      <c r="J55" t="s">
        <v>2986</v>
      </c>
      <c r="K55" t="s">
        <v>1788</v>
      </c>
      <c r="L55" t="s">
        <v>1789</v>
      </c>
      <c r="M55" s="3" t="str">
        <f>HYPERLINK(склад2въезд1319202122237[[#This Row],[RelativePath]])</f>
        <v>11 С ангара на базу\E33149364_4_20251114T111709Z.jpg</v>
      </c>
    </row>
    <row r="56" spans="1:13" x14ac:dyDescent="0.25">
      <c r="A56" s="2" t="s">
        <v>17</v>
      </c>
      <c r="B56" s="4">
        <v>45975</v>
      </c>
      <c r="C56" s="5">
        <v>0.50475694444444441</v>
      </c>
      <c r="D56" t="s">
        <v>159</v>
      </c>
      <c r="E56" t="s">
        <v>86</v>
      </c>
      <c r="F56" t="s">
        <v>200</v>
      </c>
      <c r="H56" t="s">
        <v>1825</v>
      </c>
      <c r="I56" t="s">
        <v>1790</v>
      </c>
      <c r="J56" t="s">
        <v>2986</v>
      </c>
      <c r="K56" t="s">
        <v>1791</v>
      </c>
      <c r="L56" t="s">
        <v>1792</v>
      </c>
      <c r="M56" s="3" t="str">
        <f>HYPERLINK(склад2въезд1319202122237[[#This Row],[RelativePath]])</f>
        <v>11 С ангара на базу\E33149364_4_20251114T120651Z.jpg</v>
      </c>
    </row>
    <row r="57" spans="1:13" x14ac:dyDescent="0.25">
      <c r="A57" s="2" t="s">
        <v>17</v>
      </c>
      <c r="B57" s="4">
        <v>45975</v>
      </c>
      <c r="C57" s="5">
        <v>0.52907407407407403</v>
      </c>
      <c r="D57" t="s">
        <v>159</v>
      </c>
      <c r="E57" t="s">
        <v>86</v>
      </c>
      <c r="F57" t="s">
        <v>200</v>
      </c>
      <c r="H57" t="s">
        <v>1825</v>
      </c>
      <c r="I57" t="s">
        <v>1793</v>
      </c>
      <c r="J57" t="s">
        <v>2986</v>
      </c>
      <c r="K57" t="s">
        <v>1794</v>
      </c>
      <c r="L57" t="s">
        <v>1795</v>
      </c>
      <c r="M57" s="3" t="str">
        <f>HYPERLINK(склад2въезд1319202122237[[#This Row],[RelativePath]])</f>
        <v>11 С ангара на базу\E33149364_4_20251114T124152Z.jpg</v>
      </c>
    </row>
    <row r="58" spans="1:13" x14ac:dyDescent="0.25">
      <c r="A58" s="2" t="s">
        <v>17</v>
      </c>
      <c r="B58" s="4">
        <v>45975</v>
      </c>
      <c r="C58" s="5">
        <v>0.72956018518518517</v>
      </c>
      <c r="D58" t="s">
        <v>4</v>
      </c>
      <c r="E58" t="s">
        <v>8</v>
      </c>
      <c r="H58" t="s">
        <v>1625</v>
      </c>
      <c r="I58" t="s">
        <v>1796</v>
      </c>
      <c r="J58" t="s">
        <v>2986</v>
      </c>
      <c r="K58" t="s">
        <v>1797</v>
      </c>
      <c r="L58" t="s">
        <v>1798</v>
      </c>
      <c r="M58" s="3" t="str">
        <f>HYPERLINK(склад2въезд1319202122237[[#This Row],[RelativePath]])</f>
        <v>11 С ангара на базу\E33149364_4_20251114T173034Z.jpg</v>
      </c>
    </row>
    <row r="59" spans="1:13" x14ac:dyDescent="0.25">
      <c r="A59" s="2" t="s">
        <v>18</v>
      </c>
      <c r="B59" s="4">
        <v>45976</v>
      </c>
      <c r="C59" s="5">
        <v>0.35357638888888887</v>
      </c>
      <c r="D59" t="s">
        <v>4</v>
      </c>
      <c r="E59" t="s">
        <v>8</v>
      </c>
      <c r="H59" t="s">
        <v>5</v>
      </c>
      <c r="I59" t="s">
        <v>1799</v>
      </c>
      <c r="J59" t="s">
        <v>2986</v>
      </c>
      <c r="K59" t="s">
        <v>1800</v>
      </c>
      <c r="L59" t="s">
        <v>1801</v>
      </c>
      <c r="M59" s="3" t="str">
        <f>HYPERLINK(склад2въезд1319202122237[[#This Row],[RelativePath]])</f>
        <v>11 С ангара на базу\E33149364_4_20251115T082909Z.jpg</v>
      </c>
    </row>
    <row r="60" spans="1:13" x14ac:dyDescent="0.25">
      <c r="A60" s="2" t="s">
        <v>18</v>
      </c>
      <c r="B60" s="4">
        <v>45976</v>
      </c>
      <c r="C60" s="5">
        <v>0.55797453703703703</v>
      </c>
      <c r="D60" t="s">
        <v>4</v>
      </c>
      <c r="E60" t="s">
        <v>8</v>
      </c>
      <c r="I60" t="s">
        <v>1802</v>
      </c>
      <c r="J60" t="s">
        <v>2986</v>
      </c>
      <c r="K60" t="s">
        <v>1803</v>
      </c>
      <c r="L60" t="s">
        <v>1804</v>
      </c>
      <c r="M60" s="3" t="str">
        <f>HYPERLINK(склад2въезд1319202122237[[#This Row],[RelativePath]])</f>
        <v>11 С ангара на базу\E33149364_4_20251115T132329Z.jpg</v>
      </c>
    </row>
    <row r="61" spans="1:13" x14ac:dyDescent="0.25">
      <c r="A61" s="2" t="s">
        <v>18</v>
      </c>
      <c r="B61" s="4">
        <v>45976</v>
      </c>
      <c r="C61" s="5">
        <v>0.73224537037037041</v>
      </c>
      <c r="D61" t="s">
        <v>4</v>
      </c>
      <c r="E61" t="s">
        <v>8</v>
      </c>
      <c r="H61" t="s">
        <v>1625</v>
      </c>
      <c r="I61" t="s">
        <v>1805</v>
      </c>
      <c r="J61" t="s">
        <v>2986</v>
      </c>
      <c r="K61" t="s">
        <v>1806</v>
      </c>
      <c r="L61" t="s">
        <v>1807</v>
      </c>
      <c r="M61" s="3" t="str">
        <f>HYPERLINK(склад2въезд1319202122237[[#This Row],[RelativePath]])</f>
        <v>11 С ангара на базу\E33149364_4_20251115T173426Z.jpg</v>
      </c>
    </row>
    <row r="62" spans="1:13" x14ac:dyDescent="0.25">
      <c r="A62" s="2" t="s">
        <v>22</v>
      </c>
      <c r="B62" s="4">
        <v>45977</v>
      </c>
      <c r="C62" s="5">
        <v>0.36515046296296294</v>
      </c>
      <c r="D62" t="s">
        <v>4</v>
      </c>
      <c r="E62" t="s">
        <v>8</v>
      </c>
      <c r="H62" t="s">
        <v>5</v>
      </c>
      <c r="I62" t="s">
        <v>1808</v>
      </c>
      <c r="J62" t="s">
        <v>2986</v>
      </c>
      <c r="K62" t="s">
        <v>1809</v>
      </c>
      <c r="L62" t="s">
        <v>1810</v>
      </c>
      <c r="M62" s="3" t="str">
        <f>HYPERLINK(склад2въезд1319202122237[[#This Row],[RelativePath]])</f>
        <v>11 С ангара на базу\E33149364_4_20251116T084549Z.jpg</v>
      </c>
    </row>
    <row r="63" spans="1:13" x14ac:dyDescent="0.25">
      <c r="A63" s="2" t="s">
        <v>22</v>
      </c>
      <c r="B63" s="4">
        <v>45977</v>
      </c>
      <c r="C63" s="5">
        <v>0.56468750000000001</v>
      </c>
      <c r="D63" t="s">
        <v>4</v>
      </c>
      <c r="E63" t="s">
        <v>8</v>
      </c>
      <c r="I63" t="s">
        <v>1811</v>
      </c>
      <c r="J63" t="s">
        <v>2986</v>
      </c>
      <c r="K63" t="s">
        <v>1812</v>
      </c>
      <c r="L63" t="s">
        <v>1813</v>
      </c>
      <c r="M63" s="3" t="str">
        <f>HYPERLINK(склад2въезд1319202122237[[#This Row],[RelativePath]])</f>
        <v>11 С ангара на базу\E33149364_4_20251116T133309Z.jpg</v>
      </c>
    </row>
    <row r="64" spans="1:13" x14ac:dyDescent="0.25">
      <c r="A64" s="2" t="s">
        <v>22</v>
      </c>
      <c r="B64" s="4">
        <v>45977</v>
      </c>
      <c r="C64" s="5">
        <v>0.71405092592592589</v>
      </c>
      <c r="D64" t="s">
        <v>4</v>
      </c>
      <c r="E64" t="s">
        <v>8</v>
      </c>
      <c r="H64" t="s">
        <v>1625</v>
      </c>
      <c r="I64" t="s">
        <v>1814</v>
      </c>
      <c r="J64" t="s">
        <v>2986</v>
      </c>
      <c r="K64" t="s">
        <v>1815</v>
      </c>
      <c r="L64" t="s">
        <v>1816</v>
      </c>
      <c r="M64" s="3" t="str">
        <f>HYPERLINK(склад2въезд1319202122237[[#This Row],[RelativePath]])</f>
        <v>11 С ангара на базу\E33149364_4_20251116T170814Z.jpg</v>
      </c>
    </row>
    <row r="65" spans="1:13" x14ac:dyDescent="0.25">
      <c r="A65" s="2" t="s">
        <v>13</v>
      </c>
      <c r="B65" s="4">
        <v>45978</v>
      </c>
      <c r="C65" s="5">
        <v>0.66162037037037036</v>
      </c>
      <c r="D65" t="s">
        <v>533</v>
      </c>
      <c r="E65" t="s">
        <v>1607</v>
      </c>
      <c r="F65" t="s">
        <v>2962</v>
      </c>
      <c r="H65" t="s">
        <v>2958</v>
      </c>
      <c r="I65" t="s">
        <v>2526</v>
      </c>
      <c r="J65" t="s">
        <v>2986</v>
      </c>
      <c r="K65" t="s">
        <v>2527</v>
      </c>
      <c r="L65" t="s">
        <v>2528</v>
      </c>
      <c r="M65" s="3" t="str">
        <f>HYPERLINK(склад2въезд1319202122237[[#This Row],[RelativePath]])</f>
        <v>11 С ангара на базу\E33149364_4_20251117T155244Z.jpg</v>
      </c>
    </row>
    <row r="66" spans="1:13" x14ac:dyDescent="0.25">
      <c r="A66" s="2" t="s">
        <v>13</v>
      </c>
      <c r="B66" s="4">
        <v>45978</v>
      </c>
      <c r="C66" s="5">
        <v>0.7129050925925926</v>
      </c>
      <c r="D66" t="s">
        <v>533</v>
      </c>
      <c r="E66" t="s">
        <v>531</v>
      </c>
      <c r="F66" t="s">
        <v>58</v>
      </c>
      <c r="H66" t="s">
        <v>2968</v>
      </c>
      <c r="I66" t="s">
        <v>2529</v>
      </c>
      <c r="J66" t="s">
        <v>2986</v>
      </c>
      <c r="K66" t="s">
        <v>2530</v>
      </c>
      <c r="L66" t="s">
        <v>2531</v>
      </c>
      <c r="M66" s="3" t="str">
        <f>HYPERLINK(склад2въезд1319202122237[[#This Row],[RelativePath]])</f>
        <v>11 С ангара на базу\E33149364_4_20251117T170635Z.jpg</v>
      </c>
    </row>
    <row r="67" spans="1:13" x14ac:dyDescent="0.25">
      <c r="A67" s="2" t="s">
        <v>14</v>
      </c>
      <c r="B67" s="4">
        <v>45979</v>
      </c>
      <c r="C67" s="5">
        <v>0.43287037037037035</v>
      </c>
      <c r="D67" t="s">
        <v>2980</v>
      </c>
      <c r="E67" t="s">
        <v>2920</v>
      </c>
      <c r="F67" t="s">
        <v>58</v>
      </c>
      <c r="H67" t="s">
        <v>2957</v>
      </c>
      <c r="I67" t="s">
        <v>2532</v>
      </c>
      <c r="J67" t="s">
        <v>2986</v>
      </c>
      <c r="K67" t="s">
        <v>2533</v>
      </c>
      <c r="L67" t="s">
        <v>2534</v>
      </c>
      <c r="M67" s="3" t="str">
        <f>HYPERLINK(склад2въезд1319202122237[[#This Row],[RelativePath]])</f>
        <v>11 С ангара на базу\E33149364_4_20251118T102320Z.jpg</v>
      </c>
    </row>
    <row r="68" spans="1:13" x14ac:dyDescent="0.25">
      <c r="A68" s="2" t="s">
        <v>14</v>
      </c>
      <c r="B68" s="4">
        <v>45979</v>
      </c>
      <c r="C68" s="5">
        <v>0.43306712962962962</v>
      </c>
      <c r="D68" t="s">
        <v>1999</v>
      </c>
      <c r="E68" t="s">
        <v>2920</v>
      </c>
      <c r="F68" t="s">
        <v>58</v>
      </c>
      <c r="H68" t="s">
        <v>2957</v>
      </c>
      <c r="I68" t="s">
        <v>2535</v>
      </c>
      <c r="J68" t="s">
        <v>2986</v>
      </c>
      <c r="K68" t="s">
        <v>2536</v>
      </c>
      <c r="L68" t="s">
        <v>2537</v>
      </c>
      <c r="M68" s="3" t="str">
        <f>HYPERLINK(склад2въезд1319202122237[[#This Row],[RelativePath]])</f>
        <v>11 С ангара на базу\E33149364_4_20251118T102337Z.jpg</v>
      </c>
    </row>
    <row r="69" spans="1:13" x14ac:dyDescent="0.25">
      <c r="A69" s="2" t="s">
        <v>14</v>
      </c>
      <c r="B69" s="4">
        <v>45979</v>
      </c>
      <c r="C69" s="5">
        <v>0.4332523148148148</v>
      </c>
      <c r="D69" t="s">
        <v>1999</v>
      </c>
      <c r="E69" t="s">
        <v>2920</v>
      </c>
      <c r="F69" t="s">
        <v>58</v>
      </c>
      <c r="H69" t="s">
        <v>2957</v>
      </c>
      <c r="I69" t="s">
        <v>2538</v>
      </c>
      <c r="J69" t="s">
        <v>2986</v>
      </c>
      <c r="K69" t="s">
        <v>2539</v>
      </c>
      <c r="L69" t="s">
        <v>2540</v>
      </c>
      <c r="M69" s="3" t="str">
        <f>HYPERLINK(склад2въезд1319202122237[[#This Row],[RelativePath]])</f>
        <v>11 С ангара на базу\E33149364_4_20251118T102353Z.jpg</v>
      </c>
    </row>
    <row r="70" spans="1:13" x14ac:dyDescent="0.25">
      <c r="A70" s="2" t="s">
        <v>14</v>
      </c>
      <c r="B70" s="4">
        <v>45979</v>
      </c>
      <c r="C70" s="5">
        <v>0.43341435185185184</v>
      </c>
      <c r="D70" t="s">
        <v>1999</v>
      </c>
      <c r="E70" t="s">
        <v>2920</v>
      </c>
      <c r="F70" t="s">
        <v>58</v>
      </c>
      <c r="H70" t="s">
        <v>2957</v>
      </c>
      <c r="I70" t="s">
        <v>2541</v>
      </c>
      <c r="J70" t="s">
        <v>2986</v>
      </c>
      <c r="K70" t="s">
        <v>2542</v>
      </c>
      <c r="L70" t="s">
        <v>2543</v>
      </c>
      <c r="M70" s="3" t="str">
        <f>HYPERLINK(склад2въезд1319202122237[[#This Row],[RelativePath]])</f>
        <v>11 С ангара на базу\E33149364_4_20251118T102407Z.jpg</v>
      </c>
    </row>
    <row r="71" spans="1:13" x14ac:dyDescent="0.25">
      <c r="A71" s="2" t="s">
        <v>14</v>
      </c>
      <c r="B71" s="4">
        <v>45979</v>
      </c>
      <c r="C71" s="5">
        <v>0.43355324074074075</v>
      </c>
      <c r="D71" t="s">
        <v>1999</v>
      </c>
      <c r="E71" t="s">
        <v>2920</v>
      </c>
      <c r="F71" t="s">
        <v>58</v>
      </c>
      <c r="H71" t="s">
        <v>2957</v>
      </c>
      <c r="I71" t="s">
        <v>2544</v>
      </c>
      <c r="J71" t="s">
        <v>2986</v>
      </c>
      <c r="K71" t="s">
        <v>2545</v>
      </c>
      <c r="L71" t="s">
        <v>2546</v>
      </c>
      <c r="M71" s="3" t="str">
        <f>HYPERLINK(склад2въезд1319202122237[[#This Row],[RelativePath]])</f>
        <v>11 С ангара на базу\E33149364_4_20251118T102419Z.jpg</v>
      </c>
    </row>
    <row r="72" spans="1:13" x14ac:dyDescent="0.25">
      <c r="A72" s="2" t="s">
        <v>14</v>
      </c>
      <c r="B72" s="4">
        <v>45979</v>
      </c>
      <c r="C72" s="5">
        <v>0.43373842592592593</v>
      </c>
      <c r="D72" t="s">
        <v>1999</v>
      </c>
      <c r="E72" t="s">
        <v>2920</v>
      </c>
      <c r="F72" t="s">
        <v>58</v>
      </c>
      <c r="H72" t="s">
        <v>2957</v>
      </c>
      <c r="I72" t="s">
        <v>2547</v>
      </c>
      <c r="J72" t="s">
        <v>2986</v>
      </c>
      <c r="K72" t="s">
        <v>2548</v>
      </c>
      <c r="L72" t="s">
        <v>2549</v>
      </c>
      <c r="M72" s="3" t="str">
        <f>HYPERLINK(склад2въезд1319202122237[[#This Row],[RelativePath]])</f>
        <v>11 С ангара на базу\E33149364_4_20251118T102435Z.jpg</v>
      </c>
    </row>
    <row r="73" spans="1:13" x14ac:dyDescent="0.25">
      <c r="A73" s="2" t="s">
        <v>14</v>
      </c>
      <c r="B73" s="4">
        <v>45979</v>
      </c>
      <c r="C73" s="5">
        <v>0.43386574074074075</v>
      </c>
      <c r="D73" t="s">
        <v>1999</v>
      </c>
      <c r="E73" t="s">
        <v>2920</v>
      </c>
      <c r="F73" t="s">
        <v>58</v>
      </c>
      <c r="H73" t="s">
        <v>2957</v>
      </c>
      <c r="I73" t="s">
        <v>2550</v>
      </c>
      <c r="J73" t="s">
        <v>2986</v>
      </c>
      <c r="K73" t="s">
        <v>2551</v>
      </c>
      <c r="L73" t="s">
        <v>2552</v>
      </c>
      <c r="M73" s="3" t="str">
        <f>HYPERLINK(склад2въезд1319202122237[[#This Row],[RelativePath]])</f>
        <v>11 С ангара на базу\E33149364_4_20251118T102446Z.jpg</v>
      </c>
    </row>
    <row r="74" spans="1:13" x14ac:dyDescent="0.25">
      <c r="A74" s="2" t="s">
        <v>14</v>
      </c>
      <c r="B74" s="4">
        <v>45979</v>
      </c>
      <c r="C74" s="5">
        <v>0.43438657407407405</v>
      </c>
      <c r="D74" t="s">
        <v>4</v>
      </c>
      <c r="E74" t="s">
        <v>8</v>
      </c>
      <c r="I74" t="s">
        <v>2553</v>
      </c>
      <c r="J74" t="s">
        <v>2986</v>
      </c>
      <c r="K74" t="s">
        <v>2554</v>
      </c>
      <c r="L74" t="s">
        <v>2555</v>
      </c>
      <c r="M74" s="3" t="str">
        <f>HYPERLINK(склад2въезд1319202122237[[#This Row],[RelativePath]])</f>
        <v>11 С ангара на базу\E33149364_4_20251118T102531Z.jpg</v>
      </c>
    </row>
    <row r="75" spans="1:13" x14ac:dyDescent="0.25">
      <c r="A75" s="2" t="s">
        <v>14</v>
      </c>
      <c r="B75" s="4">
        <v>45979</v>
      </c>
      <c r="C75" s="5">
        <v>0.4430439814814815</v>
      </c>
      <c r="D75" t="s">
        <v>533</v>
      </c>
      <c r="E75" t="s">
        <v>531</v>
      </c>
      <c r="F75" t="s">
        <v>58</v>
      </c>
      <c r="H75" t="s">
        <v>2958</v>
      </c>
      <c r="I75" t="s">
        <v>2556</v>
      </c>
      <c r="J75" t="s">
        <v>2986</v>
      </c>
      <c r="K75" t="s">
        <v>2557</v>
      </c>
      <c r="L75" t="s">
        <v>2558</v>
      </c>
      <c r="M75" s="3" t="str">
        <f>HYPERLINK(склад2въезд1319202122237[[#This Row],[RelativePath]])</f>
        <v>11 С ангара на базу\E33149364_4_20251118T103759Z.jpg</v>
      </c>
    </row>
    <row r="76" spans="1:13" x14ac:dyDescent="0.25">
      <c r="A76" s="2" t="s">
        <v>14</v>
      </c>
      <c r="B76" s="4">
        <v>45979</v>
      </c>
      <c r="C76" s="5">
        <v>0.55715277777777783</v>
      </c>
      <c r="D76" t="s">
        <v>533</v>
      </c>
      <c r="E76" t="s">
        <v>1607</v>
      </c>
      <c r="F76" t="s">
        <v>58</v>
      </c>
      <c r="H76" t="s">
        <v>2958</v>
      </c>
      <c r="I76" t="s">
        <v>2559</v>
      </c>
      <c r="J76" t="s">
        <v>2986</v>
      </c>
      <c r="K76" t="s">
        <v>2560</v>
      </c>
      <c r="L76" t="s">
        <v>2561</v>
      </c>
      <c r="M76" s="3" t="str">
        <f>HYPERLINK(склад2въезд1319202122237[[#This Row],[RelativePath]])</f>
        <v>11 С ангара на базу\E33149364_4_20251118T132218Z.jpg</v>
      </c>
    </row>
    <row r="77" spans="1:13" x14ac:dyDescent="0.25">
      <c r="A77" s="2" t="s">
        <v>14</v>
      </c>
      <c r="B77" s="4">
        <v>45979</v>
      </c>
      <c r="C77" s="5">
        <v>0.55865740740740744</v>
      </c>
      <c r="D77" t="s">
        <v>533</v>
      </c>
      <c r="E77" t="s">
        <v>1607</v>
      </c>
      <c r="F77" t="s">
        <v>58</v>
      </c>
      <c r="H77" t="s">
        <v>2958</v>
      </c>
      <c r="I77" t="s">
        <v>2562</v>
      </c>
      <c r="J77" t="s">
        <v>2986</v>
      </c>
      <c r="K77" t="s">
        <v>2563</v>
      </c>
      <c r="L77" t="s">
        <v>2564</v>
      </c>
      <c r="M77" s="3" t="str">
        <f>HYPERLINK(склад2въезд1319202122237[[#This Row],[RelativePath]])</f>
        <v>11 С ангара на базу\E33149364_4_20251118T132428Z.jpg</v>
      </c>
    </row>
    <row r="78" spans="1:13" x14ac:dyDescent="0.25">
      <c r="A78" s="2" t="s">
        <v>15</v>
      </c>
      <c r="B78" s="4">
        <v>45980</v>
      </c>
      <c r="C78" s="5">
        <v>0.37339120370370371</v>
      </c>
      <c r="D78" t="s">
        <v>4</v>
      </c>
      <c r="E78" t="s">
        <v>8</v>
      </c>
      <c r="I78" t="s">
        <v>2565</v>
      </c>
      <c r="J78" t="s">
        <v>2986</v>
      </c>
      <c r="K78" t="s">
        <v>2566</v>
      </c>
      <c r="L78" t="s">
        <v>2567</v>
      </c>
      <c r="M78" s="3" t="str">
        <f>HYPERLINK(склад2въезд1319202122237[[#This Row],[RelativePath]])</f>
        <v>11 С ангара на базу\E33149364_4_20251119T085741Z.jpg</v>
      </c>
    </row>
    <row r="79" spans="1:13" x14ac:dyDescent="0.25">
      <c r="A79" s="2" t="s">
        <v>15</v>
      </c>
      <c r="B79" s="4">
        <v>45980</v>
      </c>
      <c r="C79" s="5">
        <v>0.73171296296296295</v>
      </c>
      <c r="D79" t="s">
        <v>533</v>
      </c>
      <c r="E79" t="s">
        <v>1607</v>
      </c>
      <c r="F79" t="s">
        <v>58</v>
      </c>
      <c r="H79" t="s">
        <v>2958</v>
      </c>
      <c r="I79" t="s">
        <v>2568</v>
      </c>
      <c r="J79" t="s">
        <v>2986</v>
      </c>
      <c r="K79" t="s">
        <v>2569</v>
      </c>
      <c r="L79" t="s">
        <v>2570</v>
      </c>
      <c r="M79" s="3" t="str">
        <f>HYPERLINK(склад2въезд1319202122237[[#This Row],[RelativePath]])</f>
        <v>11 С ангара на базу\E33149364_4_20251119T173340Z.jpg</v>
      </c>
    </row>
    <row r="80" spans="1:13" x14ac:dyDescent="0.25">
      <c r="A80" s="2" t="s">
        <v>16</v>
      </c>
      <c r="B80" s="4">
        <v>45981</v>
      </c>
      <c r="C80" s="5">
        <v>0.46305555555555555</v>
      </c>
      <c r="D80" t="s">
        <v>4</v>
      </c>
      <c r="E80" t="s">
        <v>8</v>
      </c>
      <c r="I80" t="s">
        <v>2571</v>
      </c>
      <c r="J80" t="s">
        <v>2986</v>
      </c>
      <c r="K80" t="s">
        <v>2572</v>
      </c>
      <c r="L80" t="s">
        <v>2573</v>
      </c>
      <c r="M80" s="3" t="str">
        <f>HYPERLINK(склад2въезд1319202122237[[#This Row],[RelativePath]])</f>
        <v>11 С ангара на базу\E33149364_4_20251120T110648Z.jpg</v>
      </c>
    </row>
    <row r="81" spans="1:13" x14ac:dyDescent="0.25">
      <c r="A81" s="2" t="s">
        <v>16</v>
      </c>
      <c r="B81" s="4">
        <v>45981</v>
      </c>
      <c r="C81" s="5">
        <v>0.71087962962962958</v>
      </c>
      <c r="D81" t="s">
        <v>2004</v>
      </c>
      <c r="I81" t="s">
        <v>2574</v>
      </c>
      <c r="J81" t="s">
        <v>2986</v>
      </c>
      <c r="K81" t="s">
        <v>2575</v>
      </c>
      <c r="L81" t="s">
        <v>2576</v>
      </c>
      <c r="M81" s="3" t="str">
        <f>HYPERLINK(склад2въезд1319202122237[[#This Row],[RelativePath]])</f>
        <v>11 С ангара на базу\E33149364_4_20251120T170340Z.jpg</v>
      </c>
    </row>
    <row r="82" spans="1:13" x14ac:dyDescent="0.25">
      <c r="A82" s="2" t="s">
        <v>17</v>
      </c>
      <c r="B82" s="4">
        <v>45982</v>
      </c>
      <c r="C82" s="5">
        <v>0.49464120370370368</v>
      </c>
      <c r="D82" t="s">
        <v>4</v>
      </c>
      <c r="E82" t="s">
        <v>8</v>
      </c>
      <c r="I82" t="s">
        <v>2969</v>
      </c>
      <c r="J82" t="s">
        <v>2986</v>
      </c>
      <c r="K82" t="s">
        <v>2970</v>
      </c>
      <c r="L82" t="s">
        <v>2971</v>
      </c>
      <c r="M82" s="3" t="str">
        <f>HYPERLINK(склад2въезд1319202122237[[#This Row],[RelativePath]])</f>
        <v>11 С ангара на базу\E33149364_4_20251121T115217Z.jpg</v>
      </c>
    </row>
    <row r="83" spans="1:13" x14ac:dyDescent="0.25">
      <c r="A83" s="2" t="s">
        <v>17</v>
      </c>
      <c r="B83" s="4">
        <v>45982</v>
      </c>
      <c r="C83" s="5">
        <v>0.58034722222222224</v>
      </c>
      <c r="D83" t="s">
        <v>4</v>
      </c>
      <c r="E83" t="s">
        <v>8</v>
      </c>
      <c r="H83" t="s">
        <v>2975</v>
      </c>
      <c r="I83" t="s">
        <v>2972</v>
      </c>
      <c r="J83" t="s">
        <v>2986</v>
      </c>
      <c r="K83" t="s">
        <v>2973</v>
      </c>
      <c r="L83" t="s">
        <v>2974</v>
      </c>
      <c r="M83" s="3" t="str">
        <f>HYPERLINK(склад2въезд1319202122237[[#This Row],[RelativePath]])</f>
        <v>11 С ангара на базу\E33149364_4_20251121T135542Z.jpg</v>
      </c>
    </row>
    <row r="84" spans="1:13" x14ac:dyDescent="0.25">
      <c r="A84" s="2" t="s">
        <v>17</v>
      </c>
      <c r="B84" s="4">
        <v>45982</v>
      </c>
      <c r="C84" s="5">
        <v>0.61516203703703709</v>
      </c>
      <c r="D84" t="s">
        <v>4</v>
      </c>
      <c r="E84" t="s">
        <v>8</v>
      </c>
      <c r="H84" t="s">
        <v>2975</v>
      </c>
      <c r="I84" t="s">
        <v>2577</v>
      </c>
      <c r="J84" t="s">
        <v>2986</v>
      </c>
      <c r="K84" t="s">
        <v>2578</v>
      </c>
      <c r="L84" t="s">
        <v>2579</v>
      </c>
      <c r="M84" s="3" t="str">
        <f>HYPERLINK(склад2въезд1319202122237[[#This Row],[RelativePath]])</f>
        <v>11 С ангара на базу\E33149364_4_20251121T144550Z.jpg</v>
      </c>
    </row>
    <row r="85" spans="1:13" x14ac:dyDescent="0.25">
      <c r="A85" s="2" t="s">
        <v>18</v>
      </c>
      <c r="B85" s="4">
        <v>45983</v>
      </c>
      <c r="C85" s="5">
        <v>0.37774305555555554</v>
      </c>
      <c r="D85" t="s">
        <v>4</v>
      </c>
      <c r="E85" t="s">
        <v>8</v>
      </c>
      <c r="I85" t="s">
        <v>2580</v>
      </c>
      <c r="J85" t="s">
        <v>2986</v>
      </c>
      <c r="K85" t="s">
        <v>2581</v>
      </c>
      <c r="L85" t="s">
        <v>2582</v>
      </c>
      <c r="M85" s="3" t="str">
        <f>HYPERLINK(склад2въезд1319202122237[[#This Row],[RelativePath]])</f>
        <v>11 С ангара на базу\E33149364_4_20251122T090357Z.jpg</v>
      </c>
    </row>
    <row r="86" spans="1:13" x14ac:dyDescent="0.25">
      <c r="A86" s="2" t="s">
        <v>18</v>
      </c>
      <c r="B86" s="4">
        <v>45983</v>
      </c>
      <c r="C86" s="5">
        <v>0.72137731481481482</v>
      </c>
      <c r="D86" t="s">
        <v>2004</v>
      </c>
      <c r="I86" t="s">
        <v>2583</v>
      </c>
      <c r="J86" t="s">
        <v>2986</v>
      </c>
      <c r="K86" t="s">
        <v>2584</v>
      </c>
      <c r="L86" t="s">
        <v>2585</v>
      </c>
      <c r="M86" s="3" t="str">
        <f>HYPERLINK(склад2въезд1319202122237[[#This Row],[RelativePath]])</f>
        <v>11 С ангара на базу\E33149364_4_20251122T171847Z.jpg</v>
      </c>
    </row>
    <row r="87" spans="1:13" x14ac:dyDescent="0.25">
      <c r="A87" s="2" t="s">
        <v>22</v>
      </c>
      <c r="B87" s="4">
        <v>45984</v>
      </c>
      <c r="C87" s="5">
        <v>0.68009259259259258</v>
      </c>
      <c r="D87" t="s">
        <v>2004</v>
      </c>
      <c r="I87" t="s">
        <v>2586</v>
      </c>
      <c r="J87" t="s">
        <v>2986</v>
      </c>
      <c r="K87" t="s">
        <v>2587</v>
      </c>
      <c r="L87" t="s">
        <v>2588</v>
      </c>
      <c r="M87" s="3" t="str">
        <f>HYPERLINK(склад2въезд1319202122237[[#This Row],[RelativePath]])</f>
        <v>11 С ангара на базу\E33149364_4_20251123T161920Z.jpg</v>
      </c>
    </row>
    <row r="88" spans="1:13" x14ac:dyDescent="0.25">
      <c r="A88" s="2" t="s">
        <v>13</v>
      </c>
      <c r="B88" s="4">
        <v>45985</v>
      </c>
      <c r="C88" s="5">
        <v>0.70498842592592592</v>
      </c>
      <c r="D88" t="s">
        <v>4</v>
      </c>
      <c r="E88" t="s">
        <v>8</v>
      </c>
      <c r="I88" t="s">
        <v>4070</v>
      </c>
      <c r="J88" t="s">
        <v>2986</v>
      </c>
      <c r="K88" t="s">
        <v>4071</v>
      </c>
      <c r="L88" t="s">
        <v>4072</v>
      </c>
      <c r="M88" s="3" t="str">
        <f>HYPERLINK(склад2въезд1319202122237[[#This Row],[RelativePath]])</f>
        <v>11 С ангара на базу\E33149364_4_20251124T165511Z.jpg</v>
      </c>
    </row>
    <row r="89" spans="1:13" x14ac:dyDescent="0.25">
      <c r="A89" s="2" t="s">
        <v>14</v>
      </c>
      <c r="B89" s="4">
        <v>45986</v>
      </c>
      <c r="C89" s="5">
        <v>0.40570601851851851</v>
      </c>
      <c r="D89" t="s">
        <v>533</v>
      </c>
      <c r="E89" t="s">
        <v>531</v>
      </c>
      <c r="F89" t="s">
        <v>4242</v>
      </c>
      <c r="G89">
        <v>2</v>
      </c>
      <c r="H89" t="s">
        <v>4243</v>
      </c>
      <c r="I89" t="s">
        <v>4073</v>
      </c>
      <c r="J89" t="s">
        <v>2986</v>
      </c>
      <c r="K89" t="s">
        <v>4074</v>
      </c>
      <c r="L89" t="s">
        <v>4075</v>
      </c>
      <c r="M89" s="3" t="str">
        <f>HYPERLINK(склад2въезд1319202122237[[#This Row],[RelativePath]])</f>
        <v>11 С ангара на базу\E33149364_4_20251125T094413Z.jpg</v>
      </c>
    </row>
    <row r="90" spans="1:13" x14ac:dyDescent="0.25">
      <c r="A90" s="2" t="s">
        <v>14</v>
      </c>
      <c r="B90" s="4">
        <v>45986</v>
      </c>
      <c r="C90" s="5">
        <v>0.40668981481481481</v>
      </c>
      <c r="D90" t="s">
        <v>533</v>
      </c>
      <c r="E90" t="s">
        <v>531</v>
      </c>
      <c r="F90" t="s">
        <v>4242</v>
      </c>
      <c r="G90">
        <v>2</v>
      </c>
      <c r="H90" t="s">
        <v>4243</v>
      </c>
      <c r="I90" t="s">
        <v>4076</v>
      </c>
      <c r="J90" t="s">
        <v>2986</v>
      </c>
      <c r="K90" t="s">
        <v>4077</v>
      </c>
      <c r="L90" t="s">
        <v>4078</v>
      </c>
      <c r="M90" s="3" t="str">
        <f>HYPERLINK(склад2въезд1319202122237[[#This Row],[RelativePath]])</f>
        <v>11 С ангара на базу\E33149364_4_20251125T094538Z.jpg</v>
      </c>
    </row>
    <row r="91" spans="1:13" x14ac:dyDescent="0.25">
      <c r="A91" s="2" t="s">
        <v>15</v>
      </c>
      <c r="B91" s="4">
        <v>45987</v>
      </c>
      <c r="C91" s="5">
        <v>0.43556712962962962</v>
      </c>
      <c r="D91" t="s">
        <v>4216</v>
      </c>
      <c r="E91" t="s">
        <v>531</v>
      </c>
      <c r="F91" t="s">
        <v>58</v>
      </c>
      <c r="H91" t="s">
        <v>4244</v>
      </c>
      <c r="I91" t="s">
        <v>4079</v>
      </c>
      <c r="J91" t="s">
        <v>2986</v>
      </c>
      <c r="K91" t="s">
        <v>4080</v>
      </c>
      <c r="L91" t="s">
        <v>4081</v>
      </c>
      <c r="M91" s="3" t="str">
        <f>HYPERLINK(склад2въезд1319202122237[[#This Row],[RelativePath]])</f>
        <v>11 С ангара на базу\E33149364_4_20251126T102713Z.jpg</v>
      </c>
    </row>
    <row r="92" spans="1:13" x14ac:dyDescent="0.25">
      <c r="A92" s="2" t="s">
        <v>15</v>
      </c>
      <c r="B92" s="4">
        <v>45987</v>
      </c>
      <c r="C92" s="5">
        <v>0.43648148148148147</v>
      </c>
      <c r="D92" t="s">
        <v>4216</v>
      </c>
      <c r="E92" t="s">
        <v>531</v>
      </c>
      <c r="F92" t="s">
        <v>58</v>
      </c>
      <c r="H92" t="s">
        <v>2936</v>
      </c>
      <c r="I92" t="s">
        <v>4082</v>
      </c>
      <c r="J92" t="s">
        <v>2986</v>
      </c>
      <c r="K92" t="s">
        <v>4083</v>
      </c>
      <c r="L92" t="s">
        <v>4084</v>
      </c>
      <c r="M92" s="3" t="str">
        <f>HYPERLINK(склад2въезд1319202122237[[#This Row],[RelativePath]])</f>
        <v>11 С ангара на базу\E33149364_4_20251126T102832Z.jpg</v>
      </c>
    </row>
    <row r="93" spans="1:13" x14ac:dyDescent="0.25">
      <c r="A93" s="2" t="s">
        <v>15</v>
      </c>
      <c r="B93" s="4">
        <v>45987</v>
      </c>
      <c r="C93" s="5">
        <v>0.43868055555555557</v>
      </c>
      <c r="D93" t="s">
        <v>4216</v>
      </c>
      <c r="E93" t="s">
        <v>531</v>
      </c>
      <c r="F93" t="s">
        <v>58</v>
      </c>
      <c r="H93" t="s">
        <v>2936</v>
      </c>
      <c r="I93" t="s">
        <v>4085</v>
      </c>
      <c r="J93" t="s">
        <v>2986</v>
      </c>
      <c r="K93" t="s">
        <v>4086</v>
      </c>
      <c r="L93" t="s">
        <v>4087</v>
      </c>
      <c r="M93" s="3" t="str">
        <f>HYPERLINK(склад2въезд1319202122237[[#This Row],[RelativePath]])</f>
        <v>11 С ангара на базу\E33149364_4_20251126T103142Z.jpg</v>
      </c>
    </row>
    <row r="94" spans="1:13" x14ac:dyDescent="0.25">
      <c r="A94" s="2" t="s">
        <v>15</v>
      </c>
      <c r="B94" s="4">
        <v>45987</v>
      </c>
      <c r="C94" s="5">
        <v>0.44093749999999998</v>
      </c>
      <c r="D94" t="s">
        <v>4216</v>
      </c>
      <c r="E94" t="s">
        <v>531</v>
      </c>
      <c r="F94" t="s">
        <v>58</v>
      </c>
      <c r="H94" t="s">
        <v>2936</v>
      </c>
      <c r="I94" t="s">
        <v>4088</v>
      </c>
      <c r="J94" t="s">
        <v>2986</v>
      </c>
      <c r="K94" t="s">
        <v>4089</v>
      </c>
      <c r="L94" t="s">
        <v>4090</v>
      </c>
      <c r="M94" s="3" t="str">
        <f>HYPERLINK(склад2въезд1319202122237[[#This Row],[RelativePath]])</f>
        <v>11 С ангара на базу\E33149364_4_20251126T103457Z.jpg</v>
      </c>
    </row>
    <row r="95" spans="1:13" x14ac:dyDescent="0.25">
      <c r="A95" s="2" t="s">
        <v>15</v>
      </c>
      <c r="B95" s="4">
        <v>45987</v>
      </c>
      <c r="C95" s="5">
        <v>0.44150462962962961</v>
      </c>
      <c r="D95" t="s">
        <v>4216</v>
      </c>
      <c r="E95" t="s">
        <v>531</v>
      </c>
      <c r="F95" t="s">
        <v>58</v>
      </c>
      <c r="H95" t="s">
        <v>2936</v>
      </c>
      <c r="I95" t="s">
        <v>4091</v>
      </c>
      <c r="J95" t="s">
        <v>2986</v>
      </c>
      <c r="K95" t="s">
        <v>4092</v>
      </c>
      <c r="L95" t="s">
        <v>4093</v>
      </c>
      <c r="M95" s="3" t="str">
        <f>HYPERLINK(склад2въезд1319202122237[[#This Row],[RelativePath]])</f>
        <v>11 С ангара на базу\E33149364_4_20251126T103546Z.jpg</v>
      </c>
    </row>
    <row r="96" spans="1:13" x14ac:dyDescent="0.25">
      <c r="A96" s="2" t="s">
        <v>15</v>
      </c>
      <c r="B96" s="4">
        <v>45987</v>
      </c>
      <c r="C96" s="5">
        <v>0.44723379629629628</v>
      </c>
      <c r="D96" t="s">
        <v>289</v>
      </c>
      <c r="E96" t="s">
        <v>4192</v>
      </c>
      <c r="F96" t="s">
        <v>58</v>
      </c>
      <c r="I96" t="s">
        <v>4094</v>
      </c>
      <c r="J96" t="s">
        <v>2986</v>
      </c>
      <c r="K96" t="s">
        <v>4095</v>
      </c>
      <c r="L96" t="s">
        <v>4096</v>
      </c>
      <c r="M96" s="3" t="str">
        <f>HYPERLINK(склад2въезд1319202122237[[#This Row],[RelativePath]])</f>
        <v>11 С ангара на базу\E33149364_4_20251126T104401Z.jpg</v>
      </c>
    </row>
    <row r="97" spans="1:13" x14ac:dyDescent="0.25">
      <c r="A97" s="2" t="s">
        <v>15</v>
      </c>
      <c r="B97" s="4">
        <v>45987</v>
      </c>
      <c r="C97" s="5">
        <v>0.44848379629629631</v>
      </c>
      <c r="D97" t="s">
        <v>289</v>
      </c>
      <c r="E97" t="s">
        <v>4192</v>
      </c>
      <c r="F97" t="s">
        <v>58</v>
      </c>
      <c r="H97" t="s">
        <v>2936</v>
      </c>
      <c r="I97" t="s">
        <v>4097</v>
      </c>
      <c r="J97" t="s">
        <v>2986</v>
      </c>
      <c r="K97" t="s">
        <v>4098</v>
      </c>
      <c r="L97" t="s">
        <v>4099</v>
      </c>
      <c r="M97" s="3" t="str">
        <f>HYPERLINK(склад2въезд1319202122237[[#This Row],[RelativePath]])</f>
        <v>11 С ангара на базу\E33149364_4_20251126T104549Z.jpg</v>
      </c>
    </row>
    <row r="98" spans="1:13" x14ac:dyDescent="0.25">
      <c r="A98" s="2" t="s">
        <v>15</v>
      </c>
      <c r="B98" s="4">
        <v>45987</v>
      </c>
      <c r="C98" s="5">
        <v>0.44864583333333335</v>
      </c>
      <c r="D98" t="s">
        <v>289</v>
      </c>
      <c r="E98" t="s">
        <v>4192</v>
      </c>
      <c r="F98" t="s">
        <v>58</v>
      </c>
      <c r="H98" t="s">
        <v>2936</v>
      </c>
      <c r="I98" t="s">
        <v>4100</v>
      </c>
      <c r="J98" t="s">
        <v>2986</v>
      </c>
      <c r="K98" t="s">
        <v>4101</v>
      </c>
      <c r="L98" t="s">
        <v>4102</v>
      </c>
      <c r="M98" s="3" t="str">
        <f>HYPERLINK(склад2въезд1319202122237[[#This Row],[RelativePath]])</f>
        <v>11 С ангара на базу\E33149364_4_20251126T104603Z.jpg</v>
      </c>
    </row>
    <row r="99" spans="1:13" x14ac:dyDescent="0.25">
      <c r="A99" s="2" t="s">
        <v>15</v>
      </c>
      <c r="B99" s="4">
        <v>45987</v>
      </c>
      <c r="C99" s="5">
        <v>0.44947916666666665</v>
      </c>
      <c r="D99" t="s">
        <v>289</v>
      </c>
      <c r="E99" t="s">
        <v>4192</v>
      </c>
      <c r="F99" t="s">
        <v>58</v>
      </c>
      <c r="H99" t="s">
        <v>2936</v>
      </c>
      <c r="I99" t="s">
        <v>4103</v>
      </c>
      <c r="J99" t="s">
        <v>2986</v>
      </c>
      <c r="K99" t="s">
        <v>4104</v>
      </c>
      <c r="L99" t="s">
        <v>4105</v>
      </c>
      <c r="M99" s="3" t="str">
        <f>HYPERLINK(склад2въезд1319202122237[[#This Row],[RelativePath]])</f>
        <v>11 С ангара на базу\E33149364_4_20251126T104715Z.jpg</v>
      </c>
    </row>
    <row r="100" spans="1:13" x14ac:dyDescent="0.25">
      <c r="A100" s="2" t="s">
        <v>16</v>
      </c>
      <c r="B100" s="4">
        <v>45988</v>
      </c>
      <c r="C100" s="5">
        <v>0.69527777777777777</v>
      </c>
      <c r="D100" t="s">
        <v>4</v>
      </c>
      <c r="E100" t="s">
        <v>8</v>
      </c>
      <c r="I100" t="s">
        <v>4106</v>
      </c>
      <c r="J100" t="s">
        <v>2986</v>
      </c>
      <c r="K100" t="s">
        <v>4107</v>
      </c>
      <c r="L100" t="s">
        <v>4108</v>
      </c>
      <c r="M100" s="3" t="str">
        <f>HYPERLINK(склад2въезд1319202122237[[#This Row],[RelativePath]])</f>
        <v>11 С ангара на базу\E33149364_4_20251127T164112Z.jpg</v>
      </c>
    </row>
    <row r="101" spans="1:13" x14ac:dyDescent="0.25">
      <c r="A101" s="2" t="s">
        <v>17</v>
      </c>
      <c r="B101" s="4">
        <v>45989</v>
      </c>
      <c r="C101" s="5">
        <v>0.37820601851851854</v>
      </c>
      <c r="D101" t="s">
        <v>1094</v>
      </c>
      <c r="E101" t="s">
        <v>86</v>
      </c>
      <c r="F101" t="s">
        <v>58</v>
      </c>
      <c r="H101" t="s">
        <v>1620</v>
      </c>
      <c r="I101" t="s">
        <v>4109</v>
      </c>
      <c r="J101" t="s">
        <v>2986</v>
      </c>
      <c r="K101" t="s">
        <v>4110</v>
      </c>
      <c r="L101" t="s">
        <v>4111</v>
      </c>
      <c r="M101" s="3" t="str">
        <f>HYPERLINK(склад2въезд1319202122237[[#This Row],[RelativePath]])</f>
        <v>11 С ангара на базу\E33149364_4_20251128T090437Z.jpg</v>
      </c>
    </row>
    <row r="102" spans="1:13" x14ac:dyDescent="0.25">
      <c r="A102" s="2" t="s">
        <v>17</v>
      </c>
      <c r="B102" s="4">
        <v>45989</v>
      </c>
      <c r="C102" s="5">
        <v>0.59440972222222221</v>
      </c>
      <c r="D102" t="s">
        <v>1094</v>
      </c>
      <c r="E102" t="s">
        <v>86</v>
      </c>
      <c r="F102" t="s">
        <v>58</v>
      </c>
      <c r="H102" t="s">
        <v>4245</v>
      </c>
      <c r="I102" t="s">
        <v>4112</v>
      </c>
      <c r="J102" t="s">
        <v>2986</v>
      </c>
      <c r="K102" t="s">
        <v>4113</v>
      </c>
      <c r="L102" t="s">
        <v>4114</v>
      </c>
      <c r="M102" s="3" t="str">
        <f>HYPERLINK(склад2въезд1319202122237[[#This Row],[RelativePath]])</f>
        <v>11 С ангара на базу\E33149364_4_20251128T141557Z.jpg</v>
      </c>
    </row>
    <row r="103" spans="1:13" x14ac:dyDescent="0.25">
      <c r="A103" s="2" t="s">
        <v>17</v>
      </c>
      <c r="B103" s="4">
        <v>45989</v>
      </c>
      <c r="C103" s="5">
        <v>0.59456018518518516</v>
      </c>
      <c r="D103" t="s">
        <v>1094</v>
      </c>
      <c r="E103" t="s">
        <v>86</v>
      </c>
      <c r="F103" t="s">
        <v>58</v>
      </c>
      <c r="H103" t="s">
        <v>4245</v>
      </c>
      <c r="I103" t="s">
        <v>4115</v>
      </c>
      <c r="J103" t="s">
        <v>2986</v>
      </c>
      <c r="K103" t="s">
        <v>4116</v>
      </c>
      <c r="L103" t="s">
        <v>4117</v>
      </c>
      <c r="M103" s="3" t="str">
        <f>HYPERLINK(склад2въезд1319202122237[[#This Row],[RelativePath]])</f>
        <v>11 С ангара на базу\E33149364_4_20251128T141610Z.jpg</v>
      </c>
    </row>
    <row r="104" spans="1:13" x14ac:dyDescent="0.25">
      <c r="A104" s="2" t="s">
        <v>17</v>
      </c>
      <c r="B104" s="4">
        <v>45989</v>
      </c>
      <c r="C104" s="5">
        <v>0.59644675925925927</v>
      </c>
      <c r="D104" t="s">
        <v>533</v>
      </c>
      <c r="E104" t="s">
        <v>1607</v>
      </c>
      <c r="F104" t="s">
        <v>58</v>
      </c>
      <c r="I104" t="s">
        <v>4118</v>
      </c>
      <c r="J104" t="s">
        <v>2986</v>
      </c>
      <c r="K104" t="s">
        <v>4119</v>
      </c>
      <c r="L104" t="s">
        <v>4120</v>
      </c>
      <c r="M104" s="3" t="str">
        <f>HYPERLINK(склад2въезд1319202122237[[#This Row],[RelativePath]])</f>
        <v>11 С ангара на базу\E33149364_4_20251128T141853Z.jpg</v>
      </c>
    </row>
    <row r="105" spans="1:13" x14ac:dyDescent="0.25">
      <c r="A105" s="2" t="s">
        <v>17</v>
      </c>
      <c r="B105" s="4">
        <v>45989</v>
      </c>
      <c r="C105" s="5">
        <v>0.69912037037037034</v>
      </c>
      <c r="D105" t="s">
        <v>4</v>
      </c>
      <c r="E105" t="s">
        <v>8</v>
      </c>
      <c r="I105" t="s">
        <v>4121</v>
      </c>
      <c r="J105" t="s">
        <v>2986</v>
      </c>
      <c r="K105" t="s">
        <v>4122</v>
      </c>
      <c r="L105" t="s">
        <v>4123</v>
      </c>
      <c r="M105" s="3" t="str">
        <f>HYPERLINK(склад2въезд1319202122237[[#This Row],[RelativePath]])</f>
        <v>11 С ангара на базу\E33149364_4_20251128T164644Z.jpg</v>
      </c>
    </row>
    <row r="106" spans="1:13" x14ac:dyDescent="0.25">
      <c r="A106" s="2" t="s">
        <v>18</v>
      </c>
      <c r="B106" s="4">
        <v>45990</v>
      </c>
      <c r="C106" s="5">
        <v>0.38646990740740739</v>
      </c>
      <c r="D106" t="s">
        <v>4</v>
      </c>
      <c r="E106" t="s">
        <v>8</v>
      </c>
      <c r="I106" t="s">
        <v>4124</v>
      </c>
      <c r="J106" t="s">
        <v>2986</v>
      </c>
      <c r="K106" t="s">
        <v>4125</v>
      </c>
      <c r="L106" t="s">
        <v>4126</v>
      </c>
      <c r="M106" s="3" t="str">
        <f>HYPERLINK(склад2въезд1319202122237[[#This Row],[RelativePath]])</f>
        <v>11 С ангара на базу\E33149364_4_20251129T091631Z.jpg</v>
      </c>
    </row>
    <row r="107" spans="1:13" x14ac:dyDescent="0.25">
      <c r="A107" s="2" t="s">
        <v>22</v>
      </c>
      <c r="B107" s="4">
        <v>45991</v>
      </c>
      <c r="C107" s="5">
        <v>0.66434027777777782</v>
      </c>
      <c r="D107" t="s">
        <v>2004</v>
      </c>
      <c r="I107" t="s">
        <v>4288</v>
      </c>
      <c r="J107" t="s">
        <v>2986</v>
      </c>
      <c r="K107" t="s">
        <v>4289</v>
      </c>
      <c r="L107" t="s">
        <v>4290</v>
      </c>
      <c r="M107" s="3" t="str">
        <f>HYPERLINK(склад2въезд1319202122237[[#This Row],[RelativePath]])</f>
        <v>11 С ангара на базу\E33149364_4_20251130T155639Z.jpg</v>
      </c>
    </row>
    <row r="108" spans="1:13" x14ac:dyDescent="0.25">
      <c r="A108" s="2" t="s">
        <v>13</v>
      </c>
      <c r="B108" s="4">
        <v>45992</v>
      </c>
      <c r="C108" s="5">
        <v>0.50589120370370366</v>
      </c>
      <c r="D108" t="s">
        <v>2004</v>
      </c>
      <c r="I108" t="s">
        <v>4900</v>
      </c>
      <c r="J108" t="s">
        <v>2986</v>
      </c>
      <c r="K108" t="s">
        <v>4901</v>
      </c>
      <c r="L108" t="s">
        <v>4902</v>
      </c>
      <c r="M108" s="3" t="str">
        <f>HYPERLINK(склад2въезд1319202122237[[#This Row],[RelativePath]])</f>
        <v>11 С ангара на базу\E33149364_4_20251201T120829Z.jpg</v>
      </c>
    </row>
    <row r="109" spans="1:13" x14ac:dyDescent="0.25">
      <c r="A109" s="2" t="s">
        <v>14</v>
      </c>
      <c r="B109" s="4">
        <v>45993</v>
      </c>
      <c r="C109" s="5">
        <v>0.71202546296296299</v>
      </c>
      <c r="D109" t="s">
        <v>2004</v>
      </c>
      <c r="I109" t="s">
        <v>4903</v>
      </c>
      <c r="J109" t="s">
        <v>2986</v>
      </c>
      <c r="K109" t="s">
        <v>4904</v>
      </c>
      <c r="L109" t="s">
        <v>4905</v>
      </c>
      <c r="M109" s="3" t="str">
        <f>HYPERLINK(склад2въезд1319202122237[[#This Row],[RelativePath]])</f>
        <v>11 С ангара на базу\E33149364_4_20251202T170519Z.jpg</v>
      </c>
    </row>
    <row r="110" spans="1:13" x14ac:dyDescent="0.25">
      <c r="A110" s="2" t="s">
        <v>15</v>
      </c>
      <c r="B110" s="4">
        <v>45994</v>
      </c>
      <c r="C110" s="5">
        <v>0.3958564814814815</v>
      </c>
      <c r="D110" t="s">
        <v>159</v>
      </c>
      <c r="E110" t="s">
        <v>86</v>
      </c>
      <c r="F110" t="s">
        <v>5103</v>
      </c>
      <c r="I110" t="s">
        <v>4906</v>
      </c>
      <c r="J110" t="s">
        <v>2986</v>
      </c>
      <c r="K110" t="s">
        <v>4907</v>
      </c>
      <c r="L110" t="s">
        <v>4908</v>
      </c>
      <c r="M110" s="3" t="str">
        <f>HYPERLINK(склад2въезд1319202122237[[#This Row],[RelativePath]])</f>
        <v>11 С ангара на базу\E33149364_4_20251203T093002Z.jpg</v>
      </c>
    </row>
    <row r="111" spans="1:13" x14ac:dyDescent="0.25">
      <c r="A111" s="2" t="s">
        <v>15</v>
      </c>
      <c r="B111" s="4">
        <v>45994</v>
      </c>
      <c r="C111" s="5">
        <v>0.39642361111111113</v>
      </c>
      <c r="D111" t="s">
        <v>3073</v>
      </c>
      <c r="E111" t="s">
        <v>86</v>
      </c>
      <c r="F111" t="s">
        <v>5103</v>
      </c>
      <c r="I111" t="s">
        <v>4909</v>
      </c>
      <c r="J111" t="s">
        <v>2986</v>
      </c>
      <c r="K111" t="s">
        <v>4910</v>
      </c>
      <c r="L111" t="s">
        <v>4911</v>
      </c>
      <c r="M111" s="3" t="str">
        <f>HYPERLINK(склад2въезд1319202122237[[#This Row],[RelativePath]])</f>
        <v>11 С ангара на базу\E33149364_4_20251203T093051Z.jpg</v>
      </c>
    </row>
    <row r="112" spans="1:13" x14ac:dyDescent="0.25">
      <c r="A112" s="2" t="s">
        <v>16</v>
      </c>
      <c r="B112" s="4">
        <v>45995</v>
      </c>
      <c r="C112" s="5">
        <v>0.69576388888888885</v>
      </c>
      <c r="D112" t="s">
        <v>2004</v>
      </c>
      <c r="I112" t="s">
        <v>4912</v>
      </c>
      <c r="J112" t="s">
        <v>2986</v>
      </c>
      <c r="K112" t="s">
        <v>4913</v>
      </c>
      <c r="L112" t="s">
        <v>4914</v>
      </c>
      <c r="M112" s="3" t="str">
        <f>HYPERLINK(склад2въезд1319202122237[[#This Row],[RelativePath]])</f>
        <v>11 С ангара на базу\E33149364_4_20251204T164154Z.jpg</v>
      </c>
    </row>
    <row r="113" spans="1:13" x14ac:dyDescent="0.25">
      <c r="A113" s="2" t="s">
        <v>17</v>
      </c>
      <c r="B113" s="4">
        <v>45996</v>
      </c>
      <c r="C113" s="5">
        <v>0.58445601851851847</v>
      </c>
      <c r="D113" t="s">
        <v>4</v>
      </c>
      <c r="E113" t="s">
        <v>5139</v>
      </c>
      <c r="H113" t="s">
        <v>5140</v>
      </c>
      <c r="I113" t="s">
        <v>4915</v>
      </c>
      <c r="J113" t="s">
        <v>2986</v>
      </c>
      <c r="K113" t="s">
        <v>4916</v>
      </c>
      <c r="L113" t="s">
        <v>4917</v>
      </c>
      <c r="M113" s="3" t="str">
        <f>HYPERLINK(склад2въезд1319202122237[[#This Row],[RelativePath]])</f>
        <v>11 С ангара на базу\E33149364_4_20251205T140137Z.jpg</v>
      </c>
    </row>
    <row r="114" spans="1:13" x14ac:dyDescent="0.25">
      <c r="A114" s="2" t="s">
        <v>18</v>
      </c>
      <c r="B114" s="4">
        <v>45997</v>
      </c>
      <c r="C114" s="5">
        <v>0.67991898148148144</v>
      </c>
      <c r="D114" t="s">
        <v>2004</v>
      </c>
      <c r="I114" t="s">
        <v>4918</v>
      </c>
      <c r="J114" t="s">
        <v>2986</v>
      </c>
      <c r="K114" t="s">
        <v>4919</v>
      </c>
      <c r="L114" t="s">
        <v>4920</v>
      </c>
      <c r="M114" s="3" t="str">
        <f>HYPERLINK(склад2въезд1319202122237[[#This Row],[RelativePath]])</f>
        <v>11 С ангара на базу\E33149364_4_20251206T161905Z.jpg</v>
      </c>
    </row>
    <row r="115" spans="1:13" x14ac:dyDescent="0.25">
      <c r="A115" s="2" t="s">
        <v>22</v>
      </c>
      <c r="B115" s="4">
        <v>45998</v>
      </c>
      <c r="C115" s="5">
        <v>0.59843749999999996</v>
      </c>
      <c r="D115" t="s">
        <v>5265</v>
      </c>
      <c r="E115" t="s">
        <v>5263</v>
      </c>
      <c r="F115" t="s">
        <v>4233</v>
      </c>
      <c r="I115" t="s">
        <v>5199</v>
      </c>
      <c r="J115" t="s">
        <v>2986</v>
      </c>
      <c r="K115" t="s">
        <v>5200</v>
      </c>
      <c r="L115" t="s">
        <v>5201</v>
      </c>
      <c r="M115" s="3" t="str">
        <f>HYPERLINK(склад2въезд1319202122237[[#This Row],[RelativePath]])</f>
        <v>11 С ангара на базу\E33149364_4_20251207T142145Z.jpg</v>
      </c>
    </row>
    <row r="116" spans="1:13" x14ac:dyDescent="0.25">
      <c r="A116" s="2" t="s">
        <v>22</v>
      </c>
      <c r="B116" s="4">
        <v>45998</v>
      </c>
      <c r="C116" s="5">
        <v>0.60221064814814818</v>
      </c>
      <c r="D116" t="s">
        <v>5265</v>
      </c>
      <c r="E116" t="s">
        <v>5263</v>
      </c>
      <c r="F116" t="s">
        <v>4233</v>
      </c>
      <c r="H116" t="s">
        <v>2936</v>
      </c>
      <c r="I116" t="s">
        <v>5202</v>
      </c>
      <c r="J116" t="s">
        <v>2986</v>
      </c>
      <c r="K116" t="s">
        <v>5203</v>
      </c>
      <c r="L116" t="s">
        <v>5204</v>
      </c>
      <c r="M116" s="3" t="str">
        <f>HYPERLINK(склад2въезд1319202122237[[#This Row],[RelativePath]])</f>
        <v>11 С ангара на базу\E33149364_4_20251207T142711Z.jpg</v>
      </c>
    </row>
    <row r="117" spans="1:13" x14ac:dyDescent="0.25">
      <c r="A117" s="2" t="s">
        <v>22</v>
      </c>
      <c r="B117" s="4">
        <v>45998</v>
      </c>
      <c r="C117" s="5">
        <v>0.60230324074074071</v>
      </c>
      <c r="D117" t="s">
        <v>5265</v>
      </c>
      <c r="E117" t="s">
        <v>5263</v>
      </c>
      <c r="F117" t="s">
        <v>4233</v>
      </c>
      <c r="H117" t="s">
        <v>2936</v>
      </c>
      <c r="I117" t="s">
        <v>5205</v>
      </c>
      <c r="J117" t="s">
        <v>2986</v>
      </c>
      <c r="K117" t="s">
        <v>5206</v>
      </c>
      <c r="L117" t="s">
        <v>5207</v>
      </c>
      <c r="M117" s="3" t="str">
        <f>HYPERLINK(склад2въезд1319202122237[[#This Row],[RelativePath]])</f>
        <v>11 С ангара на базу\E33149364_4_20251207T142719Z.jpg</v>
      </c>
    </row>
    <row r="118" spans="1:13" x14ac:dyDescent="0.25">
      <c r="A118" s="2" t="s">
        <v>22</v>
      </c>
      <c r="B118" s="4">
        <v>45998</v>
      </c>
      <c r="C118" s="5">
        <v>0.60530092592592588</v>
      </c>
      <c r="D118" t="s">
        <v>5265</v>
      </c>
      <c r="E118" t="s">
        <v>5263</v>
      </c>
      <c r="F118" t="s">
        <v>4233</v>
      </c>
      <c r="H118" t="s">
        <v>2936</v>
      </c>
      <c r="I118" t="s">
        <v>5208</v>
      </c>
      <c r="J118" t="s">
        <v>2986</v>
      </c>
      <c r="K118" t="s">
        <v>5209</v>
      </c>
      <c r="L118" t="s">
        <v>5210</v>
      </c>
      <c r="M118" s="3" t="str">
        <f>HYPERLINK(склад2въезд1319202122237[[#This Row],[RelativePath]])</f>
        <v>11 С ангара на базу\E33149364_4_20251207T143138Z.jpg</v>
      </c>
    </row>
    <row r="119" spans="1:13" x14ac:dyDescent="0.25">
      <c r="A119" s="2" t="s">
        <v>22</v>
      </c>
      <c r="B119" s="4">
        <v>45998</v>
      </c>
      <c r="C119" s="5">
        <v>0.6055787037037037</v>
      </c>
      <c r="D119" t="s">
        <v>5265</v>
      </c>
      <c r="E119" t="s">
        <v>5263</v>
      </c>
      <c r="F119" t="s">
        <v>4233</v>
      </c>
      <c r="H119" t="s">
        <v>2936</v>
      </c>
      <c r="I119" t="s">
        <v>5211</v>
      </c>
      <c r="J119" t="s">
        <v>2986</v>
      </c>
      <c r="K119" t="s">
        <v>5212</v>
      </c>
      <c r="L119" t="s">
        <v>5213</v>
      </c>
      <c r="M119" s="3" t="str">
        <f>HYPERLINK(склад2въезд1319202122237[[#This Row],[RelativePath]])</f>
        <v>11 С ангара на базу\E33149364_4_20251207T143202Z.jpg</v>
      </c>
    </row>
    <row r="120" spans="1:13" x14ac:dyDescent="0.25">
      <c r="A120" s="2" t="s">
        <v>22</v>
      </c>
      <c r="B120" s="4">
        <v>45998</v>
      </c>
      <c r="C120" s="5">
        <v>0.6134722222222222</v>
      </c>
      <c r="D120" t="s">
        <v>4235</v>
      </c>
      <c r="E120" t="s">
        <v>5263</v>
      </c>
      <c r="F120" t="s">
        <v>4233</v>
      </c>
      <c r="I120" t="s">
        <v>5214</v>
      </c>
      <c r="J120" t="s">
        <v>2986</v>
      </c>
      <c r="K120" t="s">
        <v>5215</v>
      </c>
      <c r="L120" t="s">
        <v>5216</v>
      </c>
      <c r="M120" s="3" t="str">
        <f>HYPERLINK(склад2въезд1319202122237[[#This Row],[RelativePath]])</f>
        <v>11 С ангара на базу\E33149364_4_20251207T144324Z.jpg</v>
      </c>
    </row>
    <row r="121" spans="1:13" x14ac:dyDescent="0.25">
      <c r="A121" s="2" t="s">
        <v>13</v>
      </c>
      <c r="B121" s="4">
        <v>45999</v>
      </c>
      <c r="C121" s="5">
        <v>0.42045138888888889</v>
      </c>
      <c r="D121" t="s">
        <v>1094</v>
      </c>
      <c r="E121" t="s">
        <v>86</v>
      </c>
      <c r="F121" t="s">
        <v>58</v>
      </c>
      <c r="H121" t="s">
        <v>1620</v>
      </c>
      <c r="I121" t="s">
        <v>5453</v>
      </c>
      <c r="J121" t="s">
        <v>2986</v>
      </c>
      <c r="K121" t="s">
        <v>5454</v>
      </c>
      <c r="L121" t="s">
        <v>5455</v>
      </c>
      <c r="M121" s="3" t="str">
        <f>HYPERLINK(склад2въезд1319202122237[[#This Row],[RelativePath]])</f>
        <v>11 С ангара на базу\E33149364_4_20251208T100527Z.jpg</v>
      </c>
    </row>
    <row r="122" spans="1:13" x14ac:dyDescent="0.25">
      <c r="A122" s="2" t="s">
        <v>13</v>
      </c>
      <c r="B122" s="4">
        <v>45999</v>
      </c>
      <c r="C122" s="5">
        <v>0.46241898148148147</v>
      </c>
      <c r="D122" t="s">
        <v>1094</v>
      </c>
      <c r="E122" t="s">
        <v>86</v>
      </c>
      <c r="F122" t="s">
        <v>58</v>
      </c>
      <c r="H122" t="s">
        <v>1620</v>
      </c>
      <c r="I122" t="s">
        <v>5456</v>
      </c>
      <c r="J122" t="s">
        <v>2986</v>
      </c>
      <c r="K122" t="s">
        <v>5457</v>
      </c>
      <c r="L122" t="s">
        <v>5458</v>
      </c>
      <c r="M122" s="3" t="str">
        <f>HYPERLINK(склад2въезд1319202122237[[#This Row],[RelativePath]])</f>
        <v>11 С ангара на базу\E33149364_4_20251208T110553Z.jpg</v>
      </c>
    </row>
    <row r="123" spans="1:13" x14ac:dyDescent="0.25">
      <c r="A123" s="2" t="s">
        <v>14</v>
      </c>
      <c r="B123" s="4">
        <v>46000</v>
      </c>
      <c r="C123" s="5">
        <v>0.62097222222222226</v>
      </c>
      <c r="D123" t="s">
        <v>4</v>
      </c>
      <c r="E123" t="s">
        <v>86</v>
      </c>
      <c r="F123" t="s">
        <v>528</v>
      </c>
      <c r="H123" t="s">
        <v>5104</v>
      </c>
      <c r="I123" t="s">
        <v>5633</v>
      </c>
      <c r="J123" t="s">
        <v>2986</v>
      </c>
      <c r="K123" t="s">
        <v>5635</v>
      </c>
      <c r="L123" t="s">
        <v>5636</v>
      </c>
      <c r="M123" s="3" t="str">
        <f>HYPERLINK(склад2въезд1319202122237[[#This Row],[RelativePath]])</f>
        <v>11 С ангара на базу\E33149364_4_20251209T145412Z.jpg</v>
      </c>
    </row>
    <row r="124" spans="1:13" x14ac:dyDescent="0.25">
      <c r="A124" s="2" t="s">
        <v>14</v>
      </c>
      <c r="B124" s="4">
        <v>46000</v>
      </c>
      <c r="C124" s="5">
        <v>0.62643518518518515</v>
      </c>
      <c r="D124" t="s">
        <v>4</v>
      </c>
      <c r="E124" t="s">
        <v>86</v>
      </c>
      <c r="F124" t="s">
        <v>528</v>
      </c>
      <c r="H124" t="s">
        <v>5104</v>
      </c>
      <c r="I124" t="s">
        <v>5637</v>
      </c>
      <c r="J124" t="s">
        <v>2986</v>
      </c>
      <c r="K124" t="s">
        <v>5638</v>
      </c>
      <c r="L124" t="s">
        <v>5639</v>
      </c>
      <c r="M124" s="3" t="str">
        <f>HYPERLINK(склад2въезд1319202122237[[#This Row],[RelativePath]])</f>
        <v>11 С ангара на базу\E33149364_4_20251209T150204Z.jpg</v>
      </c>
    </row>
    <row r="125" spans="1:13" x14ac:dyDescent="0.25">
      <c r="A125" s="2" t="s">
        <v>14</v>
      </c>
      <c r="B125" s="4">
        <v>46000</v>
      </c>
      <c r="C125" s="5">
        <v>0.63228009259259255</v>
      </c>
      <c r="D125" t="s">
        <v>4</v>
      </c>
      <c r="E125" t="s">
        <v>86</v>
      </c>
      <c r="F125" t="s">
        <v>528</v>
      </c>
      <c r="H125" t="s">
        <v>5104</v>
      </c>
      <c r="I125" t="s">
        <v>5640</v>
      </c>
      <c r="J125" t="s">
        <v>2986</v>
      </c>
      <c r="K125" t="s">
        <v>5641</v>
      </c>
      <c r="L125" t="s">
        <v>5642</v>
      </c>
      <c r="M125" s="3" t="str">
        <f>HYPERLINK(склад2въезд1319202122237[[#This Row],[RelativePath]])</f>
        <v>11 С ангара на базу\E33149364_4_20251209T151029Z.jpg</v>
      </c>
    </row>
    <row r="126" spans="1:13" x14ac:dyDescent="0.25">
      <c r="A126" s="2" t="s">
        <v>15</v>
      </c>
      <c r="B126" s="4">
        <v>46001</v>
      </c>
      <c r="C126" s="5">
        <v>0.50840277777777776</v>
      </c>
      <c r="D126" t="s">
        <v>4</v>
      </c>
      <c r="E126" t="s">
        <v>86</v>
      </c>
      <c r="F126" t="s">
        <v>528</v>
      </c>
      <c r="H126" t="s">
        <v>5104</v>
      </c>
      <c r="I126" t="s">
        <v>5643</v>
      </c>
      <c r="J126" t="s">
        <v>2986</v>
      </c>
      <c r="K126" t="s">
        <v>5644</v>
      </c>
      <c r="L126" t="s">
        <v>5645</v>
      </c>
      <c r="M126" s="3" t="str">
        <f>HYPERLINK(склад2въезд1319202122237[[#This Row],[RelativePath]])</f>
        <v>11 С ангара на базу\E33149364_4_20251210T121206Z.jpg</v>
      </c>
    </row>
    <row r="127" spans="1:13" x14ac:dyDescent="0.25">
      <c r="A127" s="2" t="s">
        <v>16</v>
      </c>
      <c r="B127" s="4">
        <v>46002</v>
      </c>
      <c r="C127" s="5">
        <v>0.62214120370370374</v>
      </c>
      <c r="D127" t="s">
        <v>6186</v>
      </c>
      <c r="E127" t="s">
        <v>58</v>
      </c>
      <c r="H127" t="s">
        <v>6187</v>
      </c>
      <c r="I127" t="s">
        <v>5646</v>
      </c>
      <c r="J127" t="s">
        <v>2986</v>
      </c>
      <c r="K127" t="s">
        <v>5647</v>
      </c>
      <c r="L127" t="s">
        <v>5648</v>
      </c>
      <c r="M127" s="3" t="str">
        <f>HYPERLINK(склад2въезд1319202122237[[#This Row],[RelativePath]])</f>
        <v>11 С ангара на базу\E33149364_4_20251211T145553Z.jpg</v>
      </c>
    </row>
    <row r="128" spans="1:13" x14ac:dyDescent="0.25">
      <c r="A128" s="2" t="s">
        <v>16</v>
      </c>
      <c r="B128" s="4">
        <v>46002</v>
      </c>
      <c r="C128" s="5">
        <v>0.62344907407407413</v>
      </c>
      <c r="D128" t="s">
        <v>6186</v>
      </c>
      <c r="E128" t="s">
        <v>58</v>
      </c>
      <c r="H128" t="s">
        <v>2936</v>
      </c>
      <c r="I128" t="s">
        <v>5649</v>
      </c>
      <c r="J128" t="s">
        <v>2986</v>
      </c>
      <c r="K128" t="s">
        <v>5650</v>
      </c>
      <c r="L128" t="s">
        <v>5651</v>
      </c>
      <c r="M128" s="3" t="str">
        <f>HYPERLINK(склад2въезд1319202122237[[#This Row],[RelativePath]])</f>
        <v>11 С ангара на базу\E33149364_4_20251211T145746Z.jpg</v>
      </c>
    </row>
    <row r="129" spans="1:13" x14ac:dyDescent="0.25">
      <c r="A129" s="2" t="s">
        <v>16</v>
      </c>
      <c r="B129" s="4">
        <v>46002</v>
      </c>
      <c r="C129" s="5">
        <v>0.63545138888888886</v>
      </c>
      <c r="D129" t="s">
        <v>6186</v>
      </c>
      <c r="E129" t="s">
        <v>58</v>
      </c>
      <c r="H129" t="s">
        <v>2936</v>
      </c>
      <c r="I129" t="s">
        <v>5652</v>
      </c>
      <c r="J129" t="s">
        <v>2986</v>
      </c>
      <c r="K129" t="s">
        <v>5653</v>
      </c>
      <c r="L129" t="s">
        <v>5654</v>
      </c>
      <c r="M129" s="3" t="str">
        <f>HYPERLINK(склад2въезд1319202122237[[#This Row],[RelativePath]])</f>
        <v>11 С ангара на базу\E33149364_4_20251211T151503Z.jpg</v>
      </c>
    </row>
    <row r="130" spans="1:13" x14ac:dyDescent="0.25">
      <c r="A130" s="2" t="s">
        <v>16</v>
      </c>
      <c r="B130" s="4">
        <v>46002</v>
      </c>
      <c r="C130" s="5">
        <v>0.72240740740740739</v>
      </c>
      <c r="D130" t="s">
        <v>6186</v>
      </c>
      <c r="E130" t="s">
        <v>58</v>
      </c>
      <c r="H130" t="s">
        <v>2936</v>
      </c>
      <c r="I130" t="s">
        <v>5655</v>
      </c>
      <c r="J130" t="s">
        <v>2986</v>
      </c>
      <c r="K130" t="s">
        <v>5656</v>
      </c>
      <c r="L130" t="s">
        <v>5657</v>
      </c>
      <c r="M130" s="3" t="str">
        <f>HYPERLINK(склад2въезд1319202122237[[#This Row],[RelativePath]])</f>
        <v>11 С ангара на базу\E33149364_4_20251211T172016Z.jpg</v>
      </c>
    </row>
    <row r="131" spans="1:13" x14ac:dyDescent="0.25">
      <c r="A131" s="2" t="s">
        <v>17</v>
      </c>
      <c r="B131" s="4">
        <v>46003</v>
      </c>
      <c r="C131" s="5">
        <v>0.44664351851851852</v>
      </c>
      <c r="D131" t="s">
        <v>1094</v>
      </c>
      <c r="E131" t="s">
        <v>86</v>
      </c>
      <c r="F131" t="s">
        <v>58</v>
      </c>
      <c r="H131" t="s">
        <v>1620</v>
      </c>
      <c r="I131" t="s">
        <v>5926</v>
      </c>
      <c r="J131" t="s">
        <v>2986</v>
      </c>
      <c r="K131" t="s">
        <v>5927</v>
      </c>
      <c r="L131" t="s">
        <v>5928</v>
      </c>
      <c r="M131" s="3" t="str">
        <f>HYPERLINK(склад2въезд1319202122237[[#This Row],[RelativePath]])</f>
        <v>11 С ангара на базу\E33149364_4_20251212T104310Z.jpg</v>
      </c>
    </row>
    <row r="132" spans="1:13" x14ac:dyDescent="0.25">
      <c r="A132" s="2" t="s">
        <v>17</v>
      </c>
      <c r="B132" s="4">
        <v>46003</v>
      </c>
      <c r="C132" s="5">
        <v>0.60886574074074074</v>
      </c>
      <c r="D132" t="s">
        <v>4</v>
      </c>
      <c r="E132" t="s">
        <v>8</v>
      </c>
      <c r="I132" t="s">
        <v>5929</v>
      </c>
      <c r="J132" t="s">
        <v>2986</v>
      </c>
      <c r="K132" t="s">
        <v>5930</v>
      </c>
      <c r="L132" t="s">
        <v>5931</v>
      </c>
      <c r="M132" s="3" t="str">
        <f>HYPERLINK(склад2въезд1319202122237[[#This Row],[RelativePath]])</f>
        <v>11 С ангара на базу\E33149364_4_20251212T143646Z.jpg</v>
      </c>
    </row>
    <row r="133" spans="1:13" x14ac:dyDescent="0.25">
      <c r="A133" s="2" t="s">
        <v>17</v>
      </c>
      <c r="B133" s="4">
        <v>46003</v>
      </c>
      <c r="C133" s="5">
        <v>0.70218749999999996</v>
      </c>
      <c r="D133" t="s">
        <v>4</v>
      </c>
      <c r="E133" t="s">
        <v>8</v>
      </c>
      <c r="I133" t="s">
        <v>5932</v>
      </c>
      <c r="J133" t="s">
        <v>2986</v>
      </c>
      <c r="K133" t="s">
        <v>5933</v>
      </c>
      <c r="L133" t="s">
        <v>5934</v>
      </c>
      <c r="M133" s="3" t="str">
        <f>HYPERLINK(склад2въезд1319202122237[[#This Row],[RelativePath]])</f>
        <v>11 С ангара на базу\E33149364_4_20251212T165109Z.jpg</v>
      </c>
    </row>
    <row r="134" spans="1:13" x14ac:dyDescent="0.25">
      <c r="A134" s="2" t="s">
        <v>18</v>
      </c>
      <c r="B134" s="4">
        <v>46004</v>
      </c>
      <c r="C134" s="5">
        <v>0.38579861111111113</v>
      </c>
      <c r="D134" t="s">
        <v>1606</v>
      </c>
      <c r="E134" t="s">
        <v>6169</v>
      </c>
      <c r="F134" t="s">
        <v>6188</v>
      </c>
      <c r="H134" t="s">
        <v>6166</v>
      </c>
      <c r="I134" t="s">
        <v>6109</v>
      </c>
      <c r="J134" t="s">
        <v>2986</v>
      </c>
      <c r="K134" t="s">
        <v>6110</v>
      </c>
      <c r="L134" t="s">
        <v>6111</v>
      </c>
      <c r="M134" s="3" t="str">
        <f>HYPERLINK(склад2въезд1319202122237[[#This Row],[RelativePath]])</f>
        <v>11 С ангара на базу\E33149364_4_20251213T091533Z.jpg</v>
      </c>
    </row>
    <row r="135" spans="1:13" x14ac:dyDescent="0.25">
      <c r="A135" s="2" t="s">
        <v>18</v>
      </c>
      <c r="B135" s="4">
        <v>46004</v>
      </c>
      <c r="C135" s="5">
        <v>0.38621527777777775</v>
      </c>
      <c r="D135" t="s">
        <v>6189</v>
      </c>
      <c r="E135" t="s">
        <v>6169</v>
      </c>
      <c r="I135" t="s">
        <v>6112</v>
      </c>
      <c r="J135" t="s">
        <v>2986</v>
      </c>
      <c r="K135" t="s">
        <v>6113</v>
      </c>
      <c r="L135" t="s">
        <v>6114</v>
      </c>
      <c r="M135" s="3" t="str">
        <f>HYPERLINK(склад2въезд1319202122237[[#This Row],[RelativePath]])</f>
        <v>11 С ангара на базу\E33149364_4_20251213T091609Z.jpg</v>
      </c>
    </row>
    <row r="136" spans="1:13" x14ac:dyDescent="0.25">
      <c r="A136" s="2" t="s">
        <v>18</v>
      </c>
      <c r="B136" s="4">
        <v>46004</v>
      </c>
      <c r="C136" s="5">
        <v>0.39291666666666669</v>
      </c>
      <c r="D136" t="s">
        <v>289</v>
      </c>
      <c r="E136" t="s">
        <v>6169</v>
      </c>
      <c r="F136" t="s">
        <v>6190</v>
      </c>
      <c r="H136" t="s">
        <v>2936</v>
      </c>
      <c r="I136" t="s">
        <v>6115</v>
      </c>
      <c r="J136" t="s">
        <v>2986</v>
      </c>
      <c r="K136" t="s">
        <v>6116</v>
      </c>
      <c r="L136" t="s">
        <v>6117</v>
      </c>
      <c r="M136" s="3" t="str">
        <f>HYPERLINK(склад2въезд1319202122237[[#This Row],[RelativePath]])</f>
        <v>11 С ангара на базу\E33149364_4_20251213T092548Z.jpg</v>
      </c>
    </row>
    <row r="137" spans="1:13" x14ac:dyDescent="0.25">
      <c r="A137" s="2" t="s">
        <v>18</v>
      </c>
      <c r="B137" s="4">
        <v>46004</v>
      </c>
      <c r="C137" s="5">
        <v>0.39643518518518517</v>
      </c>
      <c r="D137" t="s">
        <v>289</v>
      </c>
      <c r="E137" t="s">
        <v>6169</v>
      </c>
      <c r="F137" t="s">
        <v>6190</v>
      </c>
      <c r="H137" t="s">
        <v>2936</v>
      </c>
      <c r="I137" t="s">
        <v>6118</v>
      </c>
      <c r="J137" t="s">
        <v>2986</v>
      </c>
      <c r="K137" t="s">
        <v>6119</v>
      </c>
      <c r="L137" t="s">
        <v>6120</v>
      </c>
      <c r="M137" s="3" t="str">
        <f>HYPERLINK(склад2въезд1319202122237[[#This Row],[RelativePath]])</f>
        <v>11 С ангара на базу\E33149364_4_20251213T093052Z.jpg</v>
      </c>
    </row>
    <row r="138" spans="1:13" x14ac:dyDescent="0.25">
      <c r="A138" s="2" t="s">
        <v>18</v>
      </c>
      <c r="B138" s="4">
        <v>46004</v>
      </c>
      <c r="C138" s="5">
        <v>0.39685185185185184</v>
      </c>
      <c r="D138" t="s">
        <v>289</v>
      </c>
      <c r="E138" t="s">
        <v>6169</v>
      </c>
      <c r="F138" t="s">
        <v>6190</v>
      </c>
      <c r="H138" t="s">
        <v>2936</v>
      </c>
      <c r="I138" t="s">
        <v>6121</v>
      </c>
      <c r="J138" t="s">
        <v>2986</v>
      </c>
      <c r="K138" t="s">
        <v>6122</v>
      </c>
      <c r="L138" t="s">
        <v>6123</v>
      </c>
      <c r="M138" s="3" t="str">
        <f>HYPERLINK(склад2въезд1319202122237[[#This Row],[RelativePath]])</f>
        <v>11 С ангара на базу\E33149364_4_20251213T093128Z.jpg</v>
      </c>
    </row>
    <row r="139" spans="1:13" x14ac:dyDescent="0.25">
      <c r="A139" s="2" t="s">
        <v>18</v>
      </c>
      <c r="B139" s="4">
        <v>46004</v>
      </c>
      <c r="C139" s="5">
        <v>0.3972222222222222</v>
      </c>
      <c r="D139" t="s">
        <v>289</v>
      </c>
      <c r="E139" t="s">
        <v>6169</v>
      </c>
      <c r="F139" t="s">
        <v>6190</v>
      </c>
      <c r="H139" t="s">
        <v>2936</v>
      </c>
      <c r="I139" t="s">
        <v>6124</v>
      </c>
      <c r="J139" t="s">
        <v>2986</v>
      </c>
      <c r="K139" t="s">
        <v>6125</v>
      </c>
      <c r="L139" t="s">
        <v>6126</v>
      </c>
      <c r="M139" s="3" t="str">
        <f>HYPERLINK(склад2въезд1319202122237[[#This Row],[RelativePath]])</f>
        <v>11 С ангара на базу\E33149364_4_20251213T093200Z.jpg</v>
      </c>
    </row>
    <row r="140" spans="1:13" x14ac:dyDescent="0.25">
      <c r="A140" s="2" t="s">
        <v>18</v>
      </c>
      <c r="B140" s="4">
        <v>46004</v>
      </c>
      <c r="C140" s="5">
        <v>0.39961805555555557</v>
      </c>
      <c r="D140" t="s">
        <v>289</v>
      </c>
      <c r="E140" t="s">
        <v>6169</v>
      </c>
      <c r="F140" t="s">
        <v>6190</v>
      </c>
      <c r="H140" t="s">
        <v>2936</v>
      </c>
      <c r="I140" t="s">
        <v>6127</v>
      </c>
      <c r="J140" t="s">
        <v>2986</v>
      </c>
      <c r="K140" t="s">
        <v>6128</v>
      </c>
      <c r="L140" t="s">
        <v>6129</v>
      </c>
      <c r="M140" s="3" t="str">
        <f>HYPERLINK(склад2въезд1319202122237[[#This Row],[RelativePath]])</f>
        <v>11 С ангара на базу\E33149364_4_20251213T093527Z.jpg</v>
      </c>
    </row>
    <row r="141" spans="1:13" x14ac:dyDescent="0.25">
      <c r="A141" s="2" t="s">
        <v>18</v>
      </c>
      <c r="B141" s="4">
        <v>46004</v>
      </c>
      <c r="C141" s="5">
        <v>0.39997685185185183</v>
      </c>
      <c r="D141" t="s">
        <v>289</v>
      </c>
      <c r="E141" t="s">
        <v>6169</v>
      </c>
      <c r="F141" t="s">
        <v>6190</v>
      </c>
      <c r="H141" t="s">
        <v>2936</v>
      </c>
      <c r="I141" t="s">
        <v>6130</v>
      </c>
      <c r="J141" t="s">
        <v>2986</v>
      </c>
      <c r="K141" t="s">
        <v>6131</v>
      </c>
      <c r="L141" t="s">
        <v>6132</v>
      </c>
      <c r="M141" s="3" t="str">
        <f>HYPERLINK(склад2въезд1319202122237[[#This Row],[RelativePath]])</f>
        <v>11 С ангара на базу\E33149364_4_20251213T093558Z.jpg</v>
      </c>
    </row>
    <row r="142" spans="1:13" x14ac:dyDescent="0.25">
      <c r="A142" s="2" t="s">
        <v>18</v>
      </c>
      <c r="B142" s="4">
        <v>46004</v>
      </c>
      <c r="C142" s="5">
        <v>0.40167824074074077</v>
      </c>
      <c r="D142" t="s">
        <v>289</v>
      </c>
      <c r="E142" t="s">
        <v>6169</v>
      </c>
      <c r="F142" t="s">
        <v>6190</v>
      </c>
      <c r="H142" t="s">
        <v>2936</v>
      </c>
      <c r="I142" t="s">
        <v>6133</v>
      </c>
      <c r="J142" t="s">
        <v>2986</v>
      </c>
      <c r="K142" t="s">
        <v>6134</v>
      </c>
      <c r="L142" t="s">
        <v>6135</v>
      </c>
      <c r="M142" s="3" t="str">
        <f>HYPERLINK(склад2въезд1319202122237[[#This Row],[RelativePath]])</f>
        <v>11 С ангара на базу\E33149364_4_20251213T093825Z.jpg</v>
      </c>
    </row>
    <row r="143" spans="1:13" x14ac:dyDescent="0.25">
      <c r="A143" s="2" t="s">
        <v>18</v>
      </c>
      <c r="B143" s="4">
        <v>46004</v>
      </c>
      <c r="C143" s="5">
        <v>0.40229166666666666</v>
      </c>
      <c r="D143" t="s">
        <v>289</v>
      </c>
      <c r="E143" t="s">
        <v>6169</v>
      </c>
      <c r="F143" t="s">
        <v>6190</v>
      </c>
      <c r="H143" t="s">
        <v>2936</v>
      </c>
      <c r="I143" t="s">
        <v>6136</v>
      </c>
      <c r="J143" t="s">
        <v>2986</v>
      </c>
      <c r="K143" t="s">
        <v>6137</v>
      </c>
      <c r="L143" t="s">
        <v>6138</v>
      </c>
      <c r="M143" s="3" t="str">
        <f>HYPERLINK(склад2въезд1319202122237[[#This Row],[RelativePath]])</f>
        <v>11 С ангара на базу\E33149364_4_20251213T093918Z.jpg</v>
      </c>
    </row>
    <row r="144" spans="1:13" x14ac:dyDescent="0.25">
      <c r="A144" s="2" t="s">
        <v>18</v>
      </c>
      <c r="B144" s="4">
        <v>46004</v>
      </c>
      <c r="C144" s="5">
        <v>0.40465277777777775</v>
      </c>
      <c r="D144" t="s">
        <v>650</v>
      </c>
      <c r="E144" t="s">
        <v>6169</v>
      </c>
      <c r="F144" t="s">
        <v>6190</v>
      </c>
      <c r="I144" t="s">
        <v>6139</v>
      </c>
      <c r="J144" t="s">
        <v>2986</v>
      </c>
      <c r="K144" t="s">
        <v>6140</v>
      </c>
      <c r="L144" t="s">
        <v>6141</v>
      </c>
      <c r="M144" s="3" t="str">
        <f>HYPERLINK(склад2въезд1319202122237[[#This Row],[RelativePath]])</f>
        <v>11 С ангара на базу\E33149364_4_20251213T094242Z.jpg</v>
      </c>
    </row>
    <row r="145" spans="1:13" x14ac:dyDescent="0.25">
      <c r="A145" s="2" t="s">
        <v>18</v>
      </c>
      <c r="B145" s="4">
        <v>46004</v>
      </c>
      <c r="C145" s="5">
        <v>0.54765046296296294</v>
      </c>
      <c r="D145" t="s">
        <v>1606</v>
      </c>
      <c r="E145" t="s">
        <v>6169</v>
      </c>
      <c r="F145" t="s">
        <v>1609</v>
      </c>
      <c r="I145" t="s">
        <v>6142</v>
      </c>
      <c r="J145" t="s">
        <v>2986</v>
      </c>
      <c r="K145" t="s">
        <v>6143</v>
      </c>
      <c r="L145" t="s">
        <v>6144</v>
      </c>
      <c r="M145" s="3" t="str">
        <f>HYPERLINK(склад2въезд1319202122237[[#This Row],[RelativePath]])</f>
        <v>11 С ангара на базу\E33149364_4_20251213T130837Z.jpg</v>
      </c>
    </row>
    <row r="146" spans="1:13" x14ac:dyDescent="0.25">
      <c r="A146" s="2" t="s">
        <v>18</v>
      </c>
      <c r="B146" s="4">
        <v>46004</v>
      </c>
      <c r="C146" s="5">
        <v>0.54907407407407405</v>
      </c>
      <c r="D146" t="s">
        <v>290</v>
      </c>
      <c r="E146" t="s">
        <v>6169</v>
      </c>
      <c r="F146" t="s">
        <v>58</v>
      </c>
      <c r="I146" t="s">
        <v>6145</v>
      </c>
      <c r="J146" t="s">
        <v>2986</v>
      </c>
      <c r="K146" t="s">
        <v>6146</v>
      </c>
      <c r="L146" t="s">
        <v>6147</v>
      </c>
      <c r="M146" s="3" t="str">
        <f>HYPERLINK(склад2въезд1319202122237[[#This Row],[RelativePath]])</f>
        <v>11 С ангара на базу\E33149364_4_20251213T131040Z.jpg</v>
      </c>
    </row>
    <row r="147" spans="1:13" x14ac:dyDescent="0.25">
      <c r="A147" s="2" t="s">
        <v>18</v>
      </c>
      <c r="B147" s="4">
        <v>46004</v>
      </c>
      <c r="C147" s="5">
        <v>0.549224537037037</v>
      </c>
      <c r="D147" t="s">
        <v>290</v>
      </c>
      <c r="E147" t="s">
        <v>6169</v>
      </c>
      <c r="F147" t="s">
        <v>58</v>
      </c>
      <c r="H147" t="s">
        <v>2936</v>
      </c>
      <c r="I147" t="s">
        <v>6148</v>
      </c>
      <c r="J147" t="s">
        <v>2986</v>
      </c>
      <c r="K147" t="s">
        <v>6149</v>
      </c>
      <c r="L147" t="s">
        <v>6150</v>
      </c>
      <c r="M147" s="3" t="str">
        <f>HYPERLINK(склад2въезд1319202122237[[#This Row],[RelativePath]])</f>
        <v>11 С ангара на базу\E33149364_4_20251213T131053Z.jpg</v>
      </c>
    </row>
    <row r="148" spans="1:13" x14ac:dyDescent="0.25">
      <c r="A148" s="2" t="s">
        <v>18</v>
      </c>
      <c r="B148" s="4">
        <v>46004</v>
      </c>
      <c r="C148" s="5">
        <v>0.55100694444444442</v>
      </c>
      <c r="D148" t="s">
        <v>290</v>
      </c>
      <c r="E148" t="s">
        <v>6169</v>
      </c>
      <c r="F148" t="s">
        <v>58</v>
      </c>
      <c r="H148" t="s">
        <v>2936</v>
      </c>
      <c r="I148" t="s">
        <v>6151</v>
      </c>
      <c r="J148" t="s">
        <v>2986</v>
      </c>
      <c r="K148" t="s">
        <v>6152</v>
      </c>
      <c r="L148" t="s">
        <v>6153</v>
      </c>
      <c r="M148" s="3" t="str">
        <f>HYPERLINK(склад2въезд1319202122237[[#This Row],[RelativePath]])</f>
        <v>11 С ангара на базу\E33149364_4_20251213T131327Z.jpg</v>
      </c>
    </row>
    <row r="149" spans="1:13" x14ac:dyDescent="0.25">
      <c r="A149" s="2" t="s">
        <v>18</v>
      </c>
      <c r="B149" s="4">
        <v>46004</v>
      </c>
      <c r="C149" s="5">
        <v>0.55111111111111111</v>
      </c>
      <c r="D149" t="s">
        <v>290</v>
      </c>
      <c r="E149" t="s">
        <v>6169</v>
      </c>
      <c r="F149" t="s">
        <v>58</v>
      </c>
      <c r="H149" t="s">
        <v>2936</v>
      </c>
      <c r="I149" t="s">
        <v>6154</v>
      </c>
      <c r="J149" t="s">
        <v>2986</v>
      </c>
      <c r="K149" t="s">
        <v>6155</v>
      </c>
      <c r="L149" t="s">
        <v>6156</v>
      </c>
      <c r="M149" s="3" t="str">
        <f>HYPERLINK(склад2въезд1319202122237[[#This Row],[RelativePath]])</f>
        <v>11 С ангара на базу\E33149364_4_20251213T131336Z.jpg</v>
      </c>
    </row>
    <row r="150" spans="1:13" x14ac:dyDescent="0.25">
      <c r="A150" s="2" t="s">
        <v>18</v>
      </c>
      <c r="B150" s="4">
        <v>46004</v>
      </c>
      <c r="C150" s="5">
        <v>0.55388888888888888</v>
      </c>
      <c r="D150" t="s">
        <v>650</v>
      </c>
      <c r="E150" t="s">
        <v>6169</v>
      </c>
      <c r="F150" t="s">
        <v>6191</v>
      </c>
      <c r="I150" t="s">
        <v>6157</v>
      </c>
      <c r="J150" t="s">
        <v>2986</v>
      </c>
      <c r="K150" t="s">
        <v>6158</v>
      </c>
      <c r="L150" t="s">
        <v>6159</v>
      </c>
      <c r="M150" s="3" t="str">
        <f>HYPERLINK(склад2въезд1319202122237[[#This Row],[RelativePath]])</f>
        <v>11 С ангара на базу\E33149364_4_20251213T131736Z.jpg</v>
      </c>
    </row>
    <row r="151" spans="1:13" x14ac:dyDescent="0.25">
      <c r="A151" s="2" t="s">
        <v>18</v>
      </c>
      <c r="B151" s="4">
        <v>46004</v>
      </c>
      <c r="C151" s="5">
        <v>0.71561342592592592</v>
      </c>
      <c r="D151" t="s">
        <v>4</v>
      </c>
      <c r="E151" t="s">
        <v>8</v>
      </c>
      <c r="I151" t="s">
        <v>6160</v>
      </c>
      <c r="J151" t="s">
        <v>2986</v>
      </c>
      <c r="K151" t="s">
        <v>6161</v>
      </c>
      <c r="L151" t="s">
        <v>6162</v>
      </c>
      <c r="M151" s="3" t="str">
        <f>HYPERLINK(склад2въезд1319202122237[[#This Row],[RelativePath]])</f>
        <v>11 С ангара на базу\E33149364_4_20251213T171029Z.jpg</v>
      </c>
    </row>
  </sheetData>
  <conditionalFormatting sqref="D152:D162 E152:E165 G2:H151 D2:E151">
    <cfRule type="containsText" dxfId="345" priority="14" operator="containsText" text="Выезд с территории">
      <formula>NOT(ISERROR(SEARCH("Выезд с территории",D2)))</formula>
    </cfRule>
  </conditionalFormatting>
  <conditionalFormatting sqref="F2:F151">
    <cfRule type="notContainsText" dxfId="344" priority="13" operator="notContains" text="порожний">
      <formula>ISERROR(SEARCH("порожний",F2))</formula>
    </cfRule>
  </conditionalFormatting>
  <conditionalFormatting sqref="E2:E165">
    <cfRule type="containsText" dxfId="343" priority="11" operator="containsText" text="Газель базы">
      <formula>NOT(ISERROR(SEARCH("Газель базы",E2)))</formula>
    </cfRule>
    <cfRule type="containsText" dxfId="342" priority="12" operator="containsText" text="Погрузчик базы">
      <formula>NOT(ISERROR(SEARCH("Погрузчик базы",E2)))</formula>
    </cfRule>
  </conditionalFormatting>
  <conditionalFormatting sqref="E2:E165">
    <cfRule type="containsText" dxfId="341" priority="10" operator="containsText" text="Трактор базы">
      <formula>NOT(ISERROR(SEARCH("Трактор базы",E2)))</formula>
    </cfRule>
  </conditionalFormatting>
  <conditionalFormatting sqref="A2:C151">
    <cfRule type="expression" dxfId="340" priority="9">
      <formula>$A2="пн"</formula>
    </cfRule>
  </conditionalFormatting>
  <conditionalFormatting sqref="A2:C153">
    <cfRule type="expression" dxfId="339" priority="3">
      <formula>$A2="вс"</formula>
    </cfRule>
    <cfRule type="expression" dxfId="338" priority="4">
      <formula>$A2="сб"</formula>
    </cfRule>
    <cfRule type="expression" dxfId="337" priority="5">
      <formula>$A2="пт"</formula>
    </cfRule>
    <cfRule type="expression" dxfId="336" priority="6">
      <formula>$A2="чт"</formula>
    </cfRule>
    <cfRule type="expression" dxfId="335" priority="7">
      <formula>$A2="ср"</formula>
    </cfRule>
    <cfRule type="expression" dxfId="334" priority="8">
      <formula>$A2="вт"</formula>
    </cfRule>
  </conditionalFormatting>
  <conditionalFormatting sqref="D2:D162">
    <cfRule type="containsText" dxfId="333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162">
    <cfRule type="containsText" dxfId="332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5A57-F896-4BD2-970E-6829CAF82F37}">
  <sheetPr>
    <tabColor rgb="FF7030A0"/>
  </sheetPr>
  <dimension ref="A1:M97"/>
  <sheetViews>
    <sheetView zoomScale="90" zoomScaleNormal="90" workbookViewId="0">
      <pane ySplit="1" topLeftCell="A74" activePane="bottomLeft" state="frozen"/>
      <selection pane="bottomLeft" activeCell="N96" sqref="N96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18.28515625" bestFit="1" customWidth="1"/>
    <col min="5" max="5" width="25.28515625" bestFit="1" customWidth="1"/>
    <col min="6" max="6" width="15.5703125" bestFit="1" customWidth="1"/>
    <col min="7" max="7" width="7.28515625" bestFit="1" customWidth="1"/>
    <col min="8" max="8" width="12.7109375" bestFit="1" customWidth="1"/>
    <col min="9" max="9" width="36.7109375" hidden="1" customWidth="1"/>
    <col min="10" max="10" width="43.7109375" hidden="1" customWidth="1"/>
    <col min="11" max="11" width="56.7109375" hidden="1" customWidth="1"/>
    <col min="12" max="12" width="24.5703125" hidden="1" customWidth="1"/>
    <col min="13" max="13" width="56.7109375" bestFit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0.33244212962962966</v>
      </c>
      <c r="D2" t="s">
        <v>4</v>
      </c>
      <c r="E2" t="s">
        <v>8</v>
      </c>
      <c r="H2" t="s">
        <v>5</v>
      </c>
      <c r="I2" t="s">
        <v>1826</v>
      </c>
      <c r="J2" t="s">
        <v>2987</v>
      </c>
      <c r="K2" t="s">
        <v>1827</v>
      </c>
      <c r="L2" t="s">
        <v>1828</v>
      </c>
      <c r="M2" s="3" t="str">
        <f>HYPERLINK(склад2въезд13192021222378[[#This Row],[RelativePath]])</f>
        <v>12 Площадка 3 кран\K07156189_20_20251110T075843Z.jpg</v>
      </c>
    </row>
    <row r="3" spans="1:13" x14ac:dyDescent="0.25">
      <c r="A3" s="2" t="s">
        <v>13</v>
      </c>
      <c r="B3" s="4">
        <v>45971</v>
      </c>
      <c r="C3" s="5">
        <v>0.42346064814814816</v>
      </c>
      <c r="D3" t="s">
        <v>4</v>
      </c>
      <c r="E3" t="s">
        <v>8</v>
      </c>
      <c r="I3" t="s">
        <v>1829</v>
      </c>
      <c r="J3" t="s">
        <v>2987</v>
      </c>
      <c r="K3" t="s">
        <v>1830</v>
      </c>
      <c r="L3" t="s">
        <v>1831</v>
      </c>
      <c r="M3" s="3" t="str">
        <f>HYPERLINK(склад2въезд13192021222378[[#This Row],[RelativePath]])</f>
        <v>12 Площадка 3 кран\K07156189_20_20251110T100947Z.jpg</v>
      </c>
    </row>
    <row r="4" spans="1:13" x14ac:dyDescent="0.25">
      <c r="A4" s="2" t="s">
        <v>13</v>
      </c>
      <c r="B4" s="4">
        <v>45971</v>
      </c>
      <c r="C4" s="5">
        <v>0.43837962962962962</v>
      </c>
      <c r="D4" t="s">
        <v>4</v>
      </c>
      <c r="E4" t="s">
        <v>8</v>
      </c>
      <c r="I4" t="s">
        <v>1832</v>
      </c>
      <c r="J4" t="s">
        <v>2987</v>
      </c>
      <c r="K4" t="s">
        <v>1833</v>
      </c>
      <c r="L4" t="s">
        <v>1834</v>
      </c>
      <c r="M4" s="3" t="str">
        <f>HYPERLINK(склад2въезд13192021222378[[#This Row],[RelativePath]])</f>
        <v>12 Площадка 3 кран\K07156189_20_20251110T103116Z.jpg</v>
      </c>
    </row>
    <row r="5" spans="1:13" x14ac:dyDescent="0.25">
      <c r="A5" s="2" t="s">
        <v>13</v>
      </c>
      <c r="B5" s="4">
        <v>45971</v>
      </c>
      <c r="C5" s="5">
        <v>0.43984953703703705</v>
      </c>
      <c r="D5" t="s">
        <v>4</v>
      </c>
      <c r="E5" t="s">
        <v>1935</v>
      </c>
      <c r="I5" t="s">
        <v>1835</v>
      </c>
      <c r="J5" t="s">
        <v>2987</v>
      </c>
      <c r="K5" t="s">
        <v>1836</v>
      </c>
      <c r="L5" t="s">
        <v>1837</v>
      </c>
      <c r="M5" s="3" t="str">
        <f>HYPERLINK(склад2въезд13192021222378[[#This Row],[RelativePath]])</f>
        <v>12 Площадка 3 кран\K07156189_20_20251110T103323Z.jpg</v>
      </c>
    </row>
    <row r="6" spans="1:13" x14ac:dyDescent="0.25">
      <c r="A6" s="2" t="s">
        <v>13</v>
      </c>
      <c r="B6" s="4">
        <v>45971</v>
      </c>
      <c r="C6" s="5">
        <v>0.47875000000000001</v>
      </c>
      <c r="D6" t="s">
        <v>4</v>
      </c>
      <c r="E6" t="s">
        <v>8</v>
      </c>
      <c r="I6" t="s">
        <v>1838</v>
      </c>
      <c r="J6" t="s">
        <v>2987</v>
      </c>
      <c r="K6" t="s">
        <v>1839</v>
      </c>
      <c r="L6" t="s">
        <v>1840</v>
      </c>
      <c r="M6" s="3" t="str">
        <f>HYPERLINK(склад2въезд13192021222378[[#This Row],[RelativePath]])</f>
        <v>12 Площадка 3 кран\K07156189_20_20251110T112924Z.jpg</v>
      </c>
    </row>
    <row r="7" spans="1:13" x14ac:dyDescent="0.25">
      <c r="A7" s="2" t="s">
        <v>13</v>
      </c>
      <c r="B7" s="4">
        <v>45971</v>
      </c>
      <c r="C7" s="5">
        <v>0.51261574074074079</v>
      </c>
      <c r="D7" t="s">
        <v>4</v>
      </c>
      <c r="E7" t="s">
        <v>8</v>
      </c>
      <c r="I7" t="s">
        <v>1841</v>
      </c>
      <c r="J7" t="s">
        <v>2987</v>
      </c>
      <c r="K7" t="s">
        <v>1842</v>
      </c>
      <c r="L7" t="s">
        <v>1843</v>
      </c>
      <c r="M7" s="3" t="str">
        <f>HYPERLINK(склад2въезд13192021222378[[#This Row],[RelativePath]])</f>
        <v>12 Площадка 3 кран\K07156189_20_20251110T121810Z.jpg</v>
      </c>
    </row>
    <row r="8" spans="1:13" x14ac:dyDescent="0.25">
      <c r="A8" s="2" t="s">
        <v>13</v>
      </c>
      <c r="B8" s="4">
        <v>45971</v>
      </c>
      <c r="C8" s="5">
        <v>0.52328703703703705</v>
      </c>
      <c r="D8" t="s">
        <v>4</v>
      </c>
      <c r="E8" t="s">
        <v>21</v>
      </c>
      <c r="I8" t="s">
        <v>1844</v>
      </c>
      <c r="J8" t="s">
        <v>2987</v>
      </c>
      <c r="K8" t="s">
        <v>1845</v>
      </c>
      <c r="L8" t="s">
        <v>1846</v>
      </c>
      <c r="M8" s="3" t="str">
        <f>HYPERLINK(склад2въезд13192021222378[[#This Row],[RelativePath]])</f>
        <v>12 Площадка 3 кран\K07156189_20_20251110T123332Z.jpg</v>
      </c>
    </row>
    <row r="9" spans="1:13" x14ac:dyDescent="0.25">
      <c r="A9" s="2" t="s">
        <v>13</v>
      </c>
      <c r="B9" s="4">
        <v>45971</v>
      </c>
      <c r="C9" s="5">
        <v>0.55489583333333337</v>
      </c>
      <c r="D9" t="s">
        <v>4</v>
      </c>
      <c r="E9" t="s">
        <v>8</v>
      </c>
      <c r="I9" t="s">
        <v>1847</v>
      </c>
      <c r="J9" t="s">
        <v>2987</v>
      </c>
      <c r="K9" t="s">
        <v>1848</v>
      </c>
      <c r="L9" t="s">
        <v>1849</v>
      </c>
      <c r="M9" s="3" t="str">
        <f>HYPERLINK(склад2въезд13192021222378[[#This Row],[RelativePath]])</f>
        <v>12 Площадка 3 кран\K07156189_20_20251110T131903Z.jpg</v>
      </c>
    </row>
    <row r="10" spans="1:13" x14ac:dyDescent="0.25">
      <c r="A10" s="2" t="s">
        <v>13</v>
      </c>
      <c r="B10" s="4">
        <v>45971</v>
      </c>
      <c r="C10" s="5">
        <v>0.61379629629629628</v>
      </c>
      <c r="D10" t="s">
        <v>4</v>
      </c>
      <c r="E10" t="s">
        <v>8</v>
      </c>
      <c r="I10" t="s">
        <v>1850</v>
      </c>
      <c r="J10" t="s">
        <v>2987</v>
      </c>
      <c r="K10" t="s">
        <v>1851</v>
      </c>
      <c r="L10" t="s">
        <v>1852</v>
      </c>
      <c r="M10" s="3" t="str">
        <f>HYPERLINK(склад2въезд13192021222378[[#This Row],[RelativePath]])</f>
        <v>12 Площадка 3 кран\K07156189_20_20251110T144352Z.jpg</v>
      </c>
    </row>
    <row r="11" spans="1:13" x14ac:dyDescent="0.25">
      <c r="A11" s="2" t="s">
        <v>13</v>
      </c>
      <c r="B11" s="4">
        <v>45971</v>
      </c>
      <c r="C11" s="5">
        <v>0.73519675925925931</v>
      </c>
      <c r="D11" t="s">
        <v>4</v>
      </c>
      <c r="E11" t="s">
        <v>8</v>
      </c>
      <c r="H11" t="s">
        <v>1625</v>
      </c>
      <c r="I11" t="s">
        <v>1853</v>
      </c>
      <c r="J11" t="s">
        <v>2987</v>
      </c>
      <c r="K11" t="s">
        <v>1854</v>
      </c>
      <c r="L11" t="s">
        <v>1855</v>
      </c>
      <c r="M11" s="3" t="str">
        <f>HYPERLINK(склад2въезд13192021222378[[#This Row],[RelativePath]])</f>
        <v>12 Площадка 3 кран\K07156189_20_20251110T173841Z.jpg</v>
      </c>
    </row>
    <row r="12" spans="1:13" x14ac:dyDescent="0.25">
      <c r="A12" s="2" t="s">
        <v>13</v>
      </c>
      <c r="B12" s="4">
        <v>45971</v>
      </c>
      <c r="C12" s="5">
        <v>0.74217592592592596</v>
      </c>
      <c r="D12" t="s">
        <v>4</v>
      </c>
      <c r="E12" t="s">
        <v>1936</v>
      </c>
      <c r="I12" t="s">
        <v>1856</v>
      </c>
      <c r="J12" t="s">
        <v>2987</v>
      </c>
      <c r="K12" t="s">
        <v>1857</v>
      </c>
      <c r="L12" t="s">
        <v>1858</v>
      </c>
      <c r="M12" s="3" t="str">
        <f>HYPERLINK(склад2въезд13192021222378[[#This Row],[RelativePath]])</f>
        <v>12 Площадка 3 кран\K07156189_20_20251110T174844Z.jpg</v>
      </c>
    </row>
    <row r="13" spans="1:13" x14ac:dyDescent="0.25">
      <c r="A13" s="2" t="s">
        <v>13</v>
      </c>
      <c r="B13" s="4">
        <v>45971</v>
      </c>
      <c r="C13" s="5">
        <v>0.75621527777777775</v>
      </c>
      <c r="D13" t="s">
        <v>4</v>
      </c>
      <c r="E13" t="s">
        <v>1936</v>
      </c>
      <c r="I13" t="s">
        <v>1859</v>
      </c>
      <c r="J13" t="s">
        <v>2987</v>
      </c>
      <c r="K13" t="s">
        <v>1860</v>
      </c>
      <c r="L13" t="s">
        <v>1861</v>
      </c>
      <c r="M13" s="3" t="str">
        <f>HYPERLINK(склад2въезд13192021222378[[#This Row],[RelativePath]])</f>
        <v>12 Площадка 3 кран\K07156189_20_20251110T180857Z.jpg</v>
      </c>
    </row>
    <row r="14" spans="1:13" x14ac:dyDescent="0.25">
      <c r="A14" s="2" t="s">
        <v>14</v>
      </c>
      <c r="B14" s="4">
        <v>45972</v>
      </c>
      <c r="C14" s="5">
        <v>0.33800925925925923</v>
      </c>
      <c r="D14" t="s">
        <v>4</v>
      </c>
      <c r="E14" t="s">
        <v>8</v>
      </c>
      <c r="H14" t="s">
        <v>5</v>
      </c>
      <c r="I14" t="s">
        <v>1862</v>
      </c>
      <c r="J14" t="s">
        <v>2987</v>
      </c>
      <c r="K14" t="s">
        <v>1863</v>
      </c>
      <c r="L14" t="s">
        <v>1864</v>
      </c>
      <c r="M14" s="3" t="str">
        <f>HYPERLINK(склад2въезд13192021222378[[#This Row],[RelativePath]])</f>
        <v>12 Площадка 3 кран\K07156189_20_20251111T080644Z.jpg</v>
      </c>
    </row>
    <row r="15" spans="1:13" x14ac:dyDescent="0.25">
      <c r="A15" s="2" t="s">
        <v>14</v>
      </c>
      <c r="B15" s="4">
        <v>45972</v>
      </c>
      <c r="C15" s="5">
        <v>0.47002314814814816</v>
      </c>
      <c r="D15" t="s">
        <v>4</v>
      </c>
      <c r="E15" t="s">
        <v>8</v>
      </c>
      <c r="I15" t="s">
        <v>1865</v>
      </c>
      <c r="J15" t="s">
        <v>2987</v>
      </c>
      <c r="K15" t="s">
        <v>1866</v>
      </c>
      <c r="L15" t="s">
        <v>1867</v>
      </c>
      <c r="M15" s="3" t="str">
        <f>HYPERLINK(склад2въезд13192021222378[[#This Row],[RelativePath]])</f>
        <v>12 Площадка 3 кран\K07156189_20_20251111T111650Z.jpg</v>
      </c>
    </row>
    <row r="16" spans="1:13" x14ac:dyDescent="0.25">
      <c r="A16" s="2" t="s">
        <v>14</v>
      </c>
      <c r="B16" s="4">
        <v>45972</v>
      </c>
      <c r="C16" s="5">
        <v>0.64399305555555553</v>
      </c>
      <c r="D16" t="s">
        <v>4</v>
      </c>
      <c r="E16" t="s">
        <v>8</v>
      </c>
      <c r="I16" t="s">
        <v>1868</v>
      </c>
      <c r="J16" t="s">
        <v>2987</v>
      </c>
      <c r="K16" t="s">
        <v>1869</v>
      </c>
      <c r="L16" t="s">
        <v>1870</v>
      </c>
      <c r="M16" s="3" t="str">
        <f>HYPERLINK(склад2въезд13192021222378[[#This Row],[RelativePath]])</f>
        <v>12 Площадка 3 кран\K07156189_20_20251111T152721Z.jpg</v>
      </c>
    </row>
    <row r="17" spans="1:13" x14ac:dyDescent="0.25">
      <c r="A17" s="2" t="s">
        <v>14</v>
      </c>
      <c r="B17" s="4">
        <v>45972</v>
      </c>
      <c r="C17" s="5">
        <v>0.68483796296296295</v>
      </c>
      <c r="D17" t="s">
        <v>4</v>
      </c>
      <c r="E17" t="s">
        <v>8</v>
      </c>
      <c r="I17" t="s">
        <v>1871</v>
      </c>
      <c r="J17" t="s">
        <v>2987</v>
      </c>
      <c r="K17" t="s">
        <v>1872</v>
      </c>
      <c r="L17" t="s">
        <v>1873</v>
      </c>
      <c r="M17" s="3" t="str">
        <f>HYPERLINK(склад2въезд13192021222378[[#This Row],[RelativePath]])</f>
        <v>12 Площадка 3 кран\K07156189_20_20251111T162610Z.jpg</v>
      </c>
    </row>
    <row r="18" spans="1:13" x14ac:dyDescent="0.25">
      <c r="A18" s="2" t="s">
        <v>14</v>
      </c>
      <c r="B18" s="4">
        <v>45972</v>
      </c>
      <c r="C18" s="5">
        <v>0.74226851851851849</v>
      </c>
      <c r="D18" t="s">
        <v>4</v>
      </c>
      <c r="E18" t="s">
        <v>8</v>
      </c>
      <c r="H18" t="s">
        <v>1625</v>
      </c>
      <c r="I18" t="s">
        <v>1874</v>
      </c>
      <c r="J18" t="s">
        <v>2987</v>
      </c>
      <c r="K18" t="s">
        <v>1875</v>
      </c>
      <c r="L18" t="s">
        <v>1876</v>
      </c>
      <c r="M18" s="3" t="str">
        <f>HYPERLINK(склад2въезд13192021222378[[#This Row],[RelativePath]])</f>
        <v>12 Площадка 3 кран\K07156189_20_20251111T174852Z.jpg</v>
      </c>
    </row>
    <row r="19" spans="1:13" x14ac:dyDescent="0.25">
      <c r="A19" s="2" t="s">
        <v>15</v>
      </c>
      <c r="B19" s="4">
        <v>45973</v>
      </c>
      <c r="C19" s="5">
        <v>0.42266203703703703</v>
      </c>
      <c r="D19" t="s">
        <v>4</v>
      </c>
      <c r="E19" t="s">
        <v>8</v>
      </c>
      <c r="I19" t="s">
        <v>1877</v>
      </c>
      <c r="J19" t="s">
        <v>2987</v>
      </c>
      <c r="K19" t="s">
        <v>1878</v>
      </c>
      <c r="L19" t="s">
        <v>1879</v>
      </c>
      <c r="M19" s="3" t="str">
        <f>HYPERLINK(склад2въезд13192021222378[[#This Row],[RelativePath]])</f>
        <v>12 Площадка 3 кран\K07156189_20_20251112T100838Z.jpg</v>
      </c>
    </row>
    <row r="20" spans="1:13" x14ac:dyDescent="0.25">
      <c r="A20" s="2" t="s">
        <v>15</v>
      </c>
      <c r="B20" s="4">
        <v>45973</v>
      </c>
      <c r="C20" s="5">
        <v>0.55339120370370365</v>
      </c>
      <c r="D20" t="s">
        <v>4</v>
      </c>
      <c r="E20" t="s">
        <v>8</v>
      </c>
      <c r="I20" t="s">
        <v>1880</v>
      </c>
      <c r="J20" t="s">
        <v>2987</v>
      </c>
      <c r="K20" t="s">
        <v>1881</v>
      </c>
      <c r="L20" t="s">
        <v>1882</v>
      </c>
      <c r="M20" s="3" t="str">
        <f>HYPERLINK(склад2въезд13192021222378[[#This Row],[RelativePath]])</f>
        <v>12 Площадка 3 кран\K07156189_20_20251112T131653Z.jpg</v>
      </c>
    </row>
    <row r="21" spans="1:13" x14ac:dyDescent="0.25">
      <c r="A21" s="2" t="s">
        <v>15</v>
      </c>
      <c r="B21" s="4">
        <v>45973</v>
      </c>
      <c r="C21" s="5">
        <v>0.66186342592592595</v>
      </c>
      <c r="D21" t="s">
        <v>4</v>
      </c>
      <c r="E21" t="s">
        <v>21</v>
      </c>
      <c r="I21" t="s">
        <v>1883</v>
      </c>
      <c r="J21" t="s">
        <v>2987</v>
      </c>
      <c r="K21" t="s">
        <v>1884</v>
      </c>
      <c r="L21" t="s">
        <v>1885</v>
      </c>
      <c r="M21" s="3" t="str">
        <f>HYPERLINK(склад2въезд13192021222378[[#This Row],[RelativePath]])</f>
        <v>12 Площадка 3 кран\K07156189_20_20251112T155305Z.jpg</v>
      </c>
    </row>
    <row r="22" spans="1:13" x14ac:dyDescent="0.25">
      <c r="A22" s="2" t="s">
        <v>15</v>
      </c>
      <c r="B22" s="4">
        <v>45973</v>
      </c>
      <c r="C22" s="5">
        <v>0.68379629629629635</v>
      </c>
      <c r="D22" t="s">
        <v>4</v>
      </c>
      <c r="E22" t="s">
        <v>8</v>
      </c>
      <c r="I22" t="s">
        <v>1886</v>
      </c>
      <c r="J22" t="s">
        <v>2987</v>
      </c>
      <c r="K22" t="s">
        <v>1887</v>
      </c>
      <c r="L22" t="s">
        <v>1888</v>
      </c>
      <c r="M22" s="3" t="str">
        <f>HYPERLINK(склад2въезд13192021222378[[#This Row],[RelativePath]])</f>
        <v>12 Площадка 3 кран\K07156189_20_20251112T162440Z.jpg</v>
      </c>
    </row>
    <row r="23" spans="1:13" x14ac:dyDescent="0.25">
      <c r="A23" s="2" t="s">
        <v>16</v>
      </c>
      <c r="B23" s="4">
        <v>45974</v>
      </c>
      <c r="C23" s="5">
        <v>0.40057870370370369</v>
      </c>
      <c r="D23" t="s">
        <v>4</v>
      </c>
      <c r="E23" t="s">
        <v>21</v>
      </c>
      <c r="I23" t="s">
        <v>1889</v>
      </c>
      <c r="J23" t="s">
        <v>2987</v>
      </c>
      <c r="K23" t="s">
        <v>1890</v>
      </c>
      <c r="L23" t="s">
        <v>1891</v>
      </c>
      <c r="M23" s="3" t="str">
        <f>HYPERLINK(склад2въезд13192021222378[[#This Row],[RelativePath]])</f>
        <v>12 Площадка 3 кран\K07156189_20_20251113T093650Z.jpg</v>
      </c>
    </row>
    <row r="24" spans="1:13" x14ac:dyDescent="0.25">
      <c r="A24" s="2" t="s">
        <v>16</v>
      </c>
      <c r="B24" s="4">
        <v>45974</v>
      </c>
      <c r="C24" s="5">
        <v>0.41251157407407407</v>
      </c>
      <c r="D24" t="s">
        <v>4</v>
      </c>
      <c r="E24" t="s">
        <v>8</v>
      </c>
      <c r="I24" t="s">
        <v>1892</v>
      </c>
      <c r="J24" t="s">
        <v>2987</v>
      </c>
      <c r="K24" t="s">
        <v>1893</v>
      </c>
      <c r="L24" t="s">
        <v>1894</v>
      </c>
      <c r="M24" s="3" t="str">
        <f>HYPERLINK(склад2въезд13192021222378[[#This Row],[RelativePath]])</f>
        <v>12 Площадка 3 кран\K07156189_20_20251113T095401Z.jpg</v>
      </c>
    </row>
    <row r="25" spans="1:13" x14ac:dyDescent="0.25">
      <c r="A25" s="2" t="s">
        <v>16</v>
      </c>
      <c r="B25" s="4">
        <v>45974</v>
      </c>
      <c r="C25" s="5">
        <v>0.60263888888888884</v>
      </c>
      <c r="D25" t="s">
        <v>4</v>
      </c>
      <c r="E25" t="s">
        <v>21</v>
      </c>
      <c r="I25" t="s">
        <v>1895</v>
      </c>
      <c r="J25" t="s">
        <v>2987</v>
      </c>
      <c r="K25" t="s">
        <v>1896</v>
      </c>
      <c r="L25" t="s">
        <v>1897</v>
      </c>
      <c r="M25" s="3" t="str">
        <f>HYPERLINK(склад2въезд13192021222378[[#This Row],[RelativePath]])</f>
        <v>12 Площадка 3 кран\K07156189_20_20251113T142748Z.jpg</v>
      </c>
    </row>
    <row r="26" spans="1:13" x14ac:dyDescent="0.25">
      <c r="A26" s="2" t="s">
        <v>16</v>
      </c>
      <c r="B26" s="4">
        <v>45974</v>
      </c>
      <c r="C26" s="5">
        <v>0.75300925925925921</v>
      </c>
      <c r="D26" t="s">
        <v>4</v>
      </c>
      <c r="E26" t="s">
        <v>8</v>
      </c>
      <c r="H26" t="s">
        <v>1625</v>
      </c>
      <c r="I26" t="s">
        <v>1898</v>
      </c>
      <c r="J26" t="s">
        <v>2987</v>
      </c>
      <c r="K26" t="s">
        <v>1899</v>
      </c>
      <c r="L26" t="s">
        <v>1900</v>
      </c>
      <c r="M26" s="3" t="str">
        <f>HYPERLINK(склад2въезд13192021222378[[#This Row],[RelativePath]])</f>
        <v>12 Площадка 3 кран\K07156189_20_20251113T180420Z.jpg</v>
      </c>
    </row>
    <row r="27" spans="1:13" x14ac:dyDescent="0.25">
      <c r="A27" s="2" t="s">
        <v>17</v>
      </c>
      <c r="B27" s="4">
        <v>45975</v>
      </c>
      <c r="C27" s="5">
        <v>0.39696759259259257</v>
      </c>
      <c r="D27" t="s">
        <v>4</v>
      </c>
      <c r="E27" t="s">
        <v>8</v>
      </c>
      <c r="I27" t="s">
        <v>1901</v>
      </c>
      <c r="J27" t="s">
        <v>2987</v>
      </c>
      <c r="K27" t="s">
        <v>1902</v>
      </c>
      <c r="L27" t="s">
        <v>1903</v>
      </c>
      <c r="M27" s="3" t="str">
        <f>HYPERLINK(склад2въезд13192021222378[[#This Row],[RelativePath]])</f>
        <v>12 Площадка 3 кран\K07156189_20_20251114T093138Z.jpg</v>
      </c>
    </row>
    <row r="28" spans="1:13" x14ac:dyDescent="0.25">
      <c r="A28" s="2" t="s">
        <v>17</v>
      </c>
      <c r="B28" s="4">
        <v>45975</v>
      </c>
      <c r="C28" s="5">
        <v>0.47791666666666666</v>
      </c>
      <c r="D28" t="s">
        <v>289</v>
      </c>
      <c r="E28" t="s">
        <v>86</v>
      </c>
      <c r="F28" t="s">
        <v>200</v>
      </c>
      <c r="I28" t="s">
        <v>1904</v>
      </c>
      <c r="J28" t="s">
        <v>2987</v>
      </c>
      <c r="K28" t="s">
        <v>1905</v>
      </c>
      <c r="L28" t="s">
        <v>1906</v>
      </c>
      <c r="M28" s="3" t="str">
        <f>HYPERLINK(склад2въезд13192021222378[[#This Row],[RelativePath]])</f>
        <v>12 Площадка 3 кран\K07156189_20_20251114T112812Z.jpg</v>
      </c>
    </row>
    <row r="29" spans="1:13" x14ac:dyDescent="0.25">
      <c r="A29" s="2" t="s">
        <v>17</v>
      </c>
      <c r="B29" s="4">
        <v>45975</v>
      </c>
      <c r="C29" s="5">
        <v>0.47864583333333333</v>
      </c>
      <c r="D29" t="s">
        <v>289</v>
      </c>
      <c r="E29" t="s">
        <v>86</v>
      </c>
      <c r="F29" t="s">
        <v>200</v>
      </c>
      <c r="I29" t="s">
        <v>1907</v>
      </c>
      <c r="J29" t="s">
        <v>2987</v>
      </c>
      <c r="K29" t="s">
        <v>1908</v>
      </c>
      <c r="L29" t="s">
        <v>1909</v>
      </c>
      <c r="M29" s="3" t="str">
        <f>HYPERLINK(склад2въезд13192021222378[[#This Row],[RelativePath]])</f>
        <v>12 Площадка 3 кран\K07156189_20_20251114T112915Z.jpg</v>
      </c>
    </row>
    <row r="30" spans="1:13" x14ac:dyDescent="0.25">
      <c r="A30" s="2" t="s">
        <v>17</v>
      </c>
      <c r="B30" s="4">
        <v>45975</v>
      </c>
      <c r="C30" s="5">
        <v>0.48515046296296294</v>
      </c>
      <c r="D30" t="s">
        <v>289</v>
      </c>
      <c r="E30" t="s">
        <v>86</v>
      </c>
      <c r="F30" t="s">
        <v>200</v>
      </c>
      <c r="I30" t="s">
        <v>1910</v>
      </c>
      <c r="J30" t="s">
        <v>2987</v>
      </c>
      <c r="K30" t="s">
        <v>1911</v>
      </c>
      <c r="L30" t="s">
        <v>1912</v>
      </c>
      <c r="M30" s="3" t="str">
        <f>HYPERLINK(склад2въезд13192021222378[[#This Row],[RelativePath]])</f>
        <v>12 Площадка 3 кран\K07156189_20_20251114T113837Z.jpg</v>
      </c>
    </row>
    <row r="31" spans="1:13" x14ac:dyDescent="0.25">
      <c r="A31" s="2" t="s">
        <v>17</v>
      </c>
      <c r="B31" s="4">
        <v>45975</v>
      </c>
      <c r="C31" s="5">
        <v>0.48562499999999997</v>
      </c>
      <c r="D31" t="s">
        <v>289</v>
      </c>
      <c r="E31" t="s">
        <v>86</v>
      </c>
      <c r="F31" t="s">
        <v>200</v>
      </c>
      <c r="I31" t="s">
        <v>1913</v>
      </c>
      <c r="J31" t="s">
        <v>2987</v>
      </c>
      <c r="K31" t="s">
        <v>1914</v>
      </c>
      <c r="L31" t="s">
        <v>1915</v>
      </c>
      <c r="M31" s="3" t="str">
        <f>HYPERLINK(склад2въезд13192021222378[[#This Row],[RelativePath]])</f>
        <v>12 Площадка 3 кран\K07156189_20_20251114T113918Z.jpg</v>
      </c>
    </row>
    <row r="32" spans="1:13" x14ac:dyDescent="0.25">
      <c r="A32" s="2" t="s">
        <v>17</v>
      </c>
      <c r="B32" s="4">
        <v>45975</v>
      </c>
      <c r="C32" s="5">
        <v>0.76092592592592589</v>
      </c>
      <c r="D32" t="s">
        <v>4</v>
      </c>
      <c r="E32" t="s">
        <v>8</v>
      </c>
      <c r="H32" t="s">
        <v>1625</v>
      </c>
      <c r="I32" t="s">
        <v>1916</v>
      </c>
      <c r="J32" t="s">
        <v>2987</v>
      </c>
      <c r="K32" t="s">
        <v>1917</v>
      </c>
      <c r="L32" t="s">
        <v>1918</v>
      </c>
      <c r="M32" s="3" t="str">
        <f>HYPERLINK(склад2въезд13192021222378[[#This Row],[RelativePath]])</f>
        <v>12 Площадка 3 кран\K07156189_20_20251114T181544Z.jpg</v>
      </c>
    </row>
    <row r="33" spans="1:13" x14ac:dyDescent="0.25">
      <c r="A33" s="2" t="s">
        <v>18</v>
      </c>
      <c r="B33" s="4">
        <v>45976</v>
      </c>
      <c r="C33" s="5">
        <v>0.34</v>
      </c>
      <c r="D33" t="s">
        <v>4</v>
      </c>
      <c r="E33" t="s">
        <v>8</v>
      </c>
      <c r="H33" t="s">
        <v>5</v>
      </c>
      <c r="I33" t="s">
        <v>1919</v>
      </c>
      <c r="J33" t="s">
        <v>2987</v>
      </c>
      <c r="K33" t="s">
        <v>1920</v>
      </c>
      <c r="L33" t="s">
        <v>1921</v>
      </c>
      <c r="M33" s="3" t="str">
        <f>HYPERLINK(склад2въезд13192021222378[[#This Row],[RelativePath]])</f>
        <v>12 Площадка 3 кран\K07156189_20_20251115T080936Z.jpg</v>
      </c>
    </row>
    <row r="34" spans="1:13" x14ac:dyDescent="0.25">
      <c r="A34" s="2" t="s">
        <v>18</v>
      </c>
      <c r="B34" s="4">
        <v>45976</v>
      </c>
      <c r="C34" s="5">
        <v>0.74664351851851851</v>
      </c>
      <c r="D34" t="s">
        <v>4</v>
      </c>
      <c r="E34" t="s">
        <v>8</v>
      </c>
      <c r="H34" t="s">
        <v>1625</v>
      </c>
      <c r="I34" t="s">
        <v>1922</v>
      </c>
      <c r="J34" t="s">
        <v>2987</v>
      </c>
      <c r="K34" t="s">
        <v>1923</v>
      </c>
      <c r="L34" t="s">
        <v>1924</v>
      </c>
      <c r="M34" s="3" t="str">
        <f>HYPERLINK(склад2въезд13192021222378[[#This Row],[RelativePath]])</f>
        <v>12 Площадка 3 кран\K07156189_20_20251115T175510Z.jpg</v>
      </c>
    </row>
    <row r="35" spans="1:13" x14ac:dyDescent="0.25">
      <c r="A35" s="2" t="s">
        <v>22</v>
      </c>
      <c r="B35" s="4">
        <v>45977</v>
      </c>
      <c r="C35" s="5">
        <v>0.3742361111111111</v>
      </c>
      <c r="D35" t="s">
        <v>4</v>
      </c>
      <c r="E35" t="s">
        <v>8</v>
      </c>
      <c r="H35" t="s">
        <v>5</v>
      </c>
      <c r="I35" t="s">
        <v>1925</v>
      </c>
      <c r="J35" t="s">
        <v>2987</v>
      </c>
      <c r="K35" t="s">
        <v>1926</v>
      </c>
      <c r="L35" t="s">
        <v>1927</v>
      </c>
      <c r="M35" s="3" t="str">
        <f>HYPERLINK(склад2въезд13192021222378[[#This Row],[RelativePath]])</f>
        <v>12 Площадка 3 кран\K07156189_20_20251116T085854Z.jpg</v>
      </c>
    </row>
    <row r="36" spans="1:13" x14ac:dyDescent="0.25">
      <c r="A36" s="2" t="s">
        <v>22</v>
      </c>
      <c r="B36" s="4">
        <v>45977</v>
      </c>
      <c r="C36" s="5">
        <v>0.4861111111111111</v>
      </c>
      <c r="D36" t="s">
        <v>4</v>
      </c>
      <c r="E36" t="s">
        <v>8</v>
      </c>
      <c r="I36" t="s">
        <v>1928</v>
      </c>
      <c r="J36" t="s">
        <v>2987</v>
      </c>
      <c r="K36" t="s">
        <v>1929</v>
      </c>
      <c r="L36" t="s">
        <v>1930</v>
      </c>
      <c r="M36" s="3" t="str">
        <f>HYPERLINK(склад2въезд13192021222378[[#This Row],[RelativePath]])</f>
        <v>12 Площадка 3 кран\K07156189_20_20251116T114000Z.jpg</v>
      </c>
    </row>
    <row r="37" spans="1:13" x14ac:dyDescent="0.25">
      <c r="A37" s="2" t="s">
        <v>22</v>
      </c>
      <c r="B37" s="4">
        <v>45977</v>
      </c>
      <c r="C37" s="5">
        <v>0.53043981481481484</v>
      </c>
      <c r="D37" t="s">
        <v>4</v>
      </c>
      <c r="E37" t="s">
        <v>8</v>
      </c>
      <c r="I37" t="s">
        <v>1931</v>
      </c>
      <c r="J37" t="s">
        <v>2987</v>
      </c>
      <c r="K37" t="s">
        <v>1932</v>
      </c>
      <c r="L37" t="s">
        <v>1933</v>
      </c>
      <c r="M37" s="3" t="str">
        <f>HYPERLINK(склад2въезд13192021222378[[#This Row],[RelativePath]])</f>
        <v>12 Площадка 3 кран\K07156189_20_20251116T124350Z.jpg</v>
      </c>
    </row>
    <row r="38" spans="1:13" x14ac:dyDescent="0.25">
      <c r="A38" s="2" t="s">
        <v>13</v>
      </c>
      <c r="B38" s="4">
        <v>45978</v>
      </c>
      <c r="C38" s="5">
        <v>0.48810185185185184</v>
      </c>
      <c r="D38" t="s">
        <v>4</v>
      </c>
      <c r="E38" t="s">
        <v>8</v>
      </c>
      <c r="I38" t="s">
        <v>2589</v>
      </c>
      <c r="J38" t="s">
        <v>2987</v>
      </c>
      <c r="K38" t="s">
        <v>2590</v>
      </c>
      <c r="L38" t="s">
        <v>2591</v>
      </c>
      <c r="M38" s="3" t="str">
        <f>HYPERLINK(склад2въезд13192021222378[[#This Row],[RelativePath]])</f>
        <v>12 Площадка 3 кран\K07156189_20_20251117T114252Z.jpg</v>
      </c>
    </row>
    <row r="39" spans="1:13" x14ac:dyDescent="0.25">
      <c r="A39" s="2" t="s">
        <v>14</v>
      </c>
      <c r="B39" s="4">
        <v>45979</v>
      </c>
      <c r="C39" s="5">
        <v>0.40424768518518517</v>
      </c>
      <c r="D39" t="s">
        <v>7</v>
      </c>
      <c r="I39" t="s">
        <v>2592</v>
      </c>
      <c r="J39" t="s">
        <v>2987</v>
      </c>
      <c r="K39" t="s">
        <v>2593</v>
      </c>
      <c r="L39" t="s">
        <v>2594</v>
      </c>
      <c r="M39" s="3" t="str">
        <f>HYPERLINK(склад2въезд13192021222378[[#This Row],[RelativePath]])</f>
        <v>12 Площадка 3 кран\K07156189_20_20251118T094207Z.jpg</v>
      </c>
    </row>
    <row r="40" spans="1:13" x14ac:dyDescent="0.25">
      <c r="A40" s="2" t="s">
        <v>14</v>
      </c>
      <c r="B40" s="4">
        <v>45979</v>
      </c>
      <c r="C40" s="5">
        <v>0.47641203703703705</v>
      </c>
      <c r="D40" t="s">
        <v>4</v>
      </c>
      <c r="E40" t="s">
        <v>8</v>
      </c>
      <c r="I40" t="s">
        <v>2595</v>
      </c>
      <c r="J40" t="s">
        <v>2987</v>
      </c>
      <c r="K40" t="s">
        <v>2596</v>
      </c>
      <c r="L40" t="s">
        <v>2597</v>
      </c>
      <c r="M40" s="3" t="str">
        <f>HYPERLINK(склад2въезд13192021222378[[#This Row],[RelativePath]])</f>
        <v>12 Площадка 3 кран\K07156189_20_20251118T112602Z.jpg</v>
      </c>
    </row>
    <row r="41" spans="1:13" x14ac:dyDescent="0.25">
      <c r="A41" s="2" t="s">
        <v>14</v>
      </c>
      <c r="B41" s="4">
        <v>45979</v>
      </c>
      <c r="C41" s="5">
        <v>0.4768634259259259</v>
      </c>
      <c r="D41" t="s">
        <v>11</v>
      </c>
      <c r="I41" t="s">
        <v>2598</v>
      </c>
      <c r="J41" t="s">
        <v>2987</v>
      </c>
      <c r="K41" t="s">
        <v>2599</v>
      </c>
      <c r="L41" t="s">
        <v>2600</v>
      </c>
      <c r="M41" s="3" t="str">
        <f>HYPERLINK(склад2въезд13192021222378[[#This Row],[RelativePath]])</f>
        <v>12 Площадка 3 кран\K07156189_20_20251118T112641Z.jpg</v>
      </c>
    </row>
    <row r="42" spans="1:13" x14ac:dyDescent="0.25">
      <c r="A42" s="2" t="s">
        <v>14</v>
      </c>
      <c r="B42" s="4">
        <v>45979</v>
      </c>
      <c r="C42" s="5">
        <v>0.59925925925925927</v>
      </c>
      <c r="D42" t="s">
        <v>4</v>
      </c>
      <c r="E42" t="s">
        <v>8</v>
      </c>
      <c r="I42" t="s">
        <v>2601</v>
      </c>
      <c r="J42" t="s">
        <v>2987</v>
      </c>
      <c r="K42" t="s">
        <v>2602</v>
      </c>
      <c r="L42" t="s">
        <v>2603</v>
      </c>
      <c r="M42" s="3" t="str">
        <f>HYPERLINK(склад2въезд13192021222378[[#This Row],[RelativePath]])</f>
        <v>12 Площадка 3 кран\K07156189_20_20251118T142256Z.jpg</v>
      </c>
    </row>
    <row r="43" spans="1:13" x14ac:dyDescent="0.25">
      <c r="A43" s="2" t="s">
        <v>15</v>
      </c>
      <c r="B43" s="4">
        <v>45980</v>
      </c>
      <c r="C43" s="5">
        <v>0.43459490740740742</v>
      </c>
      <c r="D43" t="s">
        <v>2004</v>
      </c>
      <c r="I43" t="s">
        <v>2604</v>
      </c>
      <c r="J43" t="s">
        <v>2987</v>
      </c>
      <c r="K43" t="s">
        <v>2605</v>
      </c>
      <c r="L43" t="s">
        <v>2606</v>
      </c>
      <c r="M43" s="3" t="str">
        <f>HYPERLINK(склад2въезд13192021222378[[#This Row],[RelativePath]])</f>
        <v>12 Площадка 3 кран\K07156189_20_20251119T102549Z.jpg</v>
      </c>
    </row>
    <row r="44" spans="1:13" x14ac:dyDescent="0.25">
      <c r="A44" s="2" t="s">
        <v>16</v>
      </c>
      <c r="B44" s="4">
        <v>45981</v>
      </c>
      <c r="C44" s="5">
        <v>0.42752314814814812</v>
      </c>
      <c r="D44" t="s">
        <v>4</v>
      </c>
      <c r="E44" t="s">
        <v>8</v>
      </c>
      <c r="I44" t="s">
        <v>2607</v>
      </c>
      <c r="J44" t="s">
        <v>2987</v>
      </c>
      <c r="K44" t="s">
        <v>2608</v>
      </c>
      <c r="L44" t="s">
        <v>2609</v>
      </c>
      <c r="M44" s="3" t="str">
        <f>HYPERLINK(склад2въезд13192021222378[[#This Row],[RelativePath]])</f>
        <v>12 Площадка 3 кран\K07156189_20_20251120T101538Z.jpg</v>
      </c>
    </row>
    <row r="45" spans="1:13" x14ac:dyDescent="0.25">
      <c r="A45" s="2" t="s">
        <v>16</v>
      </c>
      <c r="B45" s="4">
        <v>45981</v>
      </c>
      <c r="C45" s="5">
        <v>0.56873842592592594</v>
      </c>
      <c r="D45" t="s">
        <v>2004</v>
      </c>
      <c r="I45" t="s">
        <v>2610</v>
      </c>
      <c r="J45" t="s">
        <v>2987</v>
      </c>
      <c r="K45" t="s">
        <v>2611</v>
      </c>
      <c r="L45" t="s">
        <v>2612</v>
      </c>
      <c r="M45" s="3" t="str">
        <f>HYPERLINK(склад2въезд13192021222378[[#This Row],[RelativePath]])</f>
        <v>12 Площадка 3 кран\K07156189_20_20251120T133859Z.jpg</v>
      </c>
    </row>
    <row r="46" spans="1:13" x14ac:dyDescent="0.25">
      <c r="A46" s="2" t="s">
        <v>17</v>
      </c>
      <c r="B46" s="4">
        <v>45982</v>
      </c>
      <c r="C46" s="5">
        <v>0.34553240740740743</v>
      </c>
      <c r="D46" t="s">
        <v>4</v>
      </c>
      <c r="E46" t="s">
        <v>8</v>
      </c>
      <c r="I46" t="s">
        <v>2613</v>
      </c>
      <c r="J46" t="s">
        <v>2987</v>
      </c>
      <c r="K46" t="s">
        <v>2614</v>
      </c>
      <c r="L46" t="s">
        <v>2615</v>
      </c>
      <c r="M46" s="3" t="str">
        <f>HYPERLINK(склад2въезд13192021222378[[#This Row],[RelativePath]])</f>
        <v>12 Площадка 3 кран\K07156189_20_20251121T081734Z.jpg</v>
      </c>
    </row>
    <row r="47" spans="1:13" x14ac:dyDescent="0.25">
      <c r="A47" s="2" t="s">
        <v>17</v>
      </c>
      <c r="B47" s="4">
        <v>45982</v>
      </c>
      <c r="C47" s="5">
        <v>0.74643518518518515</v>
      </c>
      <c r="D47" t="s">
        <v>2004</v>
      </c>
      <c r="I47" t="s">
        <v>2616</v>
      </c>
      <c r="J47" t="s">
        <v>2987</v>
      </c>
      <c r="K47" t="s">
        <v>2617</v>
      </c>
      <c r="L47" t="s">
        <v>2618</v>
      </c>
      <c r="M47" s="3" t="str">
        <f>HYPERLINK(склад2въезд13192021222378[[#This Row],[RelativePath]])</f>
        <v>12 Площадка 3 кран\K07156189_20_20251121T175452Z.jpg</v>
      </c>
    </row>
    <row r="48" spans="1:13" x14ac:dyDescent="0.25">
      <c r="A48" s="2" t="s">
        <v>18</v>
      </c>
      <c r="B48" s="4">
        <v>45983</v>
      </c>
      <c r="C48" s="5">
        <v>0.4045138888888889</v>
      </c>
      <c r="D48" t="s">
        <v>4</v>
      </c>
      <c r="E48" t="s">
        <v>8</v>
      </c>
      <c r="I48" t="s">
        <v>2619</v>
      </c>
      <c r="J48" t="s">
        <v>2987</v>
      </c>
      <c r="K48" t="s">
        <v>2620</v>
      </c>
      <c r="L48" t="s">
        <v>2621</v>
      </c>
      <c r="M48" s="3" t="str">
        <f>HYPERLINK(склад2въезд13192021222378[[#This Row],[RelativePath]])</f>
        <v>12 Площадка 3 кран\K07156189_20_20251122T094230Z.jpg</v>
      </c>
    </row>
    <row r="49" spans="1:13" x14ac:dyDescent="0.25">
      <c r="A49" s="2" t="s">
        <v>18</v>
      </c>
      <c r="B49" s="4">
        <v>45983</v>
      </c>
      <c r="C49" s="5">
        <v>0.74136574074074069</v>
      </c>
      <c r="D49" t="s">
        <v>2004</v>
      </c>
      <c r="I49" t="s">
        <v>2622</v>
      </c>
      <c r="J49" t="s">
        <v>2987</v>
      </c>
      <c r="K49" t="s">
        <v>2623</v>
      </c>
      <c r="L49" t="s">
        <v>2624</v>
      </c>
      <c r="M49" s="3" t="str">
        <f>HYPERLINK(склад2въезд13192021222378[[#This Row],[RelativePath]])</f>
        <v>12 Площадка 3 кран\K07156189_20_20251122T174734Z.jpg</v>
      </c>
    </row>
    <row r="50" spans="1:13" x14ac:dyDescent="0.25">
      <c r="A50" s="2" t="s">
        <v>22</v>
      </c>
      <c r="B50" s="4">
        <v>45984</v>
      </c>
      <c r="C50" s="5">
        <v>0.39945601851851853</v>
      </c>
      <c r="D50" t="s">
        <v>4</v>
      </c>
      <c r="E50" t="s">
        <v>8</v>
      </c>
      <c r="I50" t="s">
        <v>2625</v>
      </c>
      <c r="J50" t="s">
        <v>2987</v>
      </c>
      <c r="K50" t="s">
        <v>2626</v>
      </c>
      <c r="L50" t="s">
        <v>2627</v>
      </c>
      <c r="M50" s="3" t="str">
        <f>HYPERLINK(склад2въезд13192021222378[[#This Row],[RelativePath]])</f>
        <v>12 Площадка 3 кран\K07156189_20_20251123T093513Z.jpg</v>
      </c>
    </row>
    <row r="51" spans="1:13" x14ac:dyDescent="0.25">
      <c r="A51" s="2" t="s">
        <v>22</v>
      </c>
      <c r="B51" s="4">
        <v>45984</v>
      </c>
      <c r="C51" s="5">
        <v>0.72593750000000001</v>
      </c>
      <c r="D51" t="s">
        <v>2004</v>
      </c>
      <c r="I51" t="s">
        <v>2628</v>
      </c>
      <c r="J51" t="s">
        <v>2987</v>
      </c>
      <c r="K51" t="s">
        <v>2629</v>
      </c>
      <c r="L51" t="s">
        <v>2630</v>
      </c>
      <c r="M51" s="3" t="str">
        <f>HYPERLINK(склад2въезд13192021222378[[#This Row],[RelativePath]])</f>
        <v>12 Площадка 3 кран\K07156189_20_20251123T172521Z.jpg</v>
      </c>
    </row>
    <row r="52" spans="1:13" x14ac:dyDescent="0.25">
      <c r="A52" s="2" t="s">
        <v>13</v>
      </c>
      <c r="B52" s="4">
        <v>45985</v>
      </c>
      <c r="C52" s="5">
        <v>0.70083333333333331</v>
      </c>
      <c r="D52" t="s">
        <v>7</v>
      </c>
      <c r="I52" t="s">
        <v>4127</v>
      </c>
      <c r="J52" t="s">
        <v>2987</v>
      </c>
      <c r="K52" t="s">
        <v>4128</v>
      </c>
      <c r="L52" t="s">
        <v>4129</v>
      </c>
      <c r="M52" s="3" t="str">
        <f>HYPERLINK(склад2въезд13192021222378[[#This Row],[RelativePath]])</f>
        <v>12 Площадка 3 кран\K07156189_20_20251124T164912Z.jpg</v>
      </c>
    </row>
    <row r="53" spans="1:13" x14ac:dyDescent="0.25">
      <c r="A53" s="2" t="s">
        <v>14</v>
      </c>
      <c r="B53" s="4">
        <v>45986</v>
      </c>
      <c r="C53" s="5">
        <v>0.40252314814814816</v>
      </c>
      <c r="D53" t="s">
        <v>4246</v>
      </c>
      <c r="E53" t="s">
        <v>4247</v>
      </c>
      <c r="I53" t="s">
        <v>4130</v>
      </c>
      <c r="J53" t="s">
        <v>2987</v>
      </c>
      <c r="K53" t="s">
        <v>4131</v>
      </c>
      <c r="L53" t="s">
        <v>4132</v>
      </c>
      <c r="M53" s="3" t="str">
        <f>HYPERLINK(склад2въезд13192021222378[[#This Row],[RelativePath]])</f>
        <v>12 Площадка 3 кран\K07156189_20_20251125T093938Z.jpg</v>
      </c>
    </row>
    <row r="54" spans="1:13" x14ac:dyDescent="0.25">
      <c r="A54" s="2" t="s">
        <v>14</v>
      </c>
      <c r="B54" s="4">
        <v>45986</v>
      </c>
      <c r="C54" s="5">
        <v>0.80796296296296299</v>
      </c>
      <c r="D54" t="s">
        <v>4246</v>
      </c>
      <c r="E54" t="s">
        <v>4247</v>
      </c>
      <c r="I54" t="s">
        <v>4133</v>
      </c>
      <c r="J54" t="s">
        <v>2987</v>
      </c>
      <c r="K54" t="s">
        <v>4134</v>
      </c>
      <c r="L54" t="s">
        <v>4135</v>
      </c>
      <c r="M54" s="3" t="str">
        <f>HYPERLINK(склад2въезд13192021222378[[#This Row],[RelativePath]])</f>
        <v>12 Площадка 3 кран\K07156189_20_20251125T192328Z.jpg</v>
      </c>
    </row>
    <row r="55" spans="1:13" x14ac:dyDescent="0.25">
      <c r="A55" s="2" t="s">
        <v>15</v>
      </c>
      <c r="B55" s="4">
        <v>45987</v>
      </c>
      <c r="C55" s="5">
        <v>0.41631944444444446</v>
      </c>
      <c r="D55" t="s">
        <v>4246</v>
      </c>
      <c r="E55" t="s">
        <v>4247</v>
      </c>
      <c r="I55" t="s">
        <v>4136</v>
      </c>
      <c r="J55" t="s">
        <v>2987</v>
      </c>
      <c r="K55" t="s">
        <v>4137</v>
      </c>
      <c r="L55" t="s">
        <v>4138</v>
      </c>
      <c r="M55" s="3" t="str">
        <f>HYPERLINK(склад2въезд13192021222378[[#This Row],[RelativePath]])</f>
        <v>12 Площадка 3 кран\K07156189_20_20251126T095930Z.jpg</v>
      </c>
    </row>
    <row r="56" spans="1:13" x14ac:dyDescent="0.25">
      <c r="A56" s="2" t="s">
        <v>16</v>
      </c>
      <c r="B56" s="4">
        <v>45988</v>
      </c>
      <c r="C56" s="5">
        <v>0.43282407407407408</v>
      </c>
      <c r="D56" t="s">
        <v>4246</v>
      </c>
      <c r="E56" t="s">
        <v>4247</v>
      </c>
      <c r="I56" t="s">
        <v>4139</v>
      </c>
      <c r="J56" t="s">
        <v>2987</v>
      </c>
      <c r="K56" t="s">
        <v>4140</v>
      </c>
      <c r="L56" t="s">
        <v>4141</v>
      </c>
      <c r="M56" s="3" t="str">
        <f>HYPERLINK(склад2въезд13192021222378[[#This Row],[RelativePath]])</f>
        <v>12 Площадка 3 кран\K07156189_20_20251127T102316Z.jpg</v>
      </c>
    </row>
    <row r="57" spans="1:13" x14ac:dyDescent="0.25">
      <c r="A57" s="2" t="s">
        <v>16</v>
      </c>
      <c r="B57" s="4">
        <v>45988</v>
      </c>
      <c r="C57" s="5">
        <v>0.47539351851851852</v>
      </c>
      <c r="D57" t="s">
        <v>4246</v>
      </c>
      <c r="E57" t="s">
        <v>4247</v>
      </c>
      <c r="I57" t="s">
        <v>4142</v>
      </c>
      <c r="J57" t="s">
        <v>2987</v>
      </c>
      <c r="K57" t="s">
        <v>4143</v>
      </c>
      <c r="L57" t="s">
        <v>4144</v>
      </c>
      <c r="M57" s="3" t="str">
        <f>HYPERLINK(склад2въезд13192021222378[[#This Row],[RelativePath]])</f>
        <v>12 Площадка 3 кран\K07156189_20_20251127T112434Z.jpg</v>
      </c>
    </row>
    <row r="58" spans="1:13" x14ac:dyDescent="0.25">
      <c r="A58" s="2" t="s">
        <v>16</v>
      </c>
      <c r="B58" s="4">
        <v>45988</v>
      </c>
      <c r="C58" s="5">
        <v>0.79962962962962958</v>
      </c>
      <c r="D58" t="s">
        <v>7</v>
      </c>
      <c r="E58" t="s">
        <v>4248</v>
      </c>
      <c r="I58" t="s">
        <v>4145</v>
      </c>
      <c r="J58" t="s">
        <v>2987</v>
      </c>
      <c r="K58" t="s">
        <v>4146</v>
      </c>
      <c r="L58" t="s">
        <v>4147</v>
      </c>
      <c r="M58" s="3" t="str">
        <f>HYPERLINK(склад2въезд13192021222378[[#This Row],[RelativePath]])</f>
        <v>12 Площадка 3 кран\K07156189_20_20251127T191128Z.jpg</v>
      </c>
    </row>
    <row r="59" spans="1:13" x14ac:dyDescent="0.25">
      <c r="A59" s="2" t="s">
        <v>17</v>
      </c>
      <c r="B59" s="4">
        <v>45989</v>
      </c>
      <c r="C59" s="5">
        <v>0.39568287037037037</v>
      </c>
      <c r="D59" t="s">
        <v>7</v>
      </c>
      <c r="E59" t="s">
        <v>4248</v>
      </c>
      <c r="I59" t="s">
        <v>4148</v>
      </c>
      <c r="J59" t="s">
        <v>2987</v>
      </c>
      <c r="K59" t="s">
        <v>4149</v>
      </c>
      <c r="L59" t="s">
        <v>4150</v>
      </c>
      <c r="M59" s="3" t="str">
        <f>HYPERLINK(склад2въезд13192021222378[[#This Row],[RelativePath]])</f>
        <v>12 Площадка 3 кран\K07156189_20_20251128T092947Z.jpg</v>
      </c>
    </row>
    <row r="60" spans="1:13" x14ac:dyDescent="0.25">
      <c r="A60" s="2" t="s">
        <v>17</v>
      </c>
      <c r="B60" s="4">
        <v>45989</v>
      </c>
      <c r="C60" s="5">
        <v>0.49561342592592594</v>
      </c>
      <c r="D60" t="s">
        <v>7</v>
      </c>
      <c r="E60" t="s">
        <v>4248</v>
      </c>
      <c r="I60" t="s">
        <v>4151</v>
      </c>
      <c r="J60" t="s">
        <v>2987</v>
      </c>
      <c r="K60" t="s">
        <v>4152</v>
      </c>
      <c r="L60" t="s">
        <v>4153</v>
      </c>
      <c r="M60" s="3" t="str">
        <f>HYPERLINK(склад2въезд13192021222378[[#This Row],[RelativePath]])</f>
        <v>12 Площадка 3 кран\K07156189_20_20251128T115341Z.jpg</v>
      </c>
    </row>
    <row r="61" spans="1:13" x14ac:dyDescent="0.25">
      <c r="A61" s="2" t="s">
        <v>17</v>
      </c>
      <c r="B61" s="4">
        <v>45989</v>
      </c>
      <c r="C61" s="5">
        <v>0.64461805555555551</v>
      </c>
      <c r="D61" t="s">
        <v>7</v>
      </c>
      <c r="E61" t="s">
        <v>4248</v>
      </c>
      <c r="I61" t="s">
        <v>4154</v>
      </c>
      <c r="J61" t="s">
        <v>2987</v>
      </c>
      <c r="K61" t="s">
        <v>4155</v>
      </c>
      <c r="L61" t="s">
        <v>4156</v>
      </c>
      <c r="M61" s="3" t="str">
        <f>HYPERLINK(склад2въезд13192021222378[[#This Row],[RelativePath]])</f>
        <v>12 Площадка 3 кран\K07156189_20_20251128T152815Z.jpg</v>
      </c>
    </row>
    <row r="62" spans="1:13" x14ac:dyDescent="0.25">
      <c r="A62" s="2" t="s">
        <v>17</v>
      </c>
      <c r="B62" s="4">
        <v>45989</v>
      </c>
      <c r="C62" s="5">
        <v>0.74853009259259262</v>
      </c>
      <c r="D62" t="s">
        <v>7</v>
      </c>
      <c r="E62" t="s">
        <v>4248</v>
      </c>
      <c r="I62" t="s">
        <v>4157</v>
      </c>
      <c r="J62" t="s">
        <v>2987</v>
      </c>
      <c r="K62" t="s">
        <v>4158</v>
      </c>
      <c r="L62" t="s">
        <v>4159</v>
      </c>
      <c r="M62" s="3" t="str">
        <f>HYPERLINK(склад2въезд13192021222378[[#This Row],[RelativePath]])</f>
        <v>12 Площадка 3 кран\K07156189_20_20251128T175753Z.jpg</v>
      </c>
    </row>
    <row r="63" spans="1:13" x14ac:dyDescent="0.25">
      <c r="A63" s="2" t="s">
        <v>17</v>
      </c>
      <c r="B63" s="4">
        <v>45989</v>
      </c>
      <c r="C63" s="5">
        <v>0.78932870370370367</v>
      </c>
      <c r="D63" t="s">
        <v>7</v>
      </c>
      <c r="E63" t="s">
        <v>4248</v>
      </c>
      <c r="I63" t="s">
        <v>4160</v>
      </c>
      <c r="J63" t="s">
        <v>2987</v>
      </c>
      <c r="K63" t="s">
        <v>4161</v>
      </c>
      <c r="L63" t="s">
        <v>4162</v>
      </c>
      <c r="M63" s="3" t="str">
        <f>HYPERLINK(склад2въезд13192021222378[[#This Row],[RelativePath]])</f>
        <v>12 Площадка 3 кран\K07156189_20_20251128T185638Z.jpg</v>
      </c>
    </row>
    <row r="64" spans="1:13" x14ac:dyDescent="0.25">
      <c r="A64" s="2" t="s">
        <v>18</v>
      </c>
      <c r="B64" s="4">
        <v>45990</v>
      </c>
      <c r="C64" s="5">
        <v>0.54959490740740746</v>
      </c>
      <c r="D64" t="s">
        <v>4</v>
      </c>
      <c r="E64" t="s">
        <v>8</v>
      </c>
      <c r="I64" t="s">
        <v>4163</v>
      </c>
      <c r="J64" t="s">
        <v>2987</v>
      </c>
      <c r="K64" t="s">
        <v>4164</v>
      </c>
      <c r="L64" t="s">
        <v>4165</v>
      </c>
      <c r="M64" s="3" t="str">
        <f>HYPERLINK(склад2въезд13192021222378[[#This Row],[RelativePath]])</f>
        <v>12 Площадка 3 кран\K07156189_20_20251129T131125Z.jpg</v>
      </c>
    </row>
    <row r="65" spans="1:13" x14ac:dyDescent="0.25">
      <c r="A65" s="2" t="s">
        <v>22</v>
      </c>
      <c r="B65" s="4">
        <v>45991</v>
      </c>
      <c r="C65" s="5">
        <v>0.74640046296296292</v>
      </c>
      <c r="D65" t="s">
        <v>2004</v>
      </c>
      <c r="I65" t="s">
        <v>4291</v>
      </c>
      <c r="J65" t="s">
        <v>2987</v>
      </c>
      <c r="K65" t="s">
        <v>4292</v>
      </c>
      <c r="L65" t="s">
        <v>4293</v>
      </c>
      <c r="M65" s="3" t="str">
        <f>HYPERLINK(склад2въезд13192021222378[[#This Row],[RelativePath]])</f>
        <v>12 Площадка 3 кран\K07156189_20_20251130T175449Z.jpg</v>
      </c>
    </row>
    <row r="66" spans="1:13" x14ac:dyDescent="0.25">
      <c r="A66" s="2" t="s">
        <v>13</v>
      </c>
      <c r="B66" s="4">
        <v>45992</v>
      </c>
      <c r="C66" s="5">
        <v>0.42208333333333331</v>
      </c>
      <c r="D66" t="s">
        <v>4</v>
      </c>
      <c r="E66" t="s">
        <v>8</v>
      </c>
      <c r="I66" t="s">
        <v>4921</v>
      </c>
      <c r="J66" t="s">
        <v>2987</v>
      </c>
      <c r="K66" t="s">
        <v>4922</v>
      </c>
      <c r="L66" t="s">
        <v>4923</v>
      </c>
      <c r="M66" s="3" t="str">
        <f>HYPERLINK(склад2въезд13192021222378[[#This Row],[RelativePath]])</f>
        <v>12 Площадка 3 кран\K07156189_20_20251201T100748Z.jpg</v>
      </c>
    </row>
    <row r="67" spans="1:13" x14ac:dyDescent="0.25">
      <c r="A67" s="2" t="s">
        <v>13</v>
      </c>
      <c r="B67" s="4">
        <v>45992</v>
      </c>
      <c r="C67" s="5">
        <v>0.42554398148148148</v>
      </c>
      <c r="D67" t="s">
        <v>4</v>
      </c>
      <c r="E67" t="s">
        <v>8</v>
      </c>
      <c r="H67" t="s">
        <v>2936</v>
      </c>
      <c r="I67" t="s">
        <v>4924</v>
      </c>
      <c r="J67" t="s">
        <v>2987</v>
      </c>
      <c r="K67" t="s">
        <v>4925</v>
      </c>
      <c r="L67" t="s">
        <v>4926</v>
      </c>
      <c r="M67" s="3" t="str">
        <f>HYPERLINK(склад2въезд13192021222378[[#This Row],[RelativePath]])</f>
        <v>12 Площадка 3 кран\K07156189_20_20251201T101247Z.jpg</v>
      </c>
    </row>
    <row r="68" spans="1:13" x14ac:dyDescent="0.25">
      <c r="A68" s="2" t="s">
        <v>13</v>
      </c>
      <c r="B68" s="4">
        <v>45992</v>
      </c>
      <c r="C68" s="5">
        <v>0.48402777777777778</v>
      </c>
      <c r="D68" t="s">
        <v>4</v>
      </c>
      <c r="E68" t="s">
        <v>8</v>
      </c>
      <c r="H68" t="s">
        <v>2936</v>
      </c>
      <c r="I68" t="s">
        <v>4927</v>
      </c>
      <c r="J68" t="s">
        <v>2987</v>
      </c>
      <c r="K68" t="s">
        <v>4928</v>
      </c>
      <c r="L68" t="s">
        <v>4929</v>
      </c>
      <c r="M68" s="3" t="str">
        <f>HYPERLINK(склад2въезд13192021222378[[#This Row],[RelativePath]])</f>
        <v>12 Площадка 3 кран\K07156189_20_20251201T113700Z.jpg</v>
      </c>
    </row>
    <row r="69" spans="1:13" x14ac:dyDescent="0.25">
      <c r="A69" s="2" t="s">
        <v>13</v>
      </c>
      <c r="B69" s="4">
        <v>45992</v>
      </c>
      <c r="C69" s="5">
        <v>0.5902546296296296</v>
      </c>
      <c r="D69" t="s">
        <v>4</v>
      </c>
      <c r="E69" t="s">
        <v>8</v>
      </c>
      <c r="H69" t="s">
        <v>2936</v>
      </c>
      <c r="I69" t="s">
        <v>4930</v>
      </c>
      <c r="J69" t="s">
        <v>2987</v>
      </c>
      <c r="K69" t="s">
        <v>4931</v>
      </c>
      <c r="L69" t="s">
        <v>4932</v>
      </c>
      <c r="M69" s="3" t="str">
        <f>HYPERLINK(склад2въезд13192021222378[[#This Row],[RelativePath]])</f>
        <v>12 Площадка 3 кран\K07156189_20_20251201T140958Z.jpg</v>
      </c>
    </row>
    <row r="70" spans="1:13" x14ac:dyDescent="0.25">
      <c r="A70" s="2" t="s">
        <v>13</v>
      </c>
      <c r="B70" s="4">
        <v>45992</v>
      </c>
      <c r="C70" s="5">
        <v>0.64156250000000004</v>
      </c>
      <c r="D70" t="s">
        <v>4</v>
      </c>
      <c r="E70" t="s">
        <v>8</v>
      </c>
      <c r="H70" t="s">
        <v>2936</v>
      </c>
      <c r="I70" t="s">
        <v>4933</v>
      </c>
      <c r="J70" t="s">
        <v>2987</v>
      </c>
      <c r="K70" t="s">
        <v>4934</v>
      </c>
      <c r="L70" t="s">
        <v>4935</v>
      </c>
      <c r="M70" s="3" t="str">
        <f>HYPERLINK(склад2въезд13192021222378[[#This Row],[RelativePath]])</f>
        <v>12 Площадка 3 кран\K07156189_20_20251201T152351Z.jpg</v>
      </c>
    </row>
    <row r="71" spans="1:13" x14ac:dyDescent="0.25">
      <c r="A71" s="2" t="s">
        <v>13</v>
      </c>
      <c r="B71" s="4">
        <v>45992</v>
      </c>
      <c r="C71" s="5">
        <v>0.64270833333333333</v>
      </c>
      <c r="D71" t="s">
        <v>4</v>
      </c>
      <c r="E71" t="s">
        <v>8</v>
      </c>
      <c r="H71" t="s">
        <v>2936</v>
      </c>
      <c r="I71" t="s">
        <v>4936</v>
      </c>
      <c r="J71" t="s">
        <v>2987</v>
      </c>
      <c r="K71" t="s">
        <v>4937</v>
      </c>
      <c r="L71" t="s">
        <v>4938</v>
      </c>
      <c r="M71" s="3" t="str">
        <f>HYPERLINK(склад2въезд13192021222378[[#This Row],[RelativePath]])</f>
        <v>12 Площадка 3 кран\K07156189_20_20251201T152530Z.jpg</v>
      </c>
    </row>
    <row r="72" spans="1:13" x14ac:dyDescent="0.25">
      <c r="A72" s="2" t="s">
        <v>13</v>
      </c>
      <c r="B72" s="4">
        <v>45992</v>
      </c>
      <c r="C72" s="5">
        <v>0.72781249999999997</v>
      </c>
      <c r="D72" t="s">
        <v>4</v>
      </c>
      <c r="E72" t="s">
        <v>8</v>
      </c>
      <c r="H72" t="s">
        <v>2936</v>
      </c>
      <c r="I72" t="s">
        <v>4939</v>
      </c>
      <c r="J72" t="s">
        <v>2987</v>
      </c>
      <c r="K72" t="s">
        <v>4940</v>
      </c>
      <c r="L72" t="s">
        <v>4941</v>
      </c>
      <c r="M72" s="3" t="str">
        <f>HYPERLINK(склад2въезд13192021222378[[#This Row],[RelativePath]])</f>
        <v>12 Площадка 3 кран\K07156189_20_20251201T172803Z.jpg</v>
      </c>
    </row>
    <row r="73" spans="1:13" x14ac:dyDescent="0.25">
      <c r="A73" s="2" t="s">
        <v>14</v>
      </c>
      <c r="B73" s="4">
        <v>45993</v>
      </c>
      <c r="C73" s="5">
        <v>0.51583333333333337</v>
      </c>
      <c r="D73" t="s">
        <v>4</v>
      </c>
      <c r="E73" t="s">
        <v>8</v>
      </c>
      <c r="H73" t="s">
        <v>2936</v>
      </c>
      <c r="I73" t="s">
        <v>4942</v>
      </c>
      <c r="J73" t="s">
        <v>2987</v>
      </c>
      <c r="K73" t="s">
        <v>4943</v>
      </c>
      <c r="L73" t="s">
        <v>4944</v>
      </c>
      <c r="M73" s="3" t="str">
        <f>HYPERLINK(склад2въезд13192021222378[[#This Row],[RelativePath]])</f>
        <v>12 Площадка 3 кран\K07156189_20_20251202T122248Z.jpg</v>
      </c>
    </row>
    <row r="74" spans="1:13" x14ac:dyDescent="0.25">
      <c r="A74" s="2" t="s">
        <v>14</v>
      </c>
      <c r="B74" s="4">
        <v>45993</v>
      </c>
      <c r="C74" s="5">
        <v>0.64215277777777779</v>
      </c>
      <c r="D74" t="s">
        <v>4</v>
      </c>
      <c r="E74" t="s">
        <v>8</v>
      </c>
      <c r="H74" t="s">
        <v>2936</v>
      </c>
      <c r="I74" t="s">
        <v>4945</v>
      </c>
      <c r="J74" t="s">
        <v>2987</v>
      </c>
      <c r="K74" t="s">
        <v>4946</v>
      </c>
      <c r="L74" t="s">
        <v>4947</v>
      </c>
      <c r="M74" s="3" t="str">
        <f>HYPERLINK(склад2въезд13192021222378[[#This Row],[RelativePath]])</f>
        <v>12 Площадка 3 кран\K07156189_20_20251202T152442Z.jpg</v>
      </c>
    </row>
    <row r="75" spans="1:13" x14ac:dyDescent="0.25">
      <c r="A75" s="2" t="s">
        <v>14</v>
      </c>
      <c r="B75" s="4">
        <v>45993</v>
      </c>
      <c r="C75" s="5">
        <v>0.73615740740740743</v>
      </c>
      <c r="D75" t="s">
        <v>4</v>
      </c>
      <c r="E75" t="s">
        <v>8</v>
      </c>
      <c r="H75" t="s">
        <v>2936</v>
      </c>
      <c r="I75" t="s">
        <v>4948</v>
      </c>
      <c r="J75" t="s">
        <v>2987</v>
      </c>
      <c r="K75" t="s">
        <v>4949</v>
      </c>
      <c r="L75" t="s">
        <v>4950</v>
      </c>
      <c r="M75" s="3" t="str">
        <f>HYPERLINK(склад2въезд13192021222378[[#This Row],[RelativePath]])</f>
        <v>12 Площадка 3 кран\K07156189_20_20251202T174004Z.jpg</v>
      </c>
    </row>
    <row r="76" spans="1:13" x14ac:dyDescent="0.25">
      <c r="A76" s="2" t="s">
        <v>15</v>
      </c>
      <c r="B76" s="4">
        <v>45994</v>
      </c>
      <c r="C76" s="5">
        <v>0.39524305555555556</v>
      </c>
      <c r="D76" t="s">
        <v>4</v>
      </c>
      <c r="E76" t="s">
        <v>8</v>
      </c>
      <c r="H76" t="s">
        <v>2936</v>
      </c>
      <c r="I76" t="s">
        <v>4951</v>
      </c>
      <c r="J76" t="s">
        <v>2987</v>
      </c>
      <c r="K76" t="s">
        <v>4952</v>
      </c>
      <c r="L76" t="s">
        <v>4953</v>
      </c>
      <c r="M76" s="3" t="str">
        <f>HYPERLINK(склад2въезд13192021222378[[#This Row],[RelativePath]])</f>
        <v>12 Площадка 3 кран\K07156189_20_20251203T092909Z.jpg</v>
      </c>
    </row>
    <row r="77" spans="1:13" x14ac:dyDescent="0.25">
      <c r="A77" s="2" t="s">
        <v>15</v>
      </c>
      <c r="B77" s="4">
        <v>45994</v>
      </c>
      <c r="C77" s="5">
        <v>0.43937500000000002</v>
      </c>
      <c r="D77" t="s">
        <v>4</v>
      </c>
      <c r="E77" t="s">
        <v>8</v>
      </c>
      <c r="H77" t="s">
        <v>2936</v>
      </c>
      <c r="I77" t="s">
        <v>4954</v>
      </c>
      <c r="J77" t="s">
        <v>2987</v>
      </c>
      <c r="K77" t="s">
        <v>4955</v>
      </c>
      <c r="L77" t="s">
        <v>4956</v>
      </c>
      <c r="M77" s="3" t="str">
        <f>HYPERLINK(склад2въезд13192021222378[[#This Row],[RelativePath]])</f>
        <v>12 Площадка 3 кран\K07156189_20_20251203T103242Z.jpg</v>
      </c>
    </row>
    <row r="78" spans="1:13" x14ac:dyDescent="0.25">
      <c r="A78" s="2" t="s">
        <v>15</v>
      </c>
      <c r="B78" s="4">
        <v>45994</v>
      </c>
      <c r="C78" s="5">
        <v>0.47871527777777778</v>
      </c>
      <c r="D78" t="s">
        <v>4</v>
      </c>
      <c r="E78" t="s">
        <v>8</v>
      </c>
      <c r="H78" t="s">
        <v>2936</v>
      </c>
      <c r="I78" t="s">
        <v>4957</v>
      </c>
      <c r="J78" t="s">
        <v>2987</v>
      </c>
      <c r="K78" t="s">
        <v>4958</v>
      </c>
      <c r="L78" t="s">
        <v>4959</v>
      </c>
      <c r="M78" s="3" t="str">
        <f>HYPERLINK(склад2въезд13192021222378[[#This Row],[RelativePath]])</f>
        <v>12 Площадка 3 кран\K07156189_20_20251203T112921Z.jpg</v>
      </c>
    </row>
    <row r="79" spans="1:13" x14ac:dyDescent="0.25">
      <c r="A79" s="2" t="s">
        <v>15</v>
      </c>
      <c r="B79" s="4">
        <v>45994</v>
      </c>
      <c r="C79" s="5">
        <v>0.53697916666666667</v>
      </c>
      <c r="D79" t="s">
        <v>4</v>
      </c>
      <c r="E79" t="s">
        <v>8</v>
      </c>
      <c r="H79" t="s">
        <v>2936</v>
      </c>
      <c r="I79" t="s">
        <v>4960</v>
      </c>
      <c r="J79" t="s">
        <v>2987</v>
      </c>
      <c r="K79" t="s">
        <v>4961</v>
      </c>
      <c r="L79" t="s">
        <v>4962</v>
      </c>
      <c r="M79" s="3" t="str">
        <f>HYPERLINK(склад2въезд13192021222378[[#This Row],[RelativePath]])</f>
        <v>12 Площадка 3 кран\K07156189_20_20251203T125315Z.jpg</v>
      </c>
    </row>
    <row r="80" spans="1:13" x14ac:dyDescent="0.25">
      <c r="A80" s="2" t="s">
        <v>15</v>
      </c>
      <c r="B80" s="4">
        <v>45994</v>
      </c>
      <c r="C80" s="5">
        <v>0.72813657407407406</v>
      </c>
      <c r="D80" t="s">
        <v>4</v>
      </c>
      <c r="E80" t="s">
        <v>8</v>
      </c>
      <c r="H80" t="s">
        <v>2936</v>
      </c>
      <c r="I80" t="s">
        <v>4963</v>
      </c>
      <c r="J80" t="s">
        <v>2987</v>
      </c>
      <c r="K80" t="s">
        <v>4964</v>
      </c>
      <c r="L80" t="s">
        <v>4965</v>
      </c>
      <c r="M80" s="3" t="str">
        <f>HYPERLINK(склад2въезд13192021222378[[#This Row],[RelativePath]])</f>
        <v>12 Площадка 3 кран\K07156189_20_20251203T172831Z.jpg</v>
      </c>
    </row>
    <row r="81" spans="1:13" x14ac:dyDescent="0.25">
      <c r="A81" s="2" t="s">
        <v>16</v>
      </c>
      <c r="B81" s="4">
        <v>45995</v>
      </c>
      <c r="C81" s="5">
        <v>0.7222453703703704</v>
      </c>
      <c r="D81" t="s">
        <v>4</v>
      </c>
      <c r="E81" t="s">
        <v>8</v>
      </c>
      <c r="H81" t="s">
        <v>2936</v>
      </c>
      <c r="I81" t="s">
        <v>4966</v>
      </c>
      <c r="J81" t="s">
        <v>2987</v>
      </c>
      <c r="K81" t="s">
        <v>4967</v>
      </c>
      <c r="L81" t="s">
        <v>4968</v>
      </c>
      <c r="M81" s="3" t="str">
        <f>HYPERLINK(склад2въезд13192021222378[[#This Row],[RelativePath]])</f>
        <v>12 Площадка 3 кран\K07156189_20_20251204T172002Z.jpg</v>
      </c>
    </row>
    <row r="82" spans="1:13" x14ac:dyDescent="0.25">
      <c r="A82" s="2" t="s">
        <v>17</v>
      </c>
      <c r="B82" s="4">
        <v>45996</v>
      </c>
      <c r="C82" s="5">
        <v>0.59208333333333329</v>
      </c>
      <c r="D82" t="s">
        <v>4</v>
      </c>
      <c r="E82" t="s">
        <v>8</v>
      </c>
      <c r="H82" t="s">
        <v>2936</v>
      </c>
      <c r="I82" t="s">
        <v>4969</v>
      </c>
      <c r="J82" t="s">
        <v>2987</v>
      </c>
      <c r="K82" t="s">
        <v>4970</v>
      </c>
      <c r="L82" t="s">
        <v>4971</v>
      </c>
      <c r="M82" s="3" t="str">
        <f>HYPERLINK(склад2въезд13192021222378[[#This Row],[RelativePath]])</f>
        <v>12 Площадка 3 кран\K07156189_20_20251205T141236Z.jpg</v>
      </c>
    </row>
    <row r="83" spans="1:13" x14ac:dyDescent="0.25">
      <c r="A83" s="2" t="s">
        <v>17</v>
      </c>
      <c r="B83" s="4">
        <v>45996</v>
      </c>
      <c r="C83" s="5">
        <v>0.61332175925925925</v>
      </c>
      <c r="D83" t="s">
        <v>4</v>
      </c>
      <c r="E83" t="s">
        <v>8</v>
      </c>
      <c r="H83" t="s">
        <v>2936</v>
      </c>
      <c r="I83" t="s">
        <v>4972</v>
      </c>
      <c r="J83" t="s">
        <v>2987</v>
      </c>
      <c r="K83" t="s">
        <v>4973</v>
      </c>
      <c r="L83" t="s">
        <v>4974</v>
      </c>
      <c r="M83" s="3" t="str">
        <f>HYPERLINK(склад2въезд13192021222378[[#This Row],[RelativePath]])</f>
        <v>12 Площадка 3 кран\K07156189_20_20251205T144311Z.jpg</v>
      </c>
    </row>
    <row r="84" spans="1:13" x14ac:dyDescent="0.25">
      <c r="A84" s="2" t="s">
        <v>17</v>
      </c>
      <c r="B84" s="4">
        <v>45996</v>
      </c>
      <c r="C84" s="5">
        <v>0.72387731481481477</v>
      </c>
      <c r="D84" t="s">
        <v>4</v>
      </c>
      <c r="E84" t="s">
        <v>8</v>
      </c>
      <c r="H84" t="s">
        <v>2936</v>
      </c>
      <c r="I84" t="s">
        <v>4975</v>
      </c>
      <c r="J84" t="s">
        <v>2987</v>
      </c>
      <c r="K84" t="s">
        <v>4976</v>
      </c>
      <c r="L84" t="s">
        <v>4977</v>
      </c>
      <c r="M84" s="3" t="str">
        <f>HYPERLINK(склад2въезд13192021222378[[#This Row],[RelativePath]])</f>
        <v>12 Площадка 3 кран\K07156189_20_20251205T172223Z.jpg</v>
      </c>
    </row>
    <row r="85" spans="1:13" x14ac:dyDescent="0.25">
      <c r="A85" s="2" t="s">
        <v>18</v>
      </c>
      <c r="B85" s="4">
        <v>45997</v>
      </c>
      <c r="C85" s="5">
        <v>0.65930555555555559</v>
      </c>
      <c r="D85" t="s">
        <v>2004</v>
      </c>
      <c r="E85" t="s">
        <v>8</v>
      </c>
      <c r="I85" t="s">
        <v>4978</v>
      </c>
      <c r="J85" t="s">
        <v>2987</v>
      </c>
      <c r="K85" t="s">
        <v>4979</v>
      </c>
      <c r="L85" t="s">
        <v>4980</v>
      </c>
      <c r="M85" s="3" t="str">
        <f>HYPERLINK(склад2въезд13192021222378[[#This Row],[RelativePath]])</f>
        <v>12 Площадка 3 кран\K07156189_20_20251206T154924Z.jpg</v>
      </c>
    </row>
    <row r="86" spans="1:13" x14ac:dyDescent="0.25">
      <c r="A86" s="2" t="s">
        <v>22</v>
      </c>
      <c r="B86" s="4">
        <v>45998</v>
      </c>
      <c r="C86" s="5">
        <v>0.64473379629629635</v>
      </c>
      <c r="D86" t="s">
        <v>2004</v>
      </c>
      <c r="E86" t="s">
        <v>8</v>
      </c>
      <c r="I86" t="s">
        <v>5217</v>
      </c>
      <c r="J86" t="s">
        <v>2987</v>
      </c>
      <c r="K86" t="s">
        <v>5218</v>
      </c>
      <c r="L86" t="s">
        <v>5219</v>
      </c>
      <c r="M86" s="3" t="str">
        <f>HYPERLINK(склад2въезд13192021222378[[#This Row],[RelativePath]])</f>
        <v>12 Площадка 3 кран\K07156189_20_20251207T152825Z.jpg</v>
      </c>
    </row>
    <row r="87" spans="1:13" x14ac:dyDescent="0.25">
      <c r="A87" s="2" t="s">
        <v>13</v>
      </c>
      <c r="B87" s="4">
        <v>45999</v>
      </c>
      <c r="C87" s="5">
        <v>0.36081018518518521</v>
      </c>
      <c r="D87" t="s">
        <v>4</v>
      </c>
      <c r="E87" t="s">
        <v>5478</v>
      </c>
      <c r="I87" t="s">
        <v>5459</v>
      </c>
      <c r="J87" t="s">
        <v>2987</v>
      </c>
      <c r="K87" t="s">
        <v>5460</v>
      </c>
      <c r="L87" t="s">
        <v>5461</v>
      </c>
      <c r="M87" s="3" t="str">
        <f>HYPERLINK(склад2въезд13192021222378[[#This Row],[RelativePath]])</f>
        <v>12 Площадка 3 кран\K07156189_20_20251208T083934Z.jpg</v>
      </c>
    </row>
    <row r="88" spans="1:13" x14ac:dyDescent="0.25">
      <c r="A88" s="2" t="s">
        <v>13</v>
      </c>
      <c r="B88" s="4">
        <v>45999</v>
      </c>
      <c r="C88" s="5">
        <v>0.43312499999999998</v>
      </c>
      <c r="D88" t="s">
        <v>4</v>
      </c>
      <c r="E88" t="s">
        <v>8</v>
      </c>
      <c r="I88" t="s">
        <v>5462</v>
      </c>
      <c r="J88" t="s">
        <v>2987</v>
      </c>
      <c r="K88" t="s">
        <v>5463</v>
      </c>
      <c r="L88" t="s">
        <v>5464</v>
      </c>
      <c r="M88" s="3" t="str">
        <f>HYPERLINK(склад2въезд13192021222378[[#This Row],[RelativePath]])</f>
        <v>12 Площадка 3 кран\K07156189_20_20251208T102342Z.jpg</v>
      </c>
    </row>
    <row r="89" spans="1:13" x14ac:dyDescent="0.25">
      <c r="A89" s="2" t="s">
        <v>13</v>
      </c>
      <c r="B89" s="4">
        <v>45999</v>
      </c>
      <c r="C89" s="5">
        <v>0.71733796296296293</v>
      </c>
      <c r="D89" t="s">
        <v>4</v>
      </c>
      <c r="E89" t="s">
        <v>5478</v>
      </c>
      <c r="H89" t="s">
        <v>5479</v>
      </c>
      <c r="I89" t="s">
        <v>5465</v>
      </c>
      <c r="J89" t="s">
        <v>2987</v>
      </c>
      <c r="K89" t="s">
        <v>5466</v>
      </c>
      <c r="L89" t="s">
        <v>5467</v>
      </c>
      <c r="M89" s="3" t="str">
        <f>HYPERLINK(склад2въезд13192021222378[[#This Row],[RelativePath]])</f>
        <v>12 Площадка 3 кран\K07156189_20_20251208T171258Z.jpg</v>
      </c>
    </row>
    <row r="90" spans="1:13" x14ac:dyDescent="0.25">
      <c r="A90" s="2" t="s">
        <v>14</v>
      </c>
      <c r="B90" s="4">
        <v>46000</v>
      </c>
      <c r="C90" s="5">
        <v>0.74582175925925931</v>
      </c>
      <c r="D90" t="s">
        <v>2004</v>
      </c>
      <c r="E90" t="s">
        <v>8</v>
      </c>
      <c r="I90" t="s">
        <v>5658</v>
      </c>
      <c r="J90" t="s">
        <v>2987</v>
      </c>
      <c r="K90" t="s">
        <v>5659</v>
      </c>
      <c r="L90" t="s">
        <v>5660</v>
      </c>
      <c r="M90" s="3" t="str">
        <f>HYPERLINK(склад2въезд13192021222378[[#This Row],[RelativePath]])</f>
        <v>12 Площадка 3 кран\K07156189_20_20251209T175359Z.jpg</v>
      </c>
    </row>
    <row r="91" spans="1:13" x14ac:dyDescent="0.25">
      <c r="A91" s="2" t="s">
        <v>15</v>
      </c>
      <c r="B91" s="4">
        <v>46001</v>
      </c>
      <c r="C91" s="5">
        <v>0.66309027777777774</v>
      </c>
      <c r="D91" t="s">
        <v>2004</v>
      </c>
      <c r="E91" t="s">
        <v>8</v>
      </c>
      <c r="I91" t="s">
        <v>5661</v>
      </c>
      <c r="J91" t="s">
        <v>2987</v>
      </c>
      <c r="K91" t="s">
        <v>5662</v>
      </c>
      <c r="L91" t="s">
        <v>5663</v>
      </c>
      <c r="M91" s="3" t="str">
        <f>HYPERLINK(склад2въезд13192021222378[[#This Row],[RelativePath]])</f>
        <v>12 Площадка 3 кран\K07156189_20_20251210T155451Z.jpg</v>
      </c>
    </row>
    <row r="92" spans="1:13" x14ac:dyDescent="0.25">
      <c r="A92" s="2" t="s">
        <v>16</v>
      </c>
      <c r="B92" s="4">
        <v>46002</v>
      </c>
      <c r="C92" s="5">
        <v>0.43224537037037036</v>
      </c>
      <c r="D92" t="s">
        <v>2004</v>
      </c>
      <c r="E92" t="s">
        <v>8</v>
      </c>
      <c r="I92" t="s">
        <v>5664</v>
      </c>
      <c r="J92" t="s">
        <v>2987</v>
      </c>
      <c r="K92" t="s">
        <v>5665</v>
      </c>
      <c r="L92" t="s">
        <v>5666</v>
      </c>
      <c r="M92" s="3" t="str">
        <f>HYPERLINK(склад2въезд13192021222378[[#This Row],[RelativePath]])</f>
        <v>12 Площадка 3 кран\K07156189_20_20251211T102226Z.jpg</v>
      </c>
    </row>
    <row r="93" spans="1:13" x14ac:dyDescent="0.25">
      <c r="A93" s="2" t="s">
        <v>17</v>
      </c>
      <c r="B93" s="4">
        <v>46003</v>
      </c>
      <c r="C93" s="5">
        <v>0.4026851851851852</v>
      </c>
      <c r="D93" t="s">
        <v>4</v>
      </c>
      <c r="E93" t="s">
        <v>8</v>
      </c>
      <c r="I93" t="s">
        <v>6007</v>
      </c>
      <c r="J93" t="s">
        <v>2987</v>
      </c>
      <c r="K93" t="s">
        <v>6008</v>
      </c>
      <c r="L93" t="s">
        <v>6009</v>
      </c>
      <c r="M93" s="3" t="str">
        <f>HYPERLINK(склад2въезд13192021222378[[#This Row],[RelativePath]])</f>
        <v>12 Площадка 3 кран\K07156189_20_20251212T093952Z.jpg</v>
      </c>
    </row>
    <row r="94" spans="1:13" x14ac:dyDescent="0.25">
      <c r="A94" s="2" t="s">
        <v>17</v>
      </c>
      <c r="B94" s="4">
        <v>46003</v>
      </c>
      <c r="C94" s="5">
        <v>0.44226851851851851</v>
      </c>
      <c r="D94" t="s">
        <v>650</v>
      </c>
      <c r="E94" t="s">
        <v>6192</v>
      </c>
      <c r="I94" t="s">
        <v>6010</v>
      </c>
      <c r="J94" t="s">
        <v>2987</v>
      </c>
      <c r="K94" t="s">
        <v>6011</v>
      </c>
      <c r="L94" t="s">
        <v>6012</v>
      </c>
      <c r="M94" s="3" t="str">
        <f>HYPERLINK(склад2въезд13192021222378[[#This Row],[RelativePath]])</f>
        <v>12 Площадка 3 кран\K07156189_20_20251212T103652Z.jpg</v>
      </c>
    </row>
    <row r="95" spans="1:13" x14ac:dyDescent="0.25">
      <c r="A95" s="2" t="s">
        <v>17</v>
      </c>
      <c r="B95" s="4">
        <v>46003</v>
      </c>
      <c r="C95" s="5">
        <v>0.44238425925925928</v>
      </c>
      <c r="D95" t="s">
        <v>650</v>
      </c>
      <c r="E95" t="s">
        <v>6192</v>
      </c>
      <c r="H95" t="s">
        <v>2936</v>
      </c>
      <c r="I95" t="s">
        <v>6013</v>
      </c>
      <c r="J95" t="s">
        <v>2987</v>
      </c>
      <c r="K95" t="s">
        <v>6014</v>
      </c>
      <c r="L95" t="s">
        <v>6015</v>
      </c>
      <c r="M95" s="3" t="str">
        <f>HYPERLINK(склад2въезд13192021222378[[#This Row],[RelativePath]])</f>
        <v>12 Площадка 3 кран\K07156189_20_20251212T103702Z.jpg</v>
      </c>
    </row>
    <row r="96" spans="1:13" x14ac:dyDescent="0.25">
      <c r="A96" s="2" t="s">
        <v>17</v>
      </c>
      <c r="B96" s="4">
        <v>46003</v>
      </c>
      <c r="C96" s="5">
        <v>0.73417824074074078</v>
      </c>
      <c r="D96" t="s">
        <v>4</v>
      </c>
      <c r="E96" t="s">
        <v>8</v>
      </c>
      <c r="I96" t="s">
        <v>6016</v>
      </c>
      <c r="J96" t="s">
        <v>2987</v>
      </c>
      <c r="K96" t="s">
        <v>6017</v>
      </c>
      <c r="L96" t="s">
        <v>6018</v>
      </c>
      <c r="M96" s="3" t="str">
        <f>HYPERLINK(склад2въезд13192021222378[[#This Row],[RelativePath]])</f>
        <v>12 Площадка 3 кран\K07156189_20_20251212T173713Z.jpg</v>
      </c>
    </row>
    <row r="97" spans="1:13" x14ac:dyDescent="0.25">
      <c r="A97" s="2" t="s">
        <v>18</v>
      </c>
      <c r="B97" s="4">
        <v>46004</v>
      </c>
      <c r="C97" s="5">
        <v>0.7330902777777778</v>
      </c>
      <c r="D97" t="s">
        <v>2004</v>
      </c>
      <c r="E97" t="s">
        <v>8</v>
      </c>
      <c r="I97" t="s">
        <v>6019</v>
      </c>
      <c r="J97" t="s">
        <v>2987</v>
      </c>
      <c r="K97" t="s">
        <v>6020</v>
      </c>
      <c r="L97" t="s">
        <v>6021</v>
      </c>
      <c r="M97" s="3" t="str">
        <f>HYPERLINK(склад2въезд13192021222378[[#This Row],[RelativePath]])</f>
        <v>12 Площадка 3 кран\K07156189_20_20251213T173539Z.jpg</v>
      </c>
    </row>
  </sheetData>
  <conditionalFormatting sqref="D98:D108 E98:E111 G2:H97 D2:E97">
    <cfRule type="containsText" dxfId="321" priority="14" operator="containsText" text="Выезд с территории">
      <formula>NOT(ISERROR(SEARCH("Выезд с территории",D2)))</formula>
    </cfRule>
  </conditionalFormatting>
  <conditionalFormatting sqref="F2:F97">
    <cfRule type="notContainsText" dxfId="320" priority="13" operator="notContains" text="порожний">
      <formula>ISERROR(SEARCH("порожний",F2))</formula>
    </cfRule>
  </conditionalFormatting>
  <conditionalFormatting sqref="E2:E111">
    <cfRule type="containsText" dxfId="319" priority="11" operator="containsText" text="Газель базы">
      <formula>NOT(ISERROR(SEARCH("Газель базы",E2)))</formula>
    </cfRule>
    <cfRule type="containsText" dxfId="318" priority="12" operator="containsText" text="Погрузчик базы">
      <formula>NOT(ISERROR(SEARCH("Погрузчик базы",E2)))</formula>
    </cfRule>
  </conditionalFormatting>
  <conditionalFormatting sqref="E2:E111">
    <cfRule type="containsText" dxfId="317" priority="10" operator="containsText" text="Трактор базы">
      <formula>NOT(ISERROR(SEARCH("Трактор базы",E2)))</formula>
    </cfRule>
  </conditionalFormatting>
  <conditionalFormatting sqref="A2:C97">
    <cfRule type="expression" dxfId="316" priority="9">
      <formula>$A2="пн"</formula>
    </cfRule>
  </conditionalFormatting>
  <conditionalFormatting sqref="A2:C99">
    <cfRule type="expression" dxfId="315" priority="3">
      <formula>$A2="вс"</formula>
    </cfRule>
    <cfRule type="expression" dxfId="314" priority="4">
      <formula>$A2="сб"</formula>
    </cfRule>
    <cfRule type="expression" dxfId="313" priority="5">
      <formula>$A2="пт"</formula>
    </cfRule>
    <cfRule type="expression" dxfId="312" priority="6">
      <formula>$A2="чт"</formula>
    </cfRule>
    <cfRule type="expression" dxfId="311" priority="7">
      <formula>$A2="ср"</formula>
    </cfRule>
    <cfRule type="expression" dxfId="310" priority="8">
      <formula>$A2="вт"</formula>
    </cfRule>
  </conditionalFormatting>
  <conditionalFormatting sqref="D2:D108">
    <cfRule type="containsText" dxfId="309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108">
    <cfRule type="containsText" dxfId="308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89CF-3087-42C3-BFAE-D68191921439}">
  <sheetPr>
    <tabColor rgb="FF99FFCC"/>
  </sheetPr>
  <dimension ref="A1:M60"/>
  <sheetViews>
    <sheetView zoomScale="90" zoomScaleNormal="90" workbookViewId="0">
      <pane ySplit="1" topLeftCell="A41" activePane="bottomLeft" state="frozen"/>
      <selection pane="bottomLeft" activeCell="N50" sqref="N50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20.5703125" bestFit="1" customWidth="1"/>
    <col min="5" max="5" width="30.42578125" bestFit="1" customWidth="1"/>
    <col min="6" max="6" width="21.42578125" bestFit="1" customWidth="1"/>
    <col min="7" max="7" width="7.28515625" bestFit="1" customWidth="1"/>
    <col min="8" max="8" width="12.7109375" bestFit="1" customWidth="1"/>
    <col min="9" max="9" width="36.7109375" hidden="1" customWidth="1"/>
    <col min="10" max="10" width="37.140625" hidden="1" customWidth="1"/>
    <col min="11" max="11" width="49.7109375" hidden="1" customWidth="1"/>
    <col min="12" max="12" width="24.5703125" hidden="1" customWidth="1"/>
    <col min="13" max="13" width="49.7109375" bestFit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0.739375</v>
      </c>
      <c r="D2" t="s">
        <v>4</v>
      </c>
      <c r="E2" t="s">
        <v>8</v>
      </c>
      <c r="I2" t="s">
        <v>1937</v>
      </c>
      <c r="J2" t="s">
        <v>2988</v>
      </c>
      <c r="K2" t="s">
        <v>1938</v>
      </c>
      <c r="L2" t="s">
        <v>1939</v>
      </c>
      <c r="M2" s="3" t="str">
        <f>HYPERLINK(склад2въезд131920212223789[[#This Row],[RelativePath]])</f>
        <v>13 Склад хол\K07156189_23_20251110T174442Z.jpg</v>
      </c>
    </row>
    <row r="3" spans="1:13" x14ac:dyDescent="0.25">
      <c r="A3" s="2" t="s">
        <v>13</v>
      </c>
      <c r="B3" s="4">
        <v>45971</v>
      </c>
      <c r="C3" s="5">
        <v>0.74226851851851849</v>
      </c>
      <c r="D3" t="s">
        <v>4</v>
      </c>
      <c r="E3" t="s">
        <v>8</v>
      </c>
      <c r="I3" t="s">
        <v>1940</v>
      </c>
      <c r="J3" t="s">
        <v>2988</v>
      </c>
      <c r="K3" t="s">
        <v>1941</v>
      </c>
      <c r="L3" t="s">
        <v>1942</v>
      </c>
      <c r="M3" s="3" t="str">
        <f>HYPERLINK(склад2въезд131920212223789[[#This Row],[RelativePath]])</f>
        <v>13 Склад хол\K07156189_23_20251110T174852Z.jpg</v>
      </c>
    </row>
    <row r="4" spans="1:13" x14ac:dyDescent="0.25">
      <c r="A4" s="2" t="s">
        <v>13</v>
      </c>
      <c r="B4" s="4">
        <v>45971</v>
      </c>
      <c r="C4" s="5">
        <v>0.75224537037037043</v>
      </c>
      <c r="D4" t="s">
        <v>4</v>
      </c>
      <c r="E4" t="s">
        <v>8</v>
      </c>
      <c r="I4" t="s">
        <v>1943</v>
      </c>
      <c r="J4" t="s">
        <v>2988</v>
      </c>
      <c r="K4" t="s">
        <v>1944</v>
      </c>
      <c r="L4" t="s">
        <v>1945</v>
      </c>
      <c r="M4" s="3" t="str">
        <f>HYPERLINK(склад2въезд131920212223789[[#This Row],[RelativePath]])</f>
        <v>13 Склад хол\K07156189_23_20251110T180314Z.jpg</v>
      </c>
    </row>
    <row r="5" spans="1:13" x14ac:dyDescent="0.25">
      <c r="A5" s="2" t="s">
        <v>14</v>
      </c>
      <c r="B5" s="4">
        <v>45972</v>
      </c>
      <c r="C5" s="5">
        <v>0.68657407407407411</v>
      </c>
      <c r="D5" t="s">
        <v>4</v>
      </c>
      <c r="E5" t="s">
        <v>8</v>
      </c>
      <c r="I5" t="s">
        <v>1946</v>
      </c>
      <c r="J5" t="s">
        <v>2988</v>
      </c>
      <c r="K5" t="s">
        <v>1947</v>
      </c>
      <c r="L5" t="s">
        <v>1948</v>
      </c>
      <c r="M5" s="3" t="str">
        <f>HYPERLINK(склад2въезд131920212223789[[#This Row],[RelativePath]])</f>
        <v>13 Склад хол\K07156189_23_20251111T162840Z.jpg</v>
      </c>
    </row>
    <row r="6" spans="1:13" x14ac:dyDescent="0.25">
      <c r="A6" s="2" t="s">
        <v>14</v>
      </c>
      <c r="B6" s="4">
        <v>45972</v>
      </c>
      <c r="C6" s="5">
        <v>0.73971064814814813</v>
      </c>
      <c r="D6" t="s">
        <v>4</v>
      </c>
      <c r="E6" t="s">
        <v>8</v>
      </c>
      <c r="I6" t="s">
        <v>1949</v>
      </c>
      <c r="J6" t="s">
        <v>2988</v>
      </c>
      <c r="K6" t="s">
        <v>1950</v>
      </c>
      <c r="L6" t="s">
        <v>1951</v>
      </c>
      <c r="M6" s="3" t="str">
        <f>HYPERLINK(склад2въезд131920212223789[[#This Row],[RelativePath]])</f>
        <v>13 Склад хол\K07156189_23_20251111T174511Z.jpg</v>
      </c>
    </row>
    <row r="7" spans="1:13" x14ac:dyDescent="0.25">
      <c r="A7" s="2" t="s">
        <v>15</v>
      </c>
      <c r="B7" s="4">
        <v>45973</v>
      </c>
      <c r="C7" s="5">
        <v>0.52509259259259256</v>
      </c>
      <c r="D7" t="s">
        <v>289</v>
      </c>
      <c r="E7" t="s">
        <v>86</v>
      </c>
      <c r="F7" t="s">
        <v>1998</v>
      </c>
      <c r="I7" t="s">
        <v>1952</v>
      </c>
      <c r="J7" t="s">
        <v>2988</v>
      </c>
      <c r="K7" t="s">
        <v>1953</v>
      </c>
      <c r="L7" t="s">
        <v>1954</v>
      </c>
      <c r="M7" s="3" t="str">
        <f>HYPERLINK(склад2въезд131920212223789[[#This Row],[RelativePath]])</f>
        <v>13 Склад хол\K07156189_23_20251112T123608Z.jpg</v>
      </c>
    </row>
    <row r="8" spans="1:13" x14ac:dyDescent="0.25">
      <c r="A8" s="2" t="s">
        <v>15</v>
      </c>
      <c r="B8" s="4">
        <v>45973</v>
      </c>
      <c r="C8" s="5">
        <v>0.5258680555555556</v>
      </c>
      <c r="D8" t="s">
        <v>1999</v>
      </c>
      <c r="E8" t="s">
        <v>86</v>
      </c>
      <c r="F8" t="s">
        <v>1998</v>
      </c>
      <c r="I8" t="s">
        <v>1955</v>
      </c>
      <c r="J8" t="s">
        <v>2988</v>
      </c>
      <c r="K8" t="s">
        <v>1956</v>
      </c>
      <c r="L8" t="s">
        <v>1957</v>
      </c>
      <c r="M8" s="3" t="str">
        <f>HYPERLINK(склад2въезд131920212223789[[#This Row],[RelativePath]])</f>
        <v>13 Склад хол\K07156189_23_20251112T123715Z.jpg</v>
      </c>
    </row>
    <row r="9" spans="1:13" x14ac:dyDescent="0.25">
      <c r="A9" s="2" t="s">
        <v>15</v>
      </c>
      <c r="B9" s="4">
        <v>45973</v>
      </c>
      <c r="C9" s="5">
        <v>0.52613425925925927</v>
      </c>
      <c r="D9" t="s">
        <v>1999</v>
      </c>
      <c r="E9" t="s">
        <v>86</v>
      </c>
      <c r="F9" t="s">
        <v>1998</v>
      </c>
      <c r="I9" t="s">
        <v>1958</v>
      </c>
      <c r="J9" t="s">
        <v>2988</v>
      </c>
      <c r="K9" t="s">
        <v>1959</v>
      </c>
      <c r="L9" t="s">
        <v>1960</v>
      </c>
      <c r="M9" s="3" t="str">
        <f>HYPERLINK(склад2въезд131920212223789[[#This Row],[RelativePath]])</f>
        <v>13 Склад хол\K07156189_23_20251112T123738Z.jpg</v>
      </c>
    </row>
    <row r="10" spans="1:13" x14ac:dyDescent="0.25">
      <c r="A10" s="2" t="s">
        <v>15</v>
      </c>
      <c r="B10" s="4">
        <v>45973</v>
      </c>
      <c r="C10" s="5">
        <v>0.55349537037037033</v>
      </c>
      <c r="D10" t="s">
        <v>4</v>
      </c>
      <c r="E10" t="s">
        <v>8</v>
      </c>
      <c r="I10" t="s">
        <v>1961</v>
      </c>
      <c r="J10" t="s">
        <v>2988</v>
      </c>
      <c r="K10" t="s">
        <v>1962</v>
      </c>
      <c r="L10" t="s">
        <v>1963</v>
      </c>
      <c r="M10" s="3" t="str">
        <f>HYPERLINK(склад2въезд131920212223789[[#This Row],[RelativePath]])</f>
        <v>13 Склад хол\K07156189_23_20251112T131702Z.jpg</v>
      </c>
    </row>
    <row r="11" spans="1:13" x14ac:dyDescent="0.25">
      <c r="A11" s="2" t="s">
        <v>15</v>
      </c>
      <c r="B11" s="4">
        <v>45973</v>
      </c>
      <c r="C11" s="5">
        <v>0.63070601851851849</v>
      </c>
      <c r="D11" t="s">
        <v>4</v>
      </c>
      <c r="E11" t="s">
        <v>8</v>
      </c>
      <c r="I11" t="s">
        <v>1964</v>
      </c>
      <c r="J11" t="s">
        <v>2988</v>
      </c>
      <c r="K11" t="s">
        <v>1965</v>
      </c>
      <c r="L11" t="s">
        <v>1966</v>
      </c>
      <c r="M11" s="3" t="str">
        <f>HYPERLINK(склад2въезд131920212223789[[#This Row],[RelativePath]])</f>
        <v>13 Склад хол\K07156189_23_20251112T150813Z.jpg</v>
      </c>
    </row>
    <row r="12" spans="1:13" x14ac:dyDescent="0.25">
      <c r="A12" s="2" t="s">
        <v>15</v>
      </c>
      <c r="B12" s="4">
        <v>45973</v>
      </c>
      <c r="C12" s="5">
        <v>0.71609953703703699</v>
      </c>
      <c r="D12" t="s">
        <v>4</v>
      </c>
      <c r="E12" t="s">
        <v>8</v>
      </c>
      <c r="I12" t="s">
        <v>1967</v>
      </c>
      <c r="J12" t="s">
        <v>2988</v>
      </c>
      <c r="K12" t="s">
        <v>1968</v>
      </c>
      <c r="L12" t="s">
        <v>1969</v>
      </c>
      <c r="M12" s="3" t="str">
        <f>HYPERLINK(склад2въезд131920212223789[[#This Row],[RelativePath]])</f>
        <v>13 Склад хол\K07156189_23_20251112T171111Z.jpg</v>
      </c>
    </row>
    <row r="13" spans="1:13" x14ac:dyDescent="0.25">
      <c r="A13" s="2" t="s">
        <v>16</v>
      </c>
      <c r="B13" s="4">
        <v>45974</v>
      </c>
      <c r="C13" s="5">
        <v>0.33946759259259257</v>
      </c>
      <c r="D13" t="s">
        <v>4</v>
      </c>
      <c r="E13" t="s">
        <v>8</v>
      </c>
      <c r="I13" t="s">
        <v>1970</v>
      </c>
      <c r="J13" t="s">
        <v>2988</v>
      </c>
      <c r="K13" t="s">
        <v>1971</v>
      </c>
      <c r="L13" t="s">
        <v>1972</v>
      </c>
      <c r="M13" s="3" t="str">
        <f>HYPERLINK(склад2въезд131920212223789[[#This Row],[RelativePath]])</f>
        <v>13 Склад хол\K07156189_23_20251113T080850Z.jpg</v>
      </c>
    </row>
    <row r="14" spans="1:13" x14ac:dyDescent="0.25">
      <c r="A14" s="2" t="s">
        <v>16</v>
      </c>
      <c r="B14" s="4">
        <v>45974</v>
      </c>
      <c r="C14" s="5">
        <v>0.61024305555555558</v>
      </c>
      <c r="D14" t="s">
        <v>4</v>
      </c>
      <c r="E14" t="s">
        <v>8</v>
      </c>
      <c r="I14" t="s">
        <v>1973</v>
      </c>
      <c r="J14" t="s">
        <v>2988</v>
      </c>
      <c r="K14" t="s">
        <v>1974</v>
      </c>
      <c r="L14" t="s">
        <v>1975</v>
      </c>
      <c r="M14" s="3" t="str">
        <f>HYPERLINK(склад2въезд131920212223789[[#This Row],[RelativePath]])</f>
        <v>13 Склад хол\K07156189_23_20251113T143845Z.jpg</v>
      </c>
    </row>
    <row r="15" spans="1:13" x14ac:dyDescent="0.25">
      <c r="A15" s="2" t="s">
        <v>16</v>
      </c>
      <c r="B15" s="4">
        <v>45974</v>
      </c>
      <c r="C15" s="5">
        <v>0.68388888888888888</v>
      </c>
      <c r="D15" t="s">
        <v>4</v>
      </c>
      <c r="E15" t="s">
        <v>8</v>
      </c>
      <c r="I15" t="s">
        <v>1976</v>
      </c>
      <c r="J15" t="s">
        <v>2988</v>
      </c>
      <c r="K15" t="s">
        <v>1977</v>
      </c>
      <c r="L15" t="s">
        <v>1978</v>
      </c>
      <c r="M15" s="3" t="str">
        <f>HYPERLINK(склад2въезд131920212223789[[#This Row],[RelativePath]])</f>
        <v>13 Склад хол\K07156189_23_20251113T162448Z.jpg</v>
      </c>
    </row>
    <row r="16" spans="1:13" x14ac:dyDescent="0.25">
      <c r="A16" s="2" t="s">
        <v>16</v>
      </c>
      <c r="B16" s="4">
        <v>45974</v>
      </c>
      <c r="C16" s="5">
        <v>0.6840046296296296</v>
      </c>
      <c r="D16" t="s">
        <v>4</v>
      </c>
      <c r="E16" t="s">
        <v>8</v>
      </c>
      <c r="I16" t="s">
        <v>1979</v>
      </c>
      <c r="J16" t="s">
        <v>2988</v>
      </c>
      <c r="K16" t="s">
        <v>1980</v>
      </c>
      <c r="L16" t="s">
        <v>1981</v>
      </c>
      <c r="M16" s="3" t="str">
        <f>HYPERLINK(склад2въезд131920212223789[[#This Row],[RelativePath]])</f>
        <v>13 Склад хол\K07156189_23_20251113T162458Z.jpg</v>
      </c>
    </row>
    <row r="17" spans="1:13" x14ac:dyDescent="0.25">
      <c r="A17" s="2" t="s">
        <v>16</v>
      </c>
      <c r="B17" s="4">
        <v>45974</v>
      </c>
      <c r="C17" s="5">
        <v>0.70981481481481479</v>
      </c>
      <c r="D17" t="s">
        <v>4</v>
      </c>
      <c r="E17" t="s">
        <v>8</v>
      </c>
      <c r="I17" t="s">
        <v>1982</v>
      </c>
      <c r="J17" t="s">
        <v>2988</v>
      </c>
      <c r="K17" t="s">
        <v>1983</v>
      </c>
      <c r="L17" t="s">
        <v>1984</v>
      </c>
      <c r="M17" s="3" t="str">
        <f>HYPERLINK(склад2въезд131920212223789[[#This Row],[RelativePath]])</f>
        <v>13 Склад хол\K07156189_23_20251113T170208Z.jpg</v>
      </c>
    </row>
    <row r="18" spans="1:13" x14ac:dyDescent="0.25">
      <c r="A18" s="2" t="s">
        <v>18</v>
      </c>
      <c r="B18" s="4">
        <v>45976</v>
      </c>
      <c r="C18" s="5">
        <v>0.33344907407407409</v>
      </c>
      <c r="D18" t="s">
        <v>4</v>
      </c>
      <c r="E18" t="s">
        <v>8</v>
      </c>
      <c r="I18" t="s">
        <v>1985</v>
      </c>
      <c r="J18" t="s">
        <v>2988</v>
      </c>
      <c r="K18" t="s">
        <v>1986</v>
      </c>
      <c r="L18" t="s">
        <v>1987</v>
      </c>
      <c r="M18" s="3" t="str">
        <f>HYPERLINK(склад2въезд131920212223789[[#This Row],[RelativePath]])</f>
        <v>13 Склад хол\K07156189_23_20251115T080010Z.jpg</v>
      </c>
    </row>
    <row r="19" spans="1:13" x14ac:dyDescent="0.25">
      <c r="A19" s="2" t="s">
        <v>22</v>
      </c>
      <c r="B19" s="4">
        <v>45977</v>
      </c>
      <c r="C19" s="5">
        <v>0.36115740740740743</v>
      </c>
      <c r="D19" t="s">
        <v>4</v>
      </c>
      <c r="E19" t="s">
        <v>8</v>
      </c>
      <c r="I19" t="s">
        <v>1988</v>
      </c>
      <c r="J19" t="s">
        <v>2988</v>
      </c>
      <c r="K19" t="s">
        <v>1989</v>
      </c>
      <c r="L19" t="s">
        <v>1990</v>
      </c>
      <c r="M19" s="3" t="str">
        <f>HYPERLINK(склад2въезд131920212223789[[#This Row],[RelativePath]])</f>
        <v>13 Склад хол\K07156189_23_20251116T084004Z.jpg</v>
      </c>
    </row>
    <row r="20" spans="1:13" x14ac:dyDescent="0.25">
      <c r="A20" s="2" t="s">
        <v>22</v>
      </c>
      <c r="B20" s="4">
        <v>45977</v>
      </c>
      <c r="C20" s="5">
        <v>0.59530092592592587</v>
      </c>
      <c r="D20" t="s">
        <v>4</v>
      </c>
      <c r="E20" t="s">
        <v>8</v>
      </c>
      <c r="I20" t="s">
        <v>1991</v>
      </c>
      <c r="J20" t="s">
        <v>2988</v>
      </c>
      <c r="K20" t="s">
        <v>1992</v>
      </c>
      <c r="L20" t="s">
        <v>1993</v>
      </c>
      <c r="M20" s="3" t="str">
        <f>HYPERLINK(склад2въезд131920212223789[[#This Row],[RelativePath]])</f>
        <v>13 Склад хол\K07156189_23_20251116T141714Z.jpg</v>
      </c>
    </row>
    <row r="21" spans="1:13" x14ac:dyDescent="0.25">
      <c r="A21" s="2" t="s">
        <v>22</v>
      </c>
      <c r="B21" s="4">
        <v>45977</v>
      </c>
      <c r="C21" s="5">
        <v>0.73813657407407407</v>
      </c>
      <c r="D21" t="s">
        <v>4</v>
      </c>
      <c r="E21" t="s">
        <v>8</v>
      </c>
      <c r="I21" t="s">
        <v>1994</v>
      </c>
      <c r="J21" t="s">
        <v>2988</v>
      </c>
      <c r="K21" t="s">
        <v>1995</v>
      </c>
      <c r="L21" t="s">
        <v>1996</v>
      </c>
      <c r="M21" s="3" t="str">
        <f>HYPERLINK(склад2въезд131920212223789[[#This Row],[RelativePath]])</f>
        <v>13 Склад хол\K07156189_23_20251116T174255Z.jpg</v>
      </c>
    </row>
    <row r="22" spans="1:13" x14ac:dyDescent="0.25">
      <c r="A22" s="2" t="s">
        <v>13</v>
      </c>
      <c r="B22" s="4">
        <v>45978</v>
      </c>
      <c r="C22" s="5">
        <v>0.44651620370370371</v>
      </c>
      <c r="D22" t="s">
        <v>4</v>
      </c>
      <c r="E22" t="s">
        <v>8</v>
      </c>
      <c r="I22" t="s">
        <v>2976</v>
      </c>
      <c r="J22" t="s">
        <v>2988</v>
      </c>
      <c r="K22" t="s">
        <v>2977</v>
      </c>
      <c r="L22" t="s">
        <v>2978</v>
      </c>
      <c r="M22" s="3" t="str">
        <f>HYPERLINK(склад2въезд131920212223789[[#This Row],[RelativePath]])</f>
        <v>13 Склад хол\K07156189_23_20251117T104259Z.jpg</v>
      </c>
    </row>
    <row r="23" spans="1:13" x14ac:dyDescent="0.25">
      <c r="A23" s="2" t="s">
        <v>14</v>
      </c>
      <c r="B23" s="4">
        <v>45979</v>
      </c>
      <c r="C23" s="5">
        <v>0.44321759259259258</v>
      </c>
      <c r="D23" t="s">
        <v>533</v>
      </c>
      <c r="E23" t="s">
        <v>531</v>
      </c>
      <c r="F23" t="s">
        <v>58</v>
      </c>
      <c r="H23" t="s">
        <v>2979</v>
      </c>
      <c r="I23" t="s">
        <v>2896</v>
      </c>
      <c r="J23" t="s">
        <v>2988</v>
      </c>
      <c r="K23" t="s">
        <v>2897</v>
      </c>
      <c r="L23" t="s">
        <v>2898</v>
      </c>
      <c r="M23" s="3" t="str">
        <f>HYPERLINK(склад2въезд131920212223789[[#This Row],[RelativePath]])</f>
        <v>13 Склад хол\K07156189_23_20251118T103814Z.jpg</v>
      </c>
    </row>
    <row r="24" spans="1:13" x14ac:dyDescent="0.25">
      <c r="A24" s="2" t="s">
        <v>14</v>
      </c>
      <c r="B24" s="4">
        <v>45979</v>
      </c>
      <c r="C24" s="5">
        <v>0.4433449074074074</v>
      </c>
      <c r="D24" t="s">
        <v>533</v>
      </c>
      <c r="E24" t="s">
        <v>531</v>
      </c>
      <c r="F24" t="s">
        <v>58</v>
      </c>
      <c r="H24" t="s">
        <v>2979</v>
      </c>
      <c r="I24" t="s">
        <v>2899</v>
      </c>
      <c r="J24" t="s">
        <v>2988</v>
      </c>
      <c r="K24" t="s">
        <v>2900</v>
      </c>
      <c r="L24" t="s">
        <v>2901</v>
      </c>
      <c r="M24" s="3" t="str">
        <f>HYPERLINK(склад2въезд131920212223789[[#This Row],[RelativePath]])</f>
        <v>13 Склад хол\K07156189_23_20251118T103825Z.jpg</v>
      </c>
    </row>
    <row r="25" spans="1:13" x14ac:dyDescent="0.25">
      <c r="A25" s="2" t="s">
        <v>14</v>
      </c>
      <c r="B25" s="4">
        <v>45979</v>
      </c>
      <c r="C25" s="5">
        <v>0.44347222222222221</v>
      </c>
      <c r="D25" t="s">
        <v>533</v>
      </c>
      <c r="E25" t="s">
        <v>531</v>
      </c>
      <c r="F25" t="s">
        <v>58</v>
      </c>
      <c r="H25" t="s">
        <v>2979</v>
      </c>
      <c r="I25" t="s">
        <v>2902</v>
      </c>
      <c r="J25" t="s">
        <v>2988</v>
      </c>
      <c r="K25" t="s">
        <v>2903</v>
      </c>
      <c r="L25" t="s">
        <v>2904</v>
      </c>
      <c r="M25" s="3" t="str">
        <f>HYPERLINK(склад2въезд131920212223789[[#This Row],[RelativePath]])</f>
        <v>13 Склад хол\K07156189_23_20251118T103836Z.jpg</v>
      </c>
    </row>
    <row r="26" spans="1:13" x14ac:dyDescent="0.25">
      <c r="A26" s="2" t="s">
        <v>15</v>
      </c>
      <c r="B26" s="4">
        <v>45980</v>
      </c>
      <c r="C26" s="5">
        <v>0.73203703703703704</v>
      </c>
      <c r="D26" t="s">
        <v>2004</v>
      </c>
      <c r="I26" t="s">
        <v>2905</v>
      </c>
      <c r="J26" t="s">
        <v>2988</v>
      </c>
      <c r="K26" t="s">
        <v>2906</v>
      </c>
      <c r="L26" t="s">
        <v>2907</v>
      </c>
      <c r="M26" s="3" t="str">
        <f>HYPERLINK(склад2въезд131920212223789[[#This Row],[RelativePath]])</f>
        <v>13 Склад хол\K07156189_23_20251119T173408Z.jpg</v>
      </c>
    </row>
    <row r="27" spans="1:13" x14ac:dyDescent="0.25">
      <c r="A27" s="2" t="s">
        <v>16</v>
      </c>
      <c r="B27" s="4">
        <v>45981</v>
      </c>
      <c r="C27" s="5">
        <v>0.67913194444444447</v>
      </c>
      <c r="D27" t="s">
        <v>2004</v>
      </c>
      <c r="I27" t="s">
        <v>2908</v>
      </c>
      <c r="J27" t="s">
        <v>2988</v>
      </c>
      <c r="K27" t="s">
        <v>2909</v>
      </c>
      <c r="L27" t="s">
        <v>2910</v>
      </c>
      <c r="M27" s="3" t="str">
        <f>HYPERLINK(склад2въезд131920212223789[[#This Row],[RelativePath]])</f>
        <v>13 Склад хол\K07156189_23_20251120T161757Z.jpg</v>
      </c>
    </row>
    <row r="28" spans="1:13" x14ac:dyDescent="0.25">
      <c r="A28" s="2" t="s">
        <v>17</v>
      </c>
      <c r="B28" s="4">
        <v>45982</v>
      </c>
      <c r="C28" s="5">
        <v>0.32091435185185185</v>
      </c>
      <c r="D28" t="s">
        <v>2014</v>
      </c>
      <c r="I28" t="s">
        <v>2911</v>
      </c>
      <c r="J28" t="s">
        <v>2988</v>
      </c>
      <c r="K28" t="s">
        <v>2912</v>
      </c>
      <c r="L28" t="s">
        <v>2913</v>
      </c>
      <c r="M28" s="3" t="str">
        <f>HYPERLINK(склад2въезд131920212223789[[#This Row],[RelativePath]])</f>
        <v>13 Склад хол\K07156189_23_20251121T074207Z.jpg</v>
      </c>
    </row>
    <row r="29" spans="1:13" x14ac:dyDescent="0.25">
      <c r="A29" s="2" t="s">
        <v>18</v>
      </c>
      <c r="B29" s="4">
        <v>45983</v>
      </c>
      <c r="C29" s="5">
        <v>0.73343749999999996</v>
      </c>
      <c r="D29" t="s">
        <v>2004</v>
      </c>
      <c r="I29" t="s">
        <v>2914</v>
      </c>
      <c r="J29" t="s">
        <v>2988</v>
      </c>
      <c r="K29" t="s">
        <v>2915</v>
      </c>
      <c r="L29" t="s">
        <v>2916</v>
      </c>
      <c r="M29" s="3" t="str">
        <f>HYPERLINK(склад2въезд131920212223789[[#This Row],[RelativePath]])</f>
        <v>13 Склад хол\K07156189_23_20251122T173609Z.jpg</v>
      </c>
    </row>
    <row r="30" spans="1:13" x14ac:dyDescent="0.25">
      <c r="A30" s="2" t="s">
        <v>22</v>
      </c>
      <c r="B30" s="4">
        <v>45984</v>
      </c>
      <c r="C30" s="5">
        <v>0.71114583333333337</v>
      </c>
      <c r="D30" t="s">
        <v>2004</v>
      </c>
      <c r="I30" t="s">
        <v>2917</v>
      </c>
      <c r="J30" t="s">
        <v>2988</v>
      </c>
      <c r="K30" t="s">
        <v>2918</v>
      </c>
      <c r="L30" t="s">
        <v>2919</v>
      </c>
      <c r="M30" s="3" t="str">
        <f>HYPERLINK(склад2въезд131920212223789[[#This Row],[RelativePath]])</f>
        <v>13 Склад хол\K07156189_23_20251123T170403Z.jpg</v>
      </c>
    </row>
    <row r="31" spans="1:13" x14ac:dyDescent="0.25">
      <c r="A31" s="2" t="s">
        <v>13</v>
      </c>
      <c r="B31" s="4">
        <v>45985</v>
      </c>
      <c r="C31" s="5">
        <v>0.75629629629629624</v>
      </c>
      <c r="D31" t="s">
        <v>2014</v>
      </c>
      <c r="I31" t="s">
        <v>4166</v>
      </c>
      <c r="J31" t="s">
        <v>2988</v>
      </c>
      <c r="K31" t="s">
        <v>4167</v>
      </c>
      <c r="L31" t="s">
        <v>4168</v>
      </c>
      <c r="M31" s="3" t="str">
        <f>HYPERLINK(склад2въезд131920212223789[[#This Row],[RelativePath]])</f>
        <v>13 Склад хол\K07156189_23_20251124T180904Z.jpg</v>
      </c>
    </row>
    <row r="32" spans="1:13" x14ac:dyDescent="0.25">
      <c r="A32" s="2" t="s">
        <v>14</v>
      </c>
      <c r="B32" s="4">
        <v>45986</v>
      </c>
      <c r="C32" s="5">
        <v>0.66408564814814819</v>
      </c>
      <c r="D32" t="s">
        <v>4</v>
      </c>
      <c r="E32" t="s">
        <v>4249</v>
      </c>
      <c r="I32" t="s">
        <v>4169</v>
      </c>
      <c r="J32" t="s">
        <v>2988</v>
      </c>
      <c r="K32" t="s">
        <v>4170</v>
      </c>
      <c r="L32" t="s">
        <v>4171</v>
      </c>
      <c r="M32" s="3" t="str">
        <f>HYPERLINK(склад2въезд131920212223789[[#This Row],[RelativePath]])</f>
        <v>13 Склад хол\K07156189_23_20251125T155617Z.jpg</v>
      </c>
    </row>
    <row r="33" spans="1:13" x14ac:dyDescent="0.25">
      <c r="A33" s="2" t="s">
        <v>15</v>
      </c>
      <c r="B33" s="4">
        <v>45987</v>
      </c>
      <c r="C33" s="5">
        <v>0.37384259259259262</v>
      </c>
      <c r="D33" t="s">
        <v>4</v>
      </c>
      <c r="E33" t="s">
        <v>4250</v>
      </c>
      <c r="I33" t="s">
        <v>4172</v>
      </c>
      <c r="J33" t="s">
        <v>2988</v>
      </c>
      <c r="K33" t="s">
        <v>4173</v>
      </c>
      <c r="L33" t="s">
        <v>4174</v>
      </c>
      <c r="M33" s="3" t="str">
        <f>HYPERLINK(склад2въезд131920212223789[[#This Row],[RelativePath]])</f>
        <v>13 Склад хол\K07156189_23_20251126T085820Z.jpg</v>
      </c>
    </row>
    <row r="34" spans="1:13" x14ac:dyDescent="0.25">
      <c r="A34" s="2" t="s">
        <v>15</v>
      </c>
      <c r="B34" s="4">
        <v>45987</v>
      </c>
      <c r="C34" s="5">
        <v>0.70182870370370365</v>
      </c>
      <c r="D34" t="s">
        <v>4</v>
      </c>
      <c r="E34" t="s">
        <v>4251</v>
      </c>
      <c r="I34" t="s">
        <v>4175</v>
      </c>
      <c r="J34" t="s">
        <v>2988</v>
      </c>
      <c r="K34" t="s">
        <v>4176</v>
      </c>
      <c r="L34" t="s">
        <v>4177</v>
      </c>
      <c r="M34" s="3" t="str">
        <f>HYPERLINK(склад2въезд131920212223789[[#This Row],[RelativePath]])</f>
        <v>13 Склад хол\K07156189_23_20251126T165038Z.jpg</v>
      </c>
    </row>
    <row r="35" spans="1:13" x14ac:dyDescent="0.25">
      <c r="A35" s="2" t="s">
        <v>16</v>
      </c>
      <c r="B35" s="4">
        <v>45988</v>
      </c>
      <c r="C35" s="5">
        <v>0.51792824074074073</v>
      </c>
      <c r="D35" t="s">
        <v>4</v>
      </c>
      <c r="E35" t="s">
        <v>8</v>
      </c>
      <c r="I35" t="s">
        <v>4178</v>
      </c>
      <c r="J35" t="s">
        <v>2988</v>
      </c>
      <c r="K35" t="s">
        <v>4179</v>
      </c>
      <c r="L35" t="s">
        <v>4180</v>
      </c>
      <c r="M35" s="3" t="str">
        <f>HYPERLINK(склад2въезд131920212223789[[#This Row],[RelativePath]])</f>
        <v>13 Склад хол\K07156189_23_20251127T122549Z.jpg</v>
      </c>
    </row>
    <row r="36" spans="1:13" x14ac:dyDescent="0.25">
      <c r="A36" s="2" t="s">
        <v>16</v>
      </c>
      <c r="B36" s="4">
        <v>45988</v>
      </c>
      <c r="C36" s="5">
        <v>0.5554513888888889</v>
      </c>
      <c r="D36" t="s">
        <v>4</v>
      </c>
      <c r="E36" t="s">
        <v>8</v>
      </c>
      <c r="I36" t="s">
        <v>4181</v>
      </c>
      <c r="J36" t="s">
        <v>2988</v>
      </c>
      <c r="K36" t="s">
        <v>4182</v>
      </c>
      <c r="L36" t="s">
        <v>4183</v>
      </c>
      <c r="M36" s="3" t="str">
        <f>HYPERLINK(склад2въезд131920212223789[[#This Row],[RelativePath]])</f>
        <v>13 Склад хол\K07156189_23_20251127T131951Z.jpg</v>
      </c>
    </row>
    <row r="37" spans="1:13" x14ac:dyDescent="0.25">
      <c r="A37" s="2" t="s">
        <v>17</v>
      </c>
      <c r="B37" s="4">
        <v>45989</v>
      </c>
      <c r="C37" s="5">
        <v>0.40784722222222225</v>
      </c>
      <c r="D37" t="s">
        <v>4212</v>
      </c>
      <c r="I37" t="s">
        <v>4187</v>
      </c>
      <c r="J37" t="s">
        <v>2988</v>
      </c>
      <c r="K37" t="s">
        <v>4188</v>
      </c>
      <c r="L37" t="s">
        <v>4189</v>
      </c>
      <c r="M37" s="3" t="str">
        <f>HYPERLINK(склад2въезд131920212223789[[#This Row],[RelativePath]])</f>
        <v>13 Склад хол\K07156189_23_20251128T094718Z.jpg</v>
      </c>
    </row>
    <row r="38" spans="1:13" x14ac:dyDescent="0.25">
      <c r="A38" s="2" t="s">
        <v>18</v>
      </c>
      <c r="B38" s="4">
        <v>45990</v>
      </c>
      <c r="C38" s="5">
        <v>0.40784722222222225</v>
      </c>
      <c r="D38" t="s">
        <v>2004</v>
      </c>
      <c r="I38" t="s">
        <v>4184</v>
      </c>
      <c r="J38" t="s">
        <v>2988</v>
      </c>
      <c r="K38" t="s">
        <v>4185</v>
      </c>
      <c r="L38" t="s">
        <v>4186</v>
      </c>
      <c r="M38" s="3" t="str">
        <f>HYPERLINK(склад2въезд131920212223789[[#This Row],[RelativePath]])</f>
        <v>13 Склад хол\K07156189_23_20251129T094718Z.jpg</v>
      </c>
    </row>
    <row r="39" spans="1:13" x14ac:dyDescent="0.25">
      <c r="A39" s="2" t="s">
        <v>22</v>
      </c>
      <c r="B39" s="4">
        <v>45991</v>
      </c>
      <c r="C39" s="5">
        <v>0.40784722222222225</v>
      </c>
      <c r="D39" t="s">
        <v>4298</v>
      </c>
      <c r="I39" t="s">
        <v>4294</v>
      </c>
      <c r="J39" t="s">
        <v>2988</v>
      </c>
      <c r="K39" t="s">
        <v>4295</v>
      </c>
      <c r="L39" t="s">
        <v>4296</v>
      </c>
      <c r="M39" s="3" t="str">
        <f>HYPERLINK(склад2въезд131920212223789[[#This Row],[RelativePath]])</f>
        <v>13 Склад хол\K07156189_23_20251130T094718Z.jpg</v>
      </c>
    </row>
    <row r="40" spans="1:13" x14ac:dyDescent="0.25">
      <c r="A40" s="2" t="s">
        <v>13</v>
      </c>
      <c r="B40" s="4">
        <v>45992</v>
      </c>
      <c r="C40" s="5">
        <v>0.73030092592592588</v>
      </c>
      <c r="D40" t="s">
        <v>2014</v>
      </c>
      <c r="I40" t="s">
        <v>4981</v>
      </c>
      <c r="J40" t="s">
        <v>2988</v>
      </c>
      <c r="K40" t="s">
        <v>4982</v>
      </c>
      <c r="L40" t="s">
        <v>4983</v>
      </c>
      <c r="M40" s="3" t="str">
        <f>HYPERLINK(склад2въезд131920212223789[[#This Row],[RelativePath]])</f>
        <v>13 Склад хол\K07156189_23_20251201T173138Z.jpg</v>
      </c>
    </row>
    <row r="41" spans="1:13" x14ac:dyDescent="0.25">
      <c r="A41" s="2" t="s">
        <v>14</v>
      </c>
      <c r="B41" s="4">
        <v>45993</v>
      </c>
      <c r="C41" s="5">
        <v>0.35978009259259258</v>
      </c>
      <c r="D41" t="s">
        <v>2014</v>
      </c>
      <c r="I41" t="s">
        <v>4984</v>
      </c>
      <c r="J41" t="s">
        <v>2988</v>
      </c>
      <c r="K41" t="s">
        <v>4985</v>
      </c>
      <c r="L41" t="s">
        <v>4986</v>
      </c>
      <c r="M41" s="3" t="str">
        <f>HYPERLINK(склад2въезд131920212223789[[#This Row],[RelativePath]])</f>
        <v>13 Склад хол\K07156189_23_20251202T083805Z.jpg</v>
      </c>
    </row>
    <row r="42" spans="1:13" x14ac:dyDescent="0.25">
      <c r="A42" s="2" t="s">
        <v>15</v>
      </c>
      <c r="B42" s="4">
        <v>45994</v>
      </c>
      <c r="C42" s="5">
        <v>0.74916666666666665</v>
      </c>
      <c r="D42" t="s">
        <v>2014</v>
      </c>
      <c r="I42" t="s">
        <v>4987</v>
      </c>
      <c r="J42" t="s">
        <v>2988</v>
      </c>
      <c r="K42" t="s">
        <v>4988</v>
      </c>
      <c r="L42" t="s">
        <v>4989</v>
      </c>
      <c r="M42" s="3" t="str">
        <f>HYPERLINK(склад2въезд131920212223789[[#This Row],[RelativePath]])</f>
        <v>13 Склад хол\K07156189_23_20251203T175848Z.jpg</v>
      </c>
    </row>
    <row r="43" spans="1:13" x14ac:dyDescent="0.25">
      <c r="A43" s="2" t="s">
        <v>16</v>
      </c>
      <c r="B43" s="4">
        <v>45995</v>
      </c>
      <c r="C43" s="5">
        <v>0.73273148148148148</v>
      </c>
      <c r="D43" t="s">
        <v>2014</v>
      </c>
      <c r="I43" t="s">
        <v>4990</v>
      </c>
      <c r="J43" t="s">
        <v>2988</v>
      </c>
      <c r="K43" t="s">
        <v>4991</v>
      </c>
      <c r="L43" t="s">
        <v>4992</v>
      </c>
      <c r="M43" s="3" t="str">
        <f>HYPERLINK(склад2въезд131920212223789[[#This Row],[RelativePath]])</f>
        <v>13 Склад хол\K07156189_23_20251204T173508Z.jpg</v>
      </c>
    </row>
    <row r="44" spans="1:13" x14ac:dyDescent="0.25">
      <c r="A44" s="2" t="s">
        <v>17</v>
      </c>
      <c r="B44" s="4">
        <v>45996</v>
      </c>
      <c r="C44" s="5">
        <v>0.73859953703703707</v>
      </c>
      <c r="D44" t="s">
        <v>2014</v>
      </c>
      <c r="I44" t="s">
        <v>4993</v>
      </c>
      <c r="J44" t="s">
        <v>2988</v>
      </c>
      <c r="K44" t="s">
        <v>4994</v>
      </c>
      <c r="L44" t="s">
        <v>4995</v>
      </c>
      <c r="M44" s="3" t="str">
        <f>HYPERLINK(склад2въезд131920212223789[[#This Row],[RelativePath]])</f>
        <v>13 Склад хол\K07156189_23_20251205T174335Z.jpg</v>
      </c>
    </row>
    <row r="45" spans="1:13" x14ac:dyDescent="0.25">
      <c r="A45" s="2" t="s">
        <v>18</v>
      </c>
      <c r="B45" s="4">
        <v>45997</v>
      </c>
      <c r="C45" s="5">
        <v>0.75876157407407407</v>
      </c>
      <c r="D45" t="s">
        <v>2014</v>
      </c>
      <c r="I45" t="s">
        <v>4996</v>
      </c>
      <c r="J45" t="s">
        <v>2988</v>
      </c>
      <c r="K45" t="s">
        <v>4997</v>
      </c>
      <c r="L45" t="s">
        <v>4998</v>
      </c>
      <c r="M45" s="3" t="str">
        <f>HYPERLINK(склад2въезд131920212223789[[#This Row],[RelativePath]])</f>
        <v>13 Склад хол\K07156189_23_20251206T181237Z.jpg</v>
      </c>
    </row>
    <row r="46" spans="1:13" x14ac:dyDescent="0.25">
      <c r="A46" s="2" t="s">
        <v>22</v>
      </c>
      <c r="B46" s="4">
        <v>45998</v>
      </c>
      <c r="C46" s="5">
        <v>0.58021990740740736</v>
      </c>
      <c r="D46" t="s">
        <v>4</v>
      </c>
      <c r="E46" t="s">
        <v>5266</v>
      </c>
      <c r="I46" t="s">
        <v>5220</v>
      </c>
      <c r="J46" t="s">
        <v>2988</v>
      </c>
      <c r="K46" t="s">
        <v>5221</v>
      </c>
      <c r="L46" t="s">
        <v>5222</v>
      </c>
      <c r="M46" s="3" t="str">
        <f>HYPERLINK(склад2въезд131920212223789[[#This Row],[RelativePath]])</f>
        <v>13 Склад хол\K07156189_23_20251207T135531Z.jpg</v>
      </c>
    </row>
    <row r="47" spans="1:13" x14ac:dyDescent="0.25">
      <c r="A47" s="2" t="s">
        <v>22</v>
      </c>
      <c r="B47" s="4">
        <v>45998</v>
      </c>
      <c r="C47" s="5">
        <v>0.68665509259259261</v>
      </c>
      <c r="D47" t="s">
        <v>4</v>
      </c>
      <c r="E47" t="s">
        <v>5267</v>
      </c>
      <c r="I47" t="s">
        <v>5223</v>
      </c>
      <c r="J47" t="s">
        <v>2988</v>
      </c>
      <c r="K47" t="s">
        <v>5224</v>
      </c>
      <c r="L47" t="s">
        <v>5225</v>
      </c>
      <c r="M47" s="3" t="str">
        <f>HYPERLINK(склад2въезд131920212223789[[#This Row],[RelativePath]])</f>
        <v>13 Склад хол\K07156189_23_20251207T162847Z.jpg</v>
      </c>
    </row>
    <row r="48" spans="1:13" x14ac:dyDescent="0.25">
      <c r="A48" s="2" t="s">
        <v>13</v>
      </c>
      <c r="B48" s="4">
        <v>45999</v>
      </c>
      <c r="C48" s="5">
        <v>0.38511574074074073</v>
      </c>
      <c r="D48" t="s">
        <v>159</v>
      </c>
      <c r="E48" t="s">
        <v>5480</v>
      </c>
      <c r="F48" t="s">
        <v>4240</v>
      </c>
      <c r="I48" t="s">
        <v>5468</v>
      </c>
      <c r="J48" t="s">
        <v>2988</v>
      </c>
      <c r="K48" t="s">
        <v>5469</v>
      </c>
      <c r="L48" t="s">
        <v>5470</v>
      </c>
      <c r="M48" s="3" t="str">
        <f>HYPERLINK(склад2въезд131920212223789[[#This Row],[RelativePath]])</f>
        <v>13 Склад хол\K07156189_23_20251208T091434Z.jpg</v>
      </c>
    </row>
    <row r="49" spans="1:13" x14ac:dyDescent="0.25">
      <c r="A49" s="2" t="s">
        <v>13</v>
      </c>
      <c r="B49" s="4">
        <v>45999</v>
      </c>
      <c r="C49" s="5">
        <v>0.71109953703703699</v>
      </c>
      <c r="D49" t="s">
        <v>4</v>
      </c>
      <c r="E49" t="s">
        <v>8</v>
      </c>
      <c r="I49" t="s">
        <v>5471</v>
      </c>
      <c r="J49" t="s">
        <v>2988</v>
      </c>
      <c r="K49" t="s">
        <v>5472</v>
      </c>
      <c r="L49" t="s">
        <v>5473</v>
      </c>
      <c r="M49" s="3" t="str">
        <f>HYPERLINK(склад2въезд131920212223789[[#This Row],[RelativePath]])</f>
        <v>13 Склад хол\K07156189_23_20251208T170359Z.jpg</v>
      </c>
    </row>
    <row r="50" spans="1:13" x14ac:dyDescent="0.25">
      <c r="A50" s="2" t="s">
        <v>14</v>
      </c>
      <c r="B50" s="4">
        <v>46000</v>
      </c>
      <c r="C50" s="5">
        <v>0.4255902777777778</v>
      </c>
      <c r="D50" t="s">
        <v>6193</v>
      </c>
      <c r="E50" t="s">
        <v>5480</v>
      </c>
      <c r="F50" t="s">
        <v>6184</v>
      </c>
      <c r="I50" t="s">
        <v>5667</v>
      </c>
      <c r="J50" t="s">
        <v>2988</v>
      </c>
      <c r="K50" t="s">
        <v>5668</v>
      </c>
      <c r="L50" t="s">
        <v>5669</v>
      </c>
      <c r="M50" s="3" t="str">
        <f>HYPERLINK(склад2въезд131920212223789[[#This Row],[RelativePath]])</f>
        <v>13 Склад хол\K07156189_23_20251209T101251Z.jpg</v>
      </c>
    </row>
    <row r="51" spans="1:13" x14ac:dyDescent="0.25">
      <c r="A51" s="2" t="s">
        <v>14</v>
      </c>
      <c r="B51" s="4">
        <v>46000</v>
      </c>
      <c r="C51" s="5">
        <v>0.42586805555555557</v>
      </c>
      <c r="D51" t="s">
        <v>6193</v>
      </c>
      <c r="E51" t="s">
        <v>5480</v>
      </c>
      <c r="F51" t="s">
        <v>6184</v>
      </c>
      <c r="H51" t="s">
        <v>2936</v>
      </c>
      <c r="I51" t="s">
        <v>5670</v>
      </c>
      <c r="J51" t="s">
        <v>2988</v>
      </c>
      <c r="K51" t="s">
        <v>5671</v>
      </c>
      <c r="L51" t="s">
        <v>5672</v>
      </c>
      <c r="M51" s="3" t="str">
        <f>HYPERLINK(склад2въезд131920212223789[[#This Row],[RelativePath]])</f>
        <v>13 Склад хол\K07156189_23_20251209T101315Z.jpg</v>
      </c>
    </row>
    <row r="52" spans="1:13" x14ac:dyDescent="0.25">
      <c r="A52" s="2" t="s">
        <v>14</v>
      </c>
      <c r="B52" s="4">
        <v>46000</v>
      </c>
      <c r="C52" s="5">
        <v>0.65454861111111107</v>
      </c>
      <c r="D52" t="s">
        <v>4</v>
      </c>
      <c r="E52" t="s">
        <v>8</v>
      </c>
      <c r="I52" t="s">
        <v>5673</v>
      </c>
      <c r="J52" t="s">
        <v>2988</v>
      </c>
      <c r="K52" t="s">
        <v>5674</v>
      </c>
      <c r="L52" t="s">
        <v>5675</v>
      </c>
      <c r="M52" s="3" t="str">
        <f>HYPERLINK(склад2въезд131920212223789[[#This Row],[RelativePath]])</f>
        <v>13 Склад хол\K07156189_23_20251209T154233Z.jpg</v>
      </c>
    </row>
    <row r="53" spans="1:13" x14ac:dyDescent="0.25">
      <c r="A53" s="2" t="s">
        <v>15</v>
      </c>
      <c r="B53" s="4">
        <v>46001</v>
      </c>
      <c r="C53" s="5">
        <v>0.50247685185185187</v>
      </c>
      <c r="D53" t="s">
        <v>4</v>
      </c>
      <c r="E53" t="s">
        <v>8</v>
      </c>
      <c r="I53" t="s">
        <v>5676</v>
      </c>
      <c r="J53" t="s">
        <v>2988</v>
      </c>
      <c r="K53" t="s">
        <v>5677</v>
      </c>
      <c r="L53" t="s">
        <v>5678</v>
      </c>
      <c r="M53" s="3" t="str">
        <f>HYPERLINK(склад2въезд131920212223789[[#This Row],[RelativePath]])</f>
        <v>13 Склад хол\K07156189_23_20251210T120334Z.jpg</v>
      </c>
    </row>
    <row r="54" spans="1:13" x14ac:dyDescent="0.25">
      <c r="A54" s="2" t="s">
        <v>15</v>
      </c>
      <c r="B54" s="4">
        <v>46001</v>
      </c>
      <c r="C54" s="5">
        <v>0.50800925925925922</v>
      </c>
      <c r="D54" t="s">
        <v>4</v>
      </c>
      <c r="E54" t="s">
        <v>8</v>
      </c>
      <c r="I54" t="s">
        <v>5679</v>
      </c>
      <c r="J54" t="s">
        <v>2988</v>
      </c>
      <c r="K54" t="s">
        <v>5680</v>
      </c>
      <c r="L54" t="s">
        <v>5681</v>
      </c>
      <c r="M54" s="3" t="str">
        <f>HYPERLINK(склад2въезд131920212223789[[#This Row],[RelativePath]])</f>
        <v>13 Склад хол\K07156189_23_20251210T121132Z.jpg</v>
      </c>
    </row>
    <row r="55" spans="1:13" x14ac:dyDescent="0.25">
      <c r="A55" s="2" t="s">
        <v>16</v>
      </c>
      <c r="B55" s="4">
        <v>46002</v>
      </c>
      <c r="C55" s="5">
        <v>0.86337962962962966</v>
      </c>
      <c r="D55" t="s">
        <v>2014</v>
      </c>
      <c r="I55" t="s">
        <v>5682</v>
      </c>
      <c r="J55" t="s">
        <v>2988</v>
      </c>
      <c r="K55" t="s">
        <v>5683</v>
      </c>
      <c r="L55" t="s">
        <v>5684</v>
      </c>
      <c r="M55" s="3" t="str">
        <f>HYPERLINK(склад2въезд131920212223789[[#This Row],[RelativePath]])</f>
        <v>13 Склад хол\K07156189_23_20251211T204316Z.jpg</v>
      </c>
    </row>
    <row r="56" spans="1:13" x14ac:dyDescent="0.25">
      <c r="A56" s="2" t="s">
        <v>17</v>
      </c>
      <c r="B56" s="4">
        <v>46003</v>
      </c>
      <c r="C56" s="5">
        <v>0.42656250000000001</v>
      </c>
      <c r="D56" t="s">
        <v>6193</v>
      </c>
      <c r="E56" t="s">
        <v>5480</v>
      </c>
      <c r="F56" t="s">
        <v>6174</v>
      </c>
      <c r="I56" t="s">
        <v>5992</v>
      </c>
      <c r="J56" t="s">
        <v>2988</v>
      </c>
      <c r="K56" t="s">
        <v>5993</v>
      </c>
      <c r="L56" t="s">
        <v>5994</v>
      </c>
      <c r="M56" s="3" t="str">
        <f>HYPERLINK(склад2въезд131920212223789[[#This Row],[RelativePath]])</f>
        <v>13 Склад хол\K07156189_23_20251212T101415Z.jpg</v>
      </c>
    </row>
    <row r="57" spans="1:13" x14ac:dyDescent="0.25">
      <c r="A57" s="2" t="s">
        <v>17</v>
      </c>
      <c r="B57" s="4">
        <v>46003</v>
      </c>
      <c r="C57" s="5">
        <v>0.47609953703703706</v>
      </c>
      <c r="D57" t="s">
        <v>4</v>
      </c>
      <c r="E57" t="s">
        <v>8</v>
      </c>
      <c r="I57" t="s">
        <v>5995</v>
      </c>
      <c r="J57" t="s">
        <v>2988</v>
      </c>
      <c r="K57" t="s">
        <v>5996</v>
      </c>
      <c r="L57" t="s">
        <v>5997</v>
      </c>
      <c r="M57" s="3" t="str">
        <f>HYPERLINK(склад2въезд131920212223789[[#This Row],[RelativePath]])</f>
        <v>13 Склад хол\K07156189_23_20251212T112535Z.jpg</v>
      </c>
    </row>
    <row r="58" spans="1:13" x14ac:dyDescent="0.25">
      <c r="A58" s="2" t="s">
        <v>17</v>
      </c>
      <c r="B58" s="4">
        <v>46003</v>
      </c>
      <c r="C58" s="5">
        <v>0.48775462962962962</v>
      </c>
      <c r="D58" t="s">
        <v>4</v>
      </c>
      <c r="E58" t="s">
        <v>8</v>
      </c>
      <c r="I58" t="s">
        <v>5998</v>
      </c>
      <c r="J58" t="s">
        <v>2988</v>
      </c>
      <c r="K58" t="s">
        <v>5999</v>
      </c>
      <c r="L58" t="s">
        <v>6000</v>
      </c>
      <c r="M58" s="3" t="str">
        <f>HYPERLINK(склад2въезд131920212223789[[#This Row],[RelativePath]])</f>
        <v>13 Склад хол\K07156189_23_20251212T114222Z.jpg</v>
      </c>
    </row>
    <row r="59" spans="1:13" x14ac:dyDescent="0.25">
      <c r="A59" s="2" t="s">
        <v>18</v>
      </c>
      <c r="B59" s="4">
        <v>46004</v>
      </c>
      <c r="C59" s="5">
        <v>0.55222222222222217</v>
      </c>
      <c r="D59" t="s">
        <v>4</v>
      </c>
      <c r="E59" t="s">
        <v>6169</v>
      </c>
      <c r="I59" t="s">
        <v>6001</v>
      </c>
      <c r="J59" t="s">
        <v>2988</v>
      </c>
      <c r="K59" t="s">
        <v>6002</v>
      </c>
      <c r="L59" t="s">
        <v>6003</v>
      </c>
      <c r="M59" s="3" t="str">
        <f>HYPERLINK(склад2въезд131920212223789[[#This Row],[RelativePath]])</f>
        <v>13 Склад хол\K07156189_23_20251213T131512Z.jpg</v>
      </c>
    </row>
    <row r="60" spans="1:13" x14ac:dyDescent="0.25">
      <c r="A60" s="2" t="s">
        <v>18</v>
      </c>
      <c r="B60" s="4">
        <v>46004</v>
      </c>
      <c r="C60" s="5">
        <v>0.58324074074074073</v>
      </c>
      <c r="D60" t="s">
        <v>4</v>
      </c>
      <c r="E60" t="s">
        <v>8</v>
      </c>
      <c r="I60" t="s">
        <v>6004</v>
      </c>
      <c r="J60" t="s">
        <v>2988</v>
      </c>
      <c r="K60" t="s">
        <v>6005</v>
      </c>
      <c r="L60" t="s">
        <v>6006</v>
      </c>
      <c r="M60" s="3" t="str">
        <f>HYPERLINK(склад2въезд131920212223789[[#This Row],[RelativePath]])</f>
        <v>13 Склад хол\K07156189_23_20251213T135952Z.jpg</v>
      </c>
    </row>
  </sheetData>
  <conditionalFormatting sqref="D61:D71 E61:E74 G2:H60 D2:E60">
    <cfRule type="containsText" dxfId="297" priority="14" operator="containsText" text="Выезд с территории">
      <formula>NOT(ISERROR(SEARCH("Выезд с территории",D2)))</formula>
    </cfRule>
  </conditionalFormatting>
  <conditionalFormatting sqref="F2:F60">
    <cfRule type="notContainsText" dxfId="296" priority="13" operator="notContains" text="порожний">
      <formula>ISERROR(SEARCH("порожний",F2))</formula>
    </cfRule>
  </conditionalFormatting>
  <conditionalFormatting sqref="E2:E74">
    <cfRule type="containsText" dxfId="295" priority="11" operator="containsText" text="Газель базы">
      <formula>NOT(ISERROR(SEARCH("Газель базы",E2)))</formula>
    </cfRule>
    <cfRule type="containsText" dxfId="294" priority="12" operator="containsText" text="Погрузчик базы">
      <formula>NOT(ISERROR(SEARCH("Погрузчик базы",E2)))</formula>
    </cfRule>
  </conditionalFormatting>
  <conditionalFormatting sqref="E2:E74">
    <cfRule type="containsText" dxfId="293" priority="10" operator="containsText" text="Трактор базы">
      <formula>NOT(ISERROR(SEARCH("Трактор базы",E2)))</formula>
    </cfRule>
  </conditionalFormatting>
  <conditionalFormatting sqref="A2:C60">
    <cfRule type="expression" dxfId="292" priority="9">
      <formula>$A2="пн"</formula>
    </cfRule>
  </conditionalFormatting>
  <conditionalFormatting sqref="A2:C62">
    <cfRule type="expression" dxfId="291" priority="3">
      <formula>$A2="вс"</formula>
    </cfRule>
    <cfRule type="expression" dxfId="290" priority="4">
      <formula>$A2="сб"</formula>
    </cfRule>
    <cfRule type="expression" dxfId="289" priority="5">
      <formula>$A2="пт"</formula>
    </cfRule>
    <cfRule type="expression" dxfId="288" priority="6">
      <formula>$A2="чт"</formula>
    </cfRule>
    <cfRule type="expression" dxfId="287" priority="7">
      <formula>$A2="ср"</formula>
    </cfRule>
    <cfRule type="expression" dxfId="286" priority="8">
      <formula>$A2="вт"</formula>
    </cfRule>
  </conditionalFormatting>
  <conditionalFormatting sqref="D2:D71">
    <cfRule type="containsText" dxfId="285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71">
    <cfRule type="containsText" dxfId="284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B93E-2A3D-4CC0-9032-7C4C2D61382E}">
  <sheetPr>
    <tabColor rgb="FFFF0000"/>
  </sheetPr>
  <dimension ref="A1:M170"/>
  <sheetViews>
    <sheetView topLeftCell="A148" zoomScale="80" zoomScaleNormal="80" workbookViewId="0">
      <selection activeCell="F174" sqref="F174"/>
    </sheetView>
  </sheetViews>
  <sheetFormatPr defaultRowHeight="15" x14ac:dyDescent="0.25"/>
  <cols>
    <col min="1" max="1" width="13" bestFit="1" customWidth="1"/>
    <col min="2" max="2" width="11.42578125" style="4" bestFit="1" customWidth="1"/>
    <col min="3" max="3" width="10.140625" style="6" bestFit="1" customWidth="1"/>
    <col min="4" max="4" width="15" style="2" bestFit="1" customWidth="1"/>
    <col min="5" max="5" width="41.5703125" bestFit="1" customWidth="1"/>
    <col min="6" max="6" width="22.85546875" bestFit="1" customWidth="1"/>
    <col min="7" max="7" width="10.28515625" bestFit="1" customWidth="1"/>
    <col min="8" max="8" width="27" bestFit="1" customWidth="1"/>
    <col min="9" max="9" width="40" hidden="1" customWidth="1"/>
    <col min="10" max="10" width="61.42578125" hidden="1" customWidth="1"/>
    <col min="11" max="11" width="58.85546875" hidden="1" customWidth="1"/>
    <col min="12" max="12" width="23.28515625" hidden="1" customWidth="1"/>
    <col min="13" max="13" width="62.7109375" bestFit="1" customWidth="1"/>
  </cols>
  <sheetData>
    <row r="1" spans="1:13" x14ac:dyDescent="0.25">
      <c r="A1" t="s">
        <v>61</v>
      </c>
      <c r="B1" s="4" t="s">
        <v>0</v>
      </c>
      <c r="C1" s="6" t="s">
        <v>1</v>
      </c>
      <c r="D1" s="2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t="s">
        <v>13</v>
      </c>
      <c r="B2" s="4">
        <v>45971</v>
      </c>
      <c r="C2" s="6">
        <v>0.51554398148148151</v>
      </c>
      <c r="D2" s="2" t="s">
        <v>466</v>
      </c>
      <c r="E2" t="s">
        <v>56</v>
      </c>
      <c r="F2" t="s">
        <v>53</v>
      </c>
      <c r="G2">
        <v>3</v>
      </c>
      <c r="I2" t="s">
        <v>1398</v>
      </c>
      <c r="J2" t="s">
        <v>1308</v>
      </c>
      <c r="K2" t="s">
        <v>1399</v>
      </c>
      <c r="L2" t="s">
        <v>1400</v>
      </c>
      <c r="M2" s="3" t="str">
        <f>HYPERLINK(Таблица3[[#This Row],[RelativePath]])</f>
        <v>10 Сушилка навес\E33149364_3_20251110T122223Z.jpg</v>
      </c>
    </row>
    <row r="3" spans="1:13" x14ac:dyDescent="0.25">
      <c r="A3" t="s">
        <v>14</v>
      </c>
      <c r="B3" s="4">
        <v>45972</v>
      </c>
      <c r="C3" s="6">
        <v>0.43606481481481479</v>
      </c>
      <c r="D3" s="2" t="s">
        <v>466</v>
      </c>
      <c r="E3" t="s">
        <v>67</v>
      </c>
      <c r="F3" t="s">
        <v>469</v>
      </c>
      <c r="H3" t="s">
        <v>470</v>
      </c>
      <c r="I3" t="s">
        <v>409</v>
      </c>
      <c r="J3" t="s">
        <v>334</v>
      </c>
      <c r="K3" t="s">
        <v>410</v>
      </c>
      <c r="L3" t="s">
        <v>411</v>
      </c>
      <c r="M3" s="3" t="str">
        <f>HYPERLINK(Таблица3[[#This Row],[RelativePath]])</f>
        <v>5 Крыльцо общага\K07156189_22_20251111T102756Z.jpg</v>
      </c>
    </row>
    <row r="4" spans="1:13" x14ac:dyDescent="0.25">
      <c r="A4" t="s">
        <v>14</v>
      </c>
      <c r="B4" s="4">
        <v>45972</v>
      </c>
      <c r="C4" s="6">
        <v>0.46743055555555557</v>
      </c>
      <c r="D4" s="2" t="s">
        <v>466</v>
      </c>
      <c r="E4" t="s">
        <v>63</v>
      </c>
      <c r="F4" t="s">
        <v>58</v>
      </c>
      <c r="H4" t="s">
        <v>1620</v>
      </c>
      <c r="I4" t="s">
        <v>1456</v>
      </c>
      <c r="J4" t="s">
        <v>1308</v>
      </c>
      <c r="K4" t="s">
        <v>1457</v>
      </c>
      <c r="L4" t="s">
        <v>1458</v>
      </c>
      <c r="M4" s="3" t="str">
        <f>HYPERLINK(Таблица3[[#This Row],[RelativePath]])</f>
        <v>10 Сушилка навес\E33149364_3_20251111T111306Z.jpg</v>
      </c>
    </row>
    <row r="5" spans="1:13" x14ac:dyDescent="0.25">
      <c r="A5" t="s">
        <v>14</v>
      </c>
      <c r="B5" s="4">
        <v>45972</v>
      </c>
      <c r="C5" s="6">
        <v>0.47805555555555557</v>
      </c>
      <c r="D5" s="2" t="s">
        <v>1616</v>
      </c>
      <c r="E5" t="s">
        <v>63</v>
      </c>
      <c r="F5" t="s">
        <v>58</v>
      </c>
      <c r="H5" t="s">
        <v>1620</v>
      </c>
      <c r="I5" t="s">
        <v>1459</v>
      </c>
      <c r="J5" t="s">
        <v>1308</v>
      </c>
      <c r="K5" t="s">
        <v>1460</v>
      </c>
      <c r="L5" t="s">
        <v>1461</v>
      </c>
      <c r="M5" s="3" t="str">
        <f>HYPERLINK(Таблица3[[#This Row],[RelativePath]])</f>
        <v>10 Сушилка навес\E33149364_3_20251111T112824Z.jpg</v>
      </c>
    </row>
    <row r="6" spans="1:13" x14ac:dyDescent="0.25">
      <c r="A6" t="s">
        <v>14</v>
      </c>
      <c r="B6" s="4">
        <v>45972</v>
      </c>
      <c r="C6" s="6">
        <v>0.42944444444444446</v>
      </c>
      <c r="D6" s="2" t="s">
        <v>466</v>
      </c>
      <c r="E6" t="s">
        <v>67</v>
      </c>
      <c r="F6" t="s">
        <v>468</v>
      </c>
      <c r="I6" t="s">
        <v>400</v>
      </c>
      <c r="J6" t="s">
        <v>334</v>
      </c>
      <c r="K6" t="s">
        <v>401</v>
      </c>
      <c r="L6" t="s">
        <v>402</v>
      </c>
      <c r="M6" s="3" t="str">
        <f>HYPERLINK(Таблица3[[#This Row],[RelativePath]])</f>
        <v>5 Крыльцо общага\K07156189_22_20251111T101824Z.jpg</v>
      </c>
    </row>
    <row r="7" spans="1:13" x14ac:dyDescent="0.25">
      <c r="A7" t="s">
        <v>14</v>
      </c>
      <c r="B7" s="4">
        <v>45972</v>
      </c>
      <c r="C7" s="6">
        <v>0.4316550925925926</v>
      </c>
      <c r="D7" s="2" t="s">
        <v>466</v>
      </c>
      <c r="E7" t="s">
        <v>67</v>
      </c>
      <c r="F7" t="s">
        <v>468</v>
      </c>
      <c r="I7" t="s">
        <v>403</v>
      </c>
      <c r="J7" t="s">
        <v>334</v>
      </c>
      <c r="K7" t="s">
        <v>404</v>
      </c>
      <c r="L7" t="s">
        <v>405</v>
      </c>
      <c r="M7" s="3" t="str">
        <f>HYPERLINK(Таблица3[[#This Row],[RelativePath]])</f>
        <v>5 Крыльцо общага\K07156189_22_20251111T102135Z.jpg</v>
      </c>
    </row>
    <row r="8" spans="1:13" x14ac:dyDescent="0.25">
      <c r="A8" t="s">
        <v>14</v>
      </c>
      <c r="B8" s="4">
        <v>45972</v>
      </c>
      <c r="C8" s="6">
        <v>0.43408564814814815</v>
      </c>
      <c r="D8" s="2" t="s">
        <v>466</v>
      </c>
      <c r="E8" t="s">
        <v>67</v>
      </c>
      <c r="F8" t="s">
        <v>468</v>
      </c>
      <c r="I8" t="s">
        <v>406</v>
      </c>
      <c r="J8" t="s">
        <v>334</v>
      </c>
      <c r="K8" t="s">
        <v>407</v>
      </c>
      <c r="L8" t="s">
        <v>408</v>
      </c>
      <c r="M8" s="3" t="str">
        <f>HYPERLINK(Таблица3[[#This Row],[RelativePath]])</f>
        <v>5 Крыльцо общага\K07156189_22_20251111T102505Z.jpg</v>
      </c>
    </row>
    <row r="9" spans="1:13" x14ac:dyDescent="0.25">
      <c r="A9" t="s">
        <v>14</v>
      </c>
      <c r="B9" s="4">
        <v>45972</v>
      </c>
      <c r="C9" s="6">
        <v>0.48200231481481481</v>
      </c>
      <c r="D9" s="2" t="s">
        <v>1616</v>
      </c>
      <c r="E9" t="s">
        <v>63</v>
      </c>
      <c r="F9" t="s">
        <v>58</v>
      </c>
      <c r="H9" t="s">
        <v>1620</v>
      </c>
      <c r="I9" t="s">
        <v>1462</v>
      </c>
      <c r="J9" t="s">
        <v>1308</v>
      </c>
      <c r="K9" t="s">
        <v>1463</v>
      </c>
      <c r="L9" t="s">
        <v>1464</v>
      </c>
      <c r="M9" s="3" t="str">
        <f>HYPERLINK(Таблица3[[#This Row],[RelativePath]])</f>
        <v>10 Сушилка навес\E33149364_3_20251111T113405Z.jpg</v>
      </c>
    </row>
    <row r="10" spans="1:13" x14ac:dyDescent="0.25">
      <c r="A10" t="s">
        <v>14</v>
      </c>
      <c r="B10" s="4">
        <v>45972</v>
      </c>
      <c r="C10" s="6">
        <v>0.51658564814814811</v>
      </c>
      <c r="D10" s="2" t="s">
        <v>1616</v>
      </c>
      <c r="E10" t="s">
        <v>55</v>
      </c>
      <c r="F10" t="s">
        <v>1619</v>
      </c>
      <c r="H10" t="s">
        <v>1620</v>
      </c>
      <c r="I10" t="s">
        <v>1480</v>
      </c>
      <c r="J10" t="s">
        <v>1308</v>
      </c>
      <c r="K10" t="s">
        <v>1481</v>
      </c>
      <c r="L10" t="s">
        <v>1482</v>
      </c>
      <c r="M10" s="3" t="str">
        <f>HYPERLINK(Таблица3[[#This Row],[RelativePath]])</f>
        <v>10 Сушилка навес\E33149364_3_20251111T122353Z.jpg</v>
      </c>
    </row>
    <row r="11" spans="1:13" x14ac:dyDescent="0.25">
      <c r="A11" t="s">
        <v>14</v>
      </c>
      <c r="B11" s="4">
        <v>45972</v>
      </c>
      <c r="C11" s="6">
        <v>0.52825231481481483</v>
      </c>
      <c r="D11" s="2" t="s">
        <v>1616</v>
      </c>
      <c r="E11" t="s">
        <v>55</v>
      </c>
      <c r="F11" t="s">
        <v>1621</v>
      </c>
      <c r="I11" t="s">
        <v>1483</v>
      </c>
      <c r="J11" t="s">
        <v>1308</v>
      </c>
      <c r="K11" t="s">
        <v>1484</v>
      </c>
      <c r="L11" t="s">
        <v>1485</v>
      </c>
      <c r="M11" s="3" t="str">
        <f>HYPERLINK(Таблица3[[#This Row],[RelativePath]])</f>
        <v>10 Сушилка навес\E33149364_3_20251111T124041Z.jpg</v>
      </c>
    </row>
    <row r="12" spans="1:13" x14ac:dyDescent="0.25">
      <c r="A12" t="s">
        <v>14</v>
      </c>
      <c r="B12" s="4">
        <v>45972</v>
      </c>
      <c r="C12" s="6">
        <v>0.52853009259259254</v>
      </c>
      <c r="D12" s="2" t="s">
        <v>1616</v>
      </c>
      <c r="E12" t="s">
        <v>55</v>
      </c>
      <c r="F12" t="s">
        <v>1622</v>
      </c>
      <c r="I12" t="s">
        <v>1486</v>
      </c>
      <c r="J12" t="s">
        <v>1308</v>
      </c>
      <c r="K12" t="s">
        <v>1487</v>
      </c>
      <c r="L12" t="s">
        <v>1488</v>
      </c>
      <c r="M12" s="3" t="str">
        <f>HYPERLINK(Таблица3[[#This Row],[RelativePath]])</f>
        <v>10 Сушилка навес\E33149364_3_20251111T124105Z.jpg</v>
      </c>
    </row>
    <row r="13" spans="1:13" x14ac:dyDescent="0.25">
      <c r="A13" t="s">
        <v>14</v>
      </c>
      <c r="B13" s="4">
        <v>45972</v>
      </c>
      <c r="C13" s="6">
        <v>0.50693287037037038</v>
      </c>
      <c r="D13" s="2" t="s">
        <v>466</v>
      </c>
      <c r="E13" t="s">
        <v>55</v>
      </c>
      <c r="F13" t="s">
        <v>1617</v>
      </c>
      <c r="H13" t="s">
        <v>1618</v>
      </c>
      <c r="I13" t="s">
        <v>1471</v>
      </c>
      <c r="J13" t="s">
        <v>1308</v>
      </c>
      <c r="K13" t="s">
        <v>1472</v>
      </c>
      <c r="L13" t="s">
        <v>1473</v>
      </c>
      <c r="M13" s="3" t="str">
        <f>HYPERLINK(Таблица3[[#This Row],[RelativePath]])</f>
        <v>10 Сушилка навес\E33149364_3_20251111T120959Z.jpg</v>
      </c>
    </row>
    <row r="14" spans="1:13" x14ac:dyDescent="0.25">
      <c r="A14" t="s">
        <v>14</v>
      </c>
      <c r="B14" s="4">
        <v>45972</v>
      </c>
      <c r="C14" s="6">
        <v>0.50932870370370376</v>
      </c>
      <c r="D14" s="2" t="s">
        <v>1616</v>
      </c>
      <c r="E14" t="s">
        <v>55</v>
      </c>
      <c r="F14" t="s">
        <v>1617</v>
      </c>
      <c r="H14" t="s">
        <v>1618</v>
      </c>
      <c r="I14" t="s">
        <v>1474</v>
      </c>
      <c r="J14" t="s">
        <v>1308</v>
      </c>
      <c r="K14" t="s">
        <v>1475</v>
      </c>
      <c r="L14" t="s">
        <v>1476</v>
      </c>
      <c r="M14" s="3" t="str">
        <f>HYPERLINK(Таблица3[[#This Row],[RelativePath]])</f>
        <v>10 Сушилка навес\E33149364_3_20251111T121326Z.jpg</v>
      </c>
    </row>
    <row r="15" spans="1:13" x14ac:dyDescent="0.25">
      <c r="A15" t="s">
        <v>14</v>
      </c>
      <c r="B15" s="4">
        <v>45972</v>
      </c>
      <c r="C15" s="6">
        <v>0.51362268518518517</v>
      </c>
      <c r="D15" s="2" t="s">
        <v>1616</v>
      </c>
      <c r="E15" t="s">
        <v>55</v>
      </c>
      <c r="F15" t="s">
        <v>1617</v>
      </c>
      <c r="H15" t="s">
        <v>1618</v>
      </c>
      <c r="I15" t="s">
        <v>1477</v>
      </c>
      <c r="J15" t="s">
        <v>1308</v>
      </c>
      <c r="K15" t="s">
        <v>1478</v>
      </c>
      <c r="L15" t="s">
        <v>1479</v>
      </c>
      <c r="M15" s="3" t="str">
        <f>HYPERLINK(Таблица3[[#This Row],[RelativePath]])</f>
        <v>10 Сушилка навес\E33149364_3_20251111T121937Z.jpg</v>
      </c>
    </row>
    <row r="16" spans="1:13" x14ac:dyDescent="0.25">
      <c r="A16" t="s">
        <v>14</v>
      </c>
      <c r="B16" s="4">
        <v>45972</v>
      </c>
      <c r="C16" s="6">
        <v>0.40597222222222223</v>
      </c>
      <c r="D16" s="2" t="s">
        <v>466</v>
      </c>
      <c r="E16" t="s">
        <v>67</v>
      </c>
      <c r="F16" t="s">
        <v>468</v>
      </c>
      <c r="I16" t="s">
        <v>376</v>
      </c>
      <c r="J16" t="s">
        <v>334</v>
      </c>
      <c r="K16" t="s">
        <v>377</v>
      </c>
      <c r="L16" t="s">
        <v>378</v>
      </c>
      <c r="M16" s="3" t="str">
        <f>HYPERLINK(Таблица3[[#This Row],[RelativePath]])</f>
        <v>5 Крыльцо общага\K07156189_22_20251111T094436Z.jpg</v>
      </c>
    </row>
    <row r="17" spans="1:13" x14ac:dyDescent="0.25">
      <c r="A17" t="s">
        <v>14</v>
      </c>
      <c r="B17" s="4">
        <v>45972</v>
      </c>
      <c r="C17" s="6">
        <v>0.40881944444444446</v>
      </c>
      <c r="D17" s="2" t="s">
        <v>466</v>
      </c>
      <c r="E17" t="s">
        <v>67</v>
      </c>
      <c r="F17" t="s">
        <v>468</v>
      </c>
      <c r="I17" t="s">
        <v>379</v>
      </c>
      <c r="J17" t="s">
        <v>334</v>
      </c>
      <c r="K17" t="s">
        <v>380</v>
      </c>
      <c r="L17" t="s">
        <v>381</v>
      </c>
      <c r="M17" s="3" t="str">
        <f>HYPERLINK(Таблица3[[#This Row],[RelativePath]])</f>
        <v>5 Крыльцо общага\K07156189_22_20251111T094842Z.jpg</v>
      </c>
    </row>
    <row r="18" spans="1:13" x14ac:dyDescent="0.25">
      <c r="A18" t="s">
        <v>14</v>
      </c>
      <c r="B18" s="4">
        <v>45972</v>
      </c>
      <c r="C18" s="6">
        <v>0.4105787037037037</v>
      </c>
      <c r="D18" s="2" t="s">
        <v>466</v>
      </c>
      <c r="E18" t="s">
        <v>67</v>
      </c>
      <c r="F18" t="s">
        <v>468</v>
      </c>
      <c r="I18" t="s">
        <v>382</v>
      </c>
      <c r="J18" t="s">
        <v>334</v>
      </c>
      <c r="K18" t="s">
        <v>383</v>
      </c>
      <c r="L18" t="s">
        <v>384</v>
      </c>
      <c r="M18" s="3" t="str">
        <f>HYPERLINK(Таблица3[[#This Row],[RelativePath]])</f>
        <v>5 Крыльцо общага\K07156189_22_20251111T095114Z.jpg</v>
      </c>
    </row>
    <row r="19" spans="1:13" x14ac:dyDescent="0.25">
      <c r="A19" t="s">
        <v>14</v>
      </c>
      <c r="B19" s="4">
        <v>45972</v>
      </c>
      <c r="C19" s="6">
        <v>0.39787037037037037</v>
      </c>
      <c r="D19" s="2" t="s">
        <v>466</v>
      </c>
      <c r="E19" t="s">
        <v>67</v>
      </c>
      <c r="F19" t="s">
        <v>468</v>
      </c>
      <c r="I19" t="s">
        <v>367</v>
      </c>
      <c r="J19" t="s">
        <v>334</v>
      </c>
      <c r="K19" t="s">
        <v>368</v>
      </c>
      <c r="L19" t="s">
        <v>369</v>
      </c>
      <c r="M19" s="3" t="str">
        <f>HYPERLINK(Таблица3[[#This Row],[RelativePath]])</f>
        <v>5 Крыльцо общага\K07156189_22_20251111T093256Z.jpg</v>
      </c>
    </row>
    <row r="20" spans="1:13" x14ac:dyDescent="0.25">
      <c r="A20" t="s">
        <v>14</v>
      </c>
      <c r="B20" s="4">
        <v>45972</v>
      </c>
      <c r="C20" s="6">
        <v>0.40370370370370373</v>
      </c>
      <c r="D20" s="2" t="s">
        <v>466</v>
      </c>
      <c r="E20" t="s">
        <v>67</v>
      </c>
      <c r="F20" t="s">
        <v>468</v>
      </c>
      <c r="I20" t="s">
        <v>370</v>
      </c>
      <c r="J20" t="s">
        <v>334</v>
      </c>
      <c r="K20" t="s">
        <v>371</v>
      </c>
      <c r="L20" t="s">
        <v>372</v>
      </c>
      <c r="M20" s="3" t="str">
        <f>HYPERLINK(Таблица3[[#This Row],[RelativePath]])</f>
        <v>5 Крыльцо общага\K07156189_22_20251111T094120Z.jpg</v>
      </c>
    </row>
    <row r="21" spans="1:13" x14ac:dyDescent="0.25">
      <c r="A21" t="s">
        <v>14</v>
      </c>
      <c r="B21" s="4">
        <v>45972</v>
      </c>
      <c r="C21" s="6">
        <v>0.40377314814814813</v>
      </c>
      <c r="D21" s="2" t="s">
        <v>466</v>
      </c>
      <c r="E21" t="s">
        <v>67</v>
      </c>
      <c r="F21" t="s">
        <v>468</v>
      </c>
      <c r="I21" t="s">
        <v>373</v>
      </c>
      <c r="J21" t="s">
        <v>334</v>
      </c>
      <c r="K21" t="s">
        <v>374</v>
      </c>
      <c r="L21" t="s">
        <v>375</v>
      </c>
      <c r="M21" s="3" t="str">
        <f>HYPERLINK(Таблица3[[#This Row],[RelativePath]])</f>
        <v>5 Крыльцо общага\K07156189_22_20251111T094126Z.jpg</v>
      </c>
    </row>
    <row r="22" spans="1:13" x14ac:dyDescent="0.25">
      <c r="A22" t="s">
        <v>14</v>
      </c>
      <c r="B22" s="4">
        <v>45972</v>
      </c>
      <c r="C22" s="6">
        <v>0.41627314814814814</v>
      </c>
      <c r="D22" s="2" t="s">
        <v>466</v>
      </c>
      <c r="E22" t="s">
        <v>67</v>
      </c>
      <c r="F22" t="s">
        <v>468</v>
      </c>
      <c r="I22" t="s">
        <v>391</v>
      </c>
      <c r="J22" t="s">
        <v>334</v>
      </c>
      <c r="K22" t="s">
        <v>392</v>
      </c>
      <c r="L22" t="s">
        <v>393</v>
      </c>
      <c r="M22" s="3" t="str">
        <f>HYPERLINK(Таблица3[[#This Row],[RelativePath]])</f>
        <v>5 Крыльцо общага\K07156189_22_20251111T095926Z.jpg</v>
      </c>
    </row>
    <row r="23" spans="1:13" x14ac:dyDescent="0.25">
      <c r="A23" t="s">
        <v>14</v>
      </c>
      <c r="B23" s="4">
        <v>45972</v>
      </c>
      <c r="C23" s="6">
        <v>0.4226273148148148</v>
      </c>
      <c r="D23" s="2" t="s">
        <v>466</v>
      </c>
      <c r="E23" t="s">
        <v>67</v>
      </c>
      <c r="F23" t="s">
        <v>468</v>
      </c>
      <c r="I23" t="s">
        <v>394</v>
      </c>
      <c r="J23" t="s">
        <v>334</v>
      </c>
      <c r="K23" t="s">
        <v>395</v>
      </c>
      <c r="L23" t="s">
        <v>396</v>
      </c>
      <c r="M23" s="3" t="str">
        <f>HYPERLINK(Таблица3[[#This Row],[RelativePath]])</f>
        <v>5 Крыльцо общага\K07156189_22_20251111T100835Z.jpg</v>
      </c>
    </row>
    <row r="24" spans="1:13" x14ac:dyDescent="0.25">
      <c r="A24" t="s">
        <v>14</v>
      </c>
      <c r="B24" s="4">
        <v>45972</v>
      </c>
      <c r="C24" s="6">
        <v>0.42736111111111114</v>
      </c>
      <c r="D24" s="2" t="s">
        <v>466</v>
      </c>
      <c r="E24" t="s">
        <v>67</v>
      </c>
      <c r="F24" t="s">
        <v>468</v>
      </c>
      <c r="I24" t="s">
        <v>397</v>
      </c>
      <c r="J24" t="s">
        <v>334</v>
      </c>
      <c r="K24" t="s">
        <v>398</v>
      </c>
      <c r="L24" t="s">
        <v>399</v>
      </c>
      <c r="M24" s="3" t="str">
        <f>HYPERLINK(Таблица3[[#This Row],[RelativePath]])</f>
        <v>5 Крыльцо общага\K07156189_22_20251111T101524Z.jpg</v>
      </c>
    </row>
    <row r="25" spans="1:13" x14ac:dyDescent="0.25">
      <c r="A25" t="s">
        <v>14</v>
      </c>
      <c r="B25" s="4">
        <v>45972</v>
      </c>
      <c r="C25" s="6">
        <v>0.41136574074074073</v>
      </c>
      <c r="D25" s="2" t="s">
        <v>466</v>
      </c>
      <c r="E25" t="s">
        <v>67</v>
      </c>
      <c r="F25" t="s">
        <v>468</v>
      </c>
      <c r="I25" t="s">
        <v>385</v>
      </c>
      <c r="J25" t="s">
        <v>334</v>
      </c>
      <c r="K25" t="s">
        <v>386</v>
      </c>
      <c r="L25" t="s">
        <v>387</v>
      </c>
      <c r="M25" s="3" t="str">
        <f>HYPERLINK(Таблица3[[#This Row],[RelativePath]])</f>
        <v>5 Крыльцо общага\K07156189_22_20251111T095222Z.jpg</v>
      </c>
    </row>
    <row r="26" spans="1:13" x14ac:dyDescent="0.25">
      <c r="A26" t="s">
        <v>14</v>
      </c>
      <c r="B26" s="4">
        <v>45972</v>
      </c>
      <c r="C26" s="6">
        <v>0.41312500000000002</v>
      </c>
      <c r="D26" s="2" t="s">
        <v>466</v>
      </c>
      <c r="E26" t="s">
        <v>67</v>
      </c>
      <c r="F26" t="s">
        <v>468</v>
      </c>
      <c r="I26" t="s">
        <v>388</v>
      </c>
      <c r="J26" t="s">
        <v>334</v>
      </c>
      <c r="K26" t="s">
        <v>389</v>
      </c>
      <c r="L26" t="s">
        <v>390</v>
      </c>
      <c r="M26" s="3" t="str">
        <f>HYPERLINK(Таблица3[[#This Row],[RelativePath]])</f>
        <v>5 Крыльцо общага\K07156189_22_20251111T095454Z.jpg</v>
      </c>
    </row>
    <row r="27" spans="1:13" x14ac:dyDescent="0.25">
      <c r="A27" t="s">
        <v>16</v>
      </c>
      <c r="B27" s="4">
        <v>45974</v>
      </c>
      <c r="C27" s="6">
        <v>0.38524305555555555</v>
      </c>
      <c r="D27" s="2" t="s">
        <v>466</v>
      </c>
      <c r="E27" t="s">
        <v>70</v>
      </c>
      <c r="F27" t="s">
        <v>58</v>
      </c>
      <c r="H27" t="s">
        <v>1620</v>
      </c>
      <c r="I27" t="s">
        <v>1522</v>
      </c>
      <c r="J27" t="s">
        <v>1308</v>
      </c>
      <c r="K27" t="s">
        <v>1523</v>
      </c>
      <c r="L27" t="s">
        <v>1524</v>
      </c>
      <c r="M27" s="3" t="str">
        <f>HYPERLINK(Таблица3[[#This Row],[RelativePath]])</f>
        <v>10 Сушилка навес\E33149364_3_20251113T091445Z.jpg</v>
      </c>
    </row>
    <row r="28" spans="1:13" x14ac:dyDescent="0.25">
      <c r="A28" t="s">
        <v>16</v>
      </c>
      <c r="B28" s="4">
        <v>45974</v>
      </c>
      <c r="C28" s="6">
        <v>0.38702546296296297</v>
      </c>
      <c r="D28" s="2" t="s">
        <v>466</v>
      </c>
      <c r="E28" t="s">
        <v>70</v>
      </c>
      <c r="F28" t="s">
        <v>58</v>
      </c>
      <c r="H28" t="s">
        <v>1620</v>
      </c>
      <c r="I28" t="s">
        <v>1525</v>
      </c>
      <c r="J28" t="s">
        <v>1308</v>
      </c>
      <c r="K28" t="s">
        <v>1526</v>
      </c>
      <c r="L28" t="s">
        <v>1527</v>
      </c>
      <c r="M28" s="3" t="str">
        <f>HYPERLINK(Таблица3[[#This Row],[RelativePath]])</f>
        <v>10 Сушилка навес\E33149364_3_20251113T091719Z.jpg</v>
      </c>
    </row>
    <row r="29" spans="1:13" x14ac:dyDescent="0.25">
      <c r="A29" t="s">
        <v>18</v>
      </c>
      <c r="B29" s="4">
        <v>45976</v>
      </c>
      <c r="C29" s="6">
        <v>0.63587962962962963</v>
      </c>
      <c r="D29" s="2" t="s">
        <v>289</v>
      </c>
      <c r="E29" t="s">
        <v>56</v>
      </c>
      <c r="F29" t="s">
        <v>200</v>
      </c>
      <c r="I29" t="s">
        <v>1271</v>
      </c>
      <c r="J29" t="s">
        <v>292</v>
      </c>
      <c r="K29" t="s">
        <v>1272</v>
      </c>
      <c r="L29" t="s">
        <v>1273</v>
      </c>
      <c r="M29" s="3" t="str">
        <f>HYPERLINK(Таблица3[[#This Row],[RelativePath]])</f>
        <v>4 Крыльцо офиса\K07156189_21_20251115T151540Z.jpg</v>
      </c>
    </row>
    <row r="30" spans="1:13" x14ac:dyDescent="0.25">
      <c r="A30" t="s">
        <v>14</v>
      </c>
      <c r="B30" s="4">
        <v>45979</v>
      </c>
      <c r="C30" s="6">
        <v>0.43355324074074075</v>
      </c>
      <c r="D30" s="2" t="s">
        <v>1616</v>
      </c>
      <c r="E30" t="s">
        <v>2920</v>
      </c>
      <c r="F30" t="s">
        <v>58</v>
      </c>
      <c r="H30" t="s">
        <v>2957</v>
      </c>
      <c r="I30" t="s">
        <v>2699</v>
      </c>
      <c r="J30" t="s">
        <v>1308</v>
      </c>
      <c r="K30" t="s">
        <v>2700</v>
      </c>
      <c r="L30" t="s">
        <v>2546</v>
      </c>
      <c r="M30" s="3" t="str">
        <f>HYPERLINK(Таблица3[[#This Row],[RelativePath]])</f>
        <v>10 Сушилка навес\E33149364_3_20251118T102419Z.jpg</v>
      </c>
    </row>
    <row r="31" spans="1:13" x14ac:dyDescent="0.25">
      <c r="A31" t="s">
        <v>14</v>
      </c>
      <c r="B31" s="4">
        <v>45979</v>
      </c>
      <c r="C31" s="6">
        <v>0.43384259259259261</v>
      </c>
      <c r="D31" s="2" t="s">
        <v>1616</v>
      </c>
      <c r="E31" t="s">
        <v>2920</v>
      </c>
      <c r="F31" t="s">
        <v>58</v>
      </c>
      <c r="H31" t="s">
        <v>2957</v>
      </c>
      <c r="I31" t="s">
        <v>2701</v>
      </c>
      <c r="J31" t="s">
        <v>1308</v>
      </c>
      <c r="K31" t="s">
        <v>2702</v>
      </c>
      <c r="L31" t="s">
        <v>2703</v>
      </c>
      <c r="M31" s="3" t="str">
        <f>HYPERLINK(Таблица3[[#This Row],[RelativePath]])</f>
        <v>10 Сушилка навес\E33149364_3_20251118T102444Z.jpg</v>
      </c>
    </row>
    <row r="32" spans="1:13" x14ac:dyDescent="0.25">
      <c r="A32" t="s">
        <v>14</v>
      </c>
      <c r="B32" s="4">
        <v>45979</v>
      </c>
      <c r="C32" s="6">
        <v>0.43287037037037035</v>
      </c>
      <c r="D32" s="2" t="s">
        <v>466</v>
      </c>
      <c r="E32" t="s">
        <v>2920</v>
      </c>
      <c r="F32" t="s">
        <v>58</v>
      </c>
      <c r="H32" t="s">
        <v>2957</v>
      </c>
      <c r="I32" t="s">
        <v>2697</v>
      </c>
      <c r="J32" t="s">
        <v>1308</v>
      </c>
      <c r="K32" t="s">
        <v>2698</v>
      </c>
      <c r="L32" t="s">
        <v>2534</v>
      </c>
      <c r="M32" s="3" t="str">
        <f>HYPERLINK(Таблица3[[#This Row],[RelativePath]])</f>
        <v>10 Сушилка навес\E33149364_3_20251118T102320Z.jpg</v>
      </c>
    </row>
    <row r="33" spans="1:13" x14ac:dyDescent="0.25">
      <c r="A33" t="s">
        <v>14</v>
      </c>
      <c r="B33" s="4">
        <v>45979</v>
      </c>
      <c r="C33" s="6">
        <v>0.38895833333333335</v>
      </c>
      <c r="D33" s="2" t="s">
        <v>1616</v>
      </c>
      <c r="E33" t="s">
        <v>70</v>
      </c>
      <c r="F33" t="s">
        <v>2952</v>
      </c>
      <c r="H33" t="s">
        <v>2956</v>
      </c>
      <c r="I33" t="s">
        <v>2679</v>
      </c>
      <c r="J33" t="s">
        <v>1308</v>
      </c>
      <c r="K33" t="s">
        <v>2680</v>
      </c>
      <c r="L33" t="s">
        <v>2681</v>
      </c>
      <c r="M33" s="3" t="str">
        <f>HYPERLINK(Таблица3[[#This Row],[RelativePath]])</f>
        <v>10 Сушилка навес\E33149364_3_20251118T092006Z.jpg</v>
      </c>
    </row>
    <row r="34" spans="1:13" x14ac:dyDescent="0.25">
      <c r="A34" t="s">
        <v>14</v>
      </c>
      <c r="B34" s="4">
        <v>45979</v>
      </c>
      <c r="C34" s="6">
        <v>0.43306712962962962</v>
      </c>
      <c r="D34" s="2" t="s">
        <v>1616</v>
      </c>
      <c r="E34" t="s">
        <v>2920</v>
      </c>
      <c r="F34" t="s">
        <v>58</v>
      </c>
      <c r="H34" t="s">
        <v>2957</v>
      </c>
      <c r="I34" t="s">
        <v>2535</v>
      </c>
      <c r="J34" t="s">
        <v>1628</v>
      </c>
      <c r="K34" t="s">
        <v>2536</v>
      </c>
      <c r="L34" t="s">
        <v>2537</v>
      </c>
      <c r="M34" s="3" t="str">
        <f>HYPERLINK(Таблица3[[#This Row],[RelativePath]])</f>
        <v>11 С ангара на базу\E33149364_4_20251118T102337Z.jpg</v>
      </c>
    </row>
    <row r="35" spans="1:13" x14ac:dyDescent="0.25">
      <c r="A35" t="s">
        <v>14</v>
      </c>
      <c r="B35" s="4">
        <v>45979</v>
      </c>
      <c r="C35" s="6">
        <v>0.43386574074074075</v>
      </c>
      <c r="D35" s="2" t="s">
        <v>1616</v>
      </c>
      <c r="E35" t="s">
        <v>2920</v>
      </c>
      <c r="F35" t="s">
        <v>58</v>
      </c>
      <c r="H35" t="s">
        <v>2957</v>
      </c>
      <c r="I35" t="s">
        <v>2550</v>
      </c>
      <c r="J35" t="s">
        <v>1628</v>
      </c>
      <c r="K35" t="s">
        <v>2551</v>
      </c>
      <c r="L35" t="s">
        <v>2552</v>
      </c>
      <c r="M35" s="3" t="str">
        <f>HYPERLINK(Таблица3[[#This Row],[RelativePath]])</f>
        <v>11 С ангара на базу\E33149364_4_20251118T102446Z.jpg</v>
      </c>
    </row>
    <row r="36" spans="1:13" x14ac:dyDescent="0.25">
      <c r="A36" t="s">
        <v>14</v>
      </c>
      <c r="B36" s="4">
        <v>45979</v>
      </c>
      <c r="C36" s="6">
        <v>0.43373842592592593</v>
      </c>
      <c r="D36" s="2" t="s">
        <v>1616</v>
      </c>
      <c r="E36" t="s">
        <v>2920</v>
      </c>
      <c r="F36" t="s">
        <v>58</v>
      </c>
      <c r="H36" t="s">
        <v>2957</v>
      </c>
      <c r="I36" t="s">
        <v>2547</v>
      </c>
      <c r="J36" t="s">
        <v>1628</v>
      </c>
      <c r="K36" t="s">
        <v>2548</v>
      </c>
      <c r="L36" t="s">
        <v>2549</v>
      </c>
      <c r="M36" s="3" t="str">
        <f>HYPERLINK(Таблица3[[#This Row],[RelativePath]])</f>
        <v>11 С ангара на базу\E33149364_4_20251118T102435Z.jpg</v>
      </c>
    </row>
    <row r="37" spans="1:13" x14ac:dyDescent="0.25">
      <c r="A37" t="s">
        <v>14</v>
      </c>
      <c r="B37" s="4">
        <v>45979</v>
      </c>
      <c r="C37" s="6">
        <v>0.4332523148148148</v>
      </c>
      <c r="D37" s="2" t="s">
        <v>1616</v>
      </c>
      <c r="E37" t="s">
        <v>2920</v>
      </c>
      <c r="F37" t="s">
        <v>58</v>
      </c>
      <c r="H37" t="s">
        <v>2957</v>
      </c>
      <c r="I37" t="s">
        <v>2538</v>
      </c>
      <c r="J37" t="s">
        <v>1628</v>
      </c>
      <c r="K37" t="s">
        <v>2539</v>
      </c>
      <c r="L37" t="s">
        <v>2540</v>
      </c>
      <c r="M37" s="3" t="str">
        <f>HYPERLINK(Таблица3[[#This Row],[RelativePath]])</f>
        <v>11 С ангара на базу\E33149364_4_20251118T102353Z.jpg</v>
      </c>
    </row>
    <row r="38" spans="1:13" x14ac:dyDescent="0.25">
      <c r="A38" t="s">
        <v>14</v>
      </c>
      <c r="B38" s="4">
        <v>45979</v>
      </c>
      <c r="C38" s="6">
        <v>0.43341435185185184</v>
      </c>
      <c r="D38" s="2" t="s">
        <v>1616</v>
      </c>
      <c r="E38" t="s">
        <v>2920</v>
      </c>
      <c r="F38" t="s">
        <v>58</v>
      </c>
      <c r="H38" t="s">
        <v>2957</v>
      </c>
      <c r="I38" t="s">
        <v>2541</v>
      </c>
      <c r="J38" t="s">
        <v>1628</v>
      </c>
      <c r="K38" t="s">
        <v>2542</v>
      </c>
      <c r="L38" t="s">
        <v>2543</v>
      </c>
      <c r="M38" s="3" t="str">
        <f>HYPERLINK(Таблица3[[#This Row],[RelativePath]])</f>
        <v>11 С ангара на базу\E33149364_4_20251118T102407Z.jpg</v>
      </c>
    </row>
    <row r="39" spans="1:13" x14ac:dyDescent="0.25">
      <c r="A39" t="s">
        <v>14</v>
      </c>
      <c r="B39" s="4">
        <v>45979</v>
      </c>
      <c r="C39" s="6">
        <v>0.38112268518518516</v>
      </c>
      <c r="D39" s="2" t="s">
        <v>1616</v>
      </c>
      <c r="E39" t="s">
        <v>70</v>
      </c>
      <c r="F39" t="s">
        <v>58</v>
      </c>
      <c r="H39" t="s">
        <v>2956</v>
      </c>
      <c r="I39" t="s">
        <v>2664</v>
      </c>
      <c r="J39" t="s">
        <v>1308</v>
      </c>
      <c r="K39" t="s">
        <v>2665</v>
      </c>
      <c r="L39" t="s">
        <v>2666</v>
      </c>
      <c r="M39" s="3" t="str">
        <f>HYPERLINK(Таблица3[[#This Row],[RelativePath]])</f>
        <v>10 Сушилка навес\E33149364_3_20251118T090849Z.jpg</v>
      </c>
    </row>
    <row r="40" spans="1:13" x14ac:dyDescent="0.25">
      <c r="A40" t="s">
        <v>14</v>
      </c>
      <c r="B40" s="4">
        <v>45979</v>
      </c>
      <c r="C40" s="6">
        <v>0.58296296296296302</v>
      </c>
      <c r="D40" s="2" t="s">
        <v>289</v>
      </c>
      <c r="E40" t="s">
        <v>2927</v>
      </c>
      <c r="F40" t="s">
        <v>58</v>
      </c>
      <c r="H40" t="s">
        <v>2928</v>
      </c>
      <c r="I40" t="s">
        <v>2070</v>
      </c>
      <c r="J40" t="s">
        <v>204</v>
      </c>
      <c r="K40" t="s">
        <v>2071</v>
      </c>
      <c r="L40" t="s">
        <v>2072</v>
      </c>
      <c r="M40" s="3" t="str">
        <f>HYPERLINK(Таблица3[[#This Row],[RelativePath]])</f>
        <v>3 Въезд на базу\E33149364_8_20251118T135928Z.jpg</v>
      </c>
    </row>
    <row r="41" spans="1:13" x14ac:dyDescent="0.25">
      <c r="A41" t="s">
        <v>14</v>
      </c>
      <c r="B41" s="4">
        <v>45979</v>
      </c>
      <c r="C41" s="6">
        <v>0.38093749999999998</v>
      </c>
      <c r="D41" s="2" t="s">
        <v>466</v>
      </c>
      <c r="E41" t="s">
        <v>70</v>
      </c>
      <c r="F41" t="s">
        <v>58</v>
      </c>
      <c r="H41" t="s">
        <v>2956</v>
      </c>
      <c r="I41" t="s">
        <v>2658</v>
      </c>
      <c r="J41" t="s">
        <v>1308</v>
      </c>
      <c r="K41" t="s">
        <v>2659</v>
      </c>
      <c r="L41" t="s">
        <v>2660</v>
      </c>
      <c r="M41" s="3" t="str">
        <f>HYPERLINK(Таблица3[[#This Row],[RelativePath]])</f>
        <v>10 Сушилка навес\E33149364_3_20251118T090833Z.jpg</v>
      </c>
    </row>
    <row r="42" spans="1:13" x14ac:dyDescent="0.25">
      <c r="A42" t="s">
        <v>14</v>
      </c>
      <c r="B42" s="4">
        <v>45979</v>
      </c>
      <c r="C42" s="6">
        <v>0.38103009259259257</v>
      </c>
      <c r="D42" s="2" t="s">
        <v>1616</v>
      </c>
      <c r="E42" t="s">
        <v>70</v>
      </c>
      <c r="F42" t="s">
        <v>58</v>
      </c>
      <c r="H42" t="s">
        <v>2956</v>
      </c>
      <c r="I42" t="s">
        <v>2661</v>
      </c>
      <c r="J42" t="s">
        <v>1308</v>
      </c>
      <c r="K42" t="s">
        <v>2662</v>
      </c>
      <c r="L42" t="s">
        <v>2663</v>
      </c>
      <c r="M42" s="3" t="str">
        <f>HYPERLINK(Таблица3[[#This Row],[RelativePath]])</f>
        <v>10 Сушилка навес\E33149364_3_20251118T090841Z.jpg</v>
      </c>
    </row>
    <row r="43" spans="1:13" x14ac:dyDescent="0.25">
      <c r="A43" t="s">
        <v>14</v>
      </c>
      <c r="B43" s="4">
        <v>45979</v>
      </c>
      <c r="C43" s="6">
        <v>0.38765046296296296</v>
      </c>
      <c r="D43" s="2" t="s">
        <v>1616</v>
      </c>
      <c r="E43" t="s">
        <v>70</v>
      </c>
      <c r="F43" t="s">
        <v>2950</v>
      </c>
      <c r="H43" t="s">
        <v>2956</v>
      </c>
      <c r="I43" t="s">
        <v>2673</v>
      </c>
      <c r="J43" t="s">
        <v>1308</v>
      </c>
      <c r="K43" t="s">
        <v>2674</v>
      </c>
      <c r="L43" t="s">
        <v>2675</v>
      </c>
      <c r="M43" s="3" t="str">
        <f>HYPERLINK(Таблица3[[#This Row],[RelativePath]])</f>
        <v>10 Сушилка навес\E33149364_3_20251118T091813Z.jpg</v>
      </c>
    </row>
    <row r="44" spans="1:13" x14ac:dyDescent="0.25">
      <c r="A44" t="s">
        <v>14</v>
      </c>
      <c r="B44" s="4">
        <v>45979</v>
      </c>
      <c r="C44" s="6">
        <v>0.38149305555555557</v>
      </c>
      <c r="D44" s="2" t="s">
        <v>1616</v>
      </c>
      <c r="E44" t="s">
        <v>70</v>
      </c>
      <c r="F44" t="s">
        <v>58</v>
      </c>
      <c r="H44" t="s">
        <v>2956</v>
      </c>
      <c r="I44" t="s">
        <v>2667</v>
      </c>
      <c r="J44" t="s">
        <v>1308</v>
      </c>
      <c r="K44" t="s">
        <v>2668</v>
      </c>
      <c r="L44" t="s">
        <v>2669</v>
      </c>
      <c r="M44" s="3" t="str">
        <f>HYPERLINK(Таблица3[[#This Row],[RelativePath]])</f>
        <v>10 Сушилка навес\E33149364_3_20251118T090921Z.jpg</v>
      </c>
    </row>
    <row r="45" spans="1:13" x14ac:dyDescent="0.25">
      <c r="A45" t="s">
        <v>14</v>
      </c>
      <c r="B45" s="4">
        <v>45979</v>
      </c>
      <c r="C45" s="6">
        <v>0.38665509259259262</v>
      </c>
      <c r="D45" s="2" t="s">
        <v>1616</v>
      </c>
      <c r="E45" t="s">
        <v>70</v>
      </c>
      <c r="F45" t="s">
        <v>58</v>
      </c>
      <c r="H45" t="s">
        <v>2956</v>
      </c>
      <c r="I45" t="s">
        <v>2670</v>
      </c>
      <c r="J45" t="s">
        <v>1308</v>
      </c>
      <c r="K45" t="s">
        <v>2671</v>
      </c>
      <c r="L45" t="s">
        <v>2672</v>
      </c>
      <c r="M45" s="3" t="str">
        <f>HYPERLINK(Таблица3[[#This Row],[RelativePath]])</f>
        <v>10 Сушилка навес\E33149364_3_20251118T091647Z.jpg</v>
      </c>
    </row>
    <row r="46" spans="1:13" x14ac:dyDescent="0.25">
      <c r="A46" t="s">
        <v>14</v>
      </c>
      <c r="B46" s="4">
        <v>45979</v>
      </c>
      <c r="C46" s="6">
        <v>0.3881134259259259</v>
      </c>
      <c r="D46" s="2" t="s">
        <v>1616</v>
      </c>
      <c r="E46" t="s">
        <v>70</v>
      </c>
      <c r="F46" t="s">
        <v>2951</v>
      </c>
      <c r="H46" t="s">
        <v>2956</v>
      </c>
      <c r="I46" t="s">
        <v>2676</v>
      </c>
      <c r="J46" t="s">
        <v>1308</v>
      </c>
      <c r="K46" t="s">
        <v>2677</v>
      </c>
      <c r="L46" t="s">
        <v>2678</v>
      </c>
      <c r="M46" s="3" t="str">
        <f>HYPERLINK(Таблица3[[#This Row],[RelativePath]])</f>
        <v>10 Сушилка навес\E33149364_3_20251118T091853Z.jpg</v>
      </c>
    </row>
    <row r="47" spans="1:13" x14ac:dyDescent="0.25">
      <c r="A47" t="s">
        <v>15</v>
      </c>
      <c r="B47" s="4">
        <v>45980</v>
      </c>
      <c r="C47" s="6">
        <v>0.47888888888888886</v>
      </c>
      <c r="D47" s="2" t="s">
        <v>1616</v>
      </c>
      <c r="E47" t="s">
        <v>70</v>
      </c>
      <c r="F47" t="s">
        <v>2962</v>
      </c>
      <c r="H47" t="s">
        <v>2957</v>
      </c>
      <c r="I47" t="s">
        <v>2779</v>
      </c>
      <c r="J47" t="s">
        <v>1308</v>
      </c>
      <c r="K47" t="s">
        <v>2780</v>
      </c>
      <c r="L47" t="s">
        <v>2781</v>
      </c>
      <c r="M47" s="3" t="str">
        <f>HYPERLINK(Таблица3[[#This Row],[RelativePath]])</f>
        <v>10 Сушилка навес\E33149364_3_20251119T112936Z.jpg</v>
      </c>
    </row>
    <row r="48" spans="1:13" x14ac:dyDescent="0.25">
      <c r="A48" t="s">
        <v>15</v>
      </c>
      <c r="B48" s="4">
        <v>45980</v>
      </c>
      <c r="C48" s="6">
        <v>0.47864583333333333</v>
      </c>
      <c r="D48" s="2" t="s">
        <v>1616</v>
      </c>
      <c r="E48" t="s">
        <v>70</v>
      </c>
      <c r="F48" t="s">
        <v>58</v>
      </c>
      <c r="H48" t="s">
        <v>2957</v>
      </c>
      <c r="I48" t="s">
        <v>2776</v>
      </c>
      <c r="J48" t="s">
        <v>1308</v>
      </c>
      <c r="K48" t="s">
        <v>2777</v>
      </c>
      <c r="L48" t="s">
        <v>2778</v>
      </c>
      <c r="M48" s="3" t="str">
        <f>HYPERLINK(Таблица3[[#This Row],[RelativePath]])</f>
        <v>10 Сушилка навес\E33149364_3_20251119T112915Z.jpg</v>
      </c>
    </row>
    <row r="49" spans="1:13" x14ac:dyDescent="0.25">
      <c r="A49" t="s">
        <v>15</v>
      </c>
      <c r="B49" s="4">
        <v>45980</v>
      </c>
      <c r="C49" s="6">
        <v>0.47585648148148146</v>
      </c>
      <c r="D49" s="2" t="s">
        <v>1616</v>
      </c>
      <c r="E49" t="s">
        <v>70</v>
      </c>
      <c r="F49" t="s">
        <v>58</v>
      </c>
      <c r="H49" t="s">
        <v>2963</v>
      </c>
      <c r="I49" t="s">
        <v>2770</v>
      </c>
      <c r="J49" t="s">
        <v>1308</v>
      </c>
      <c r="K49" t="s">
        <v>2771</v>
      </c>
      <c r="L49" t="s">
        <v>2772</v>
      </c>
      <c r="M49" s="3" t="str">
        <f>HYPERLINK(Таблица3[[#This Row],[RelativePath]])</f>
        <v>10 Сушилка навес\E33149364_3_20251119T112514Z.jpg</v>
      </c>
    </row>
    <row r="50" spans="1:13" x14ac:dyDescent="0.25">
      <c r="A50" t="s">
        <v>15</v>
      </c>
      <c r="B50" s="4">
        <v>45980</v>
      </c>
      <c r="C50" s="6">
        <v>0.47793981481481479</v>
      </c>
      <c r="D50" s="2" t="s">
        <v>1616</v>
      </c>
      <c r="E50" t="s">
        <v>70</v>
      </c>
      <c r="F50" t="s">
        <v>58</v>
      </c>
      <c r="H50" t="s">
        <v>2963</v>
      </c>
      <c r="I50" t="s">
        <v>2773</v>
      </c>
      <c r="J50" t="s">
        <v>1308</v>
      </c>
      <c r="K50" t="s">
        <v>2774</v>
      </c>
      <c r="L50" t="s">
        <v>2775</v>
      </c>
      <c r="M50" s="3" t="str">
        <f>HYPERLINK(Таблица3[[#This Row],[RelativePath]])</f>
        <v>10 Сушилка навес\E33149364_3_20251119T112814Z.jpg</v>
      </c>
    </row>
    <row r="51" spans="1:13" x14ac:dyDescent="0.25">
      <c r="A51" t="s">
        <v>15</v>
      </c>
      <c r="B51" s="4">
        <v>45980</v>
      </c>
      <c r="C51" s="6">
        <v>0.47957175925925927</v>
      </c>
      <c r="D51" s="2" t="s">
        <v>1616</v>
      </c>
      <c r="E51" t="s">
        <v>70</v>
      </c>
      <c r="F51" t="s">
        <v>2962</v>
      </c>
      <c r="H51" t="s">
        <v>2957</v>
      </c>
      <c r="I51" t="s">
        <v>2791</v>
      </c>
      <c r="J51" t="s">
        <v>1308</v>
      </c>
      <c r="K51" t="s">
        <v>2792</v>
      </c>
      <c r="L51" t="s">
        <v>2793</v>
      </c>
      <c r="M51" s="3" t="str">
        <f>HYPERLINK(Таблица3[[#This Row],[RelativePath]])</f>
        <v>10 Сушилка навес\E33149364_3_20251119T113035Z.jpg</v>
      </c>
    </row>
    <row r="52" spans="1:13" x14ac:dyDescent="0.25">
      <c r="A52" t="s">
        <v>15</v>
      </c>
      <c r="B52" s="4">
        <v>45980</v>
      </c>
      <c r="C52" s="6">
        <v>0.47385416666666669</v>
      </c>
      <c r="D52" s="2" t="s">
        <v>1616</v>
      </c>
      <c r="E52" t="s">
        <v>70</v>
      </c>
      <c r="F52" t="s">
        <v>58</v>
      </c>
      <c r="H52" t="s">
        <v>2963</v>
      </c>
      <c r="I52" t="s">
        <v>2761</v>
      </c>
      <c r="J52" t="s">
        <v>1308</v>
      </c>
      <c r="K52" t="s">
        <v>2762</v>
      </c>
      <c r="L52" t="s">
        <v>2763</v>
      </c>
      <c r="M52" s="3" t="str">
        <f>HYPERLINK(Таблица3[[#This Row],[RelativePath]])</f>
        <v>10 Сушилка навес\E33149364_3_20251119T112221Z.jpg</v>
      </c>
    </row>
    <row r="53" spans="1:13" x14ac:dyDescent="0.25">
      <c r="A53" t="s">
        <v>15</v>
      </c>
      <c r="B53" s="4">
        <v>45980</v>
      </c>
      <c r="C53" s="6">
        <v>0.47950231481481481</v>
      </c>
      <c r="D53" s="2" t="s">
        <v>1616</v>
      </c>
      <c r="E53" t="s">
        <v>70</v>
      </c>
      <c r="F53" t="s">
        <v>2962</v>
      </c>
      <c r="H53" t="s">
        <v>2957</v>
      </c>
      <c r="I53" t="s">
        <v>2788</v>
      </c>
      <c r="J53" t="s">
        <v>1308</v>
      </c>
      <c r="K53" t="s">
        <v>2789</v>
      </c>
      <c r="L53" t="s">
        <v>2790</v>
      </c>
      <c r="M53" s="3" t="str">
        <f>HYPERLINK(Таблица3[[#This Row],[RelativePath]])</f>
        <v>10 Сушилка навес\E33149364_3_20251119T113029Z.jpg</v>
      </c>
    </row>
    <row r="54" spans="1:13" x14ac:dyDescent="0.25">
      <c r="A54" t="s">
        <v>15</v>
      </c>
      <c r="B54" s="4">
        <v>45980</v>
      </c>
      <c r="C54" s="6">
        <v>0.4790625</v>
      </c>
      <c r="D54" s="2" t="s">
        <v>1616</v>
      </c>
      <c r="E54" t="s">
        <v>70</v>
      </c>
      <c r="F54" t="s">
        <v>2962</v>
      </c>
      <c r="H54" t="s">
        <v>2957</v>
      </c>
      <c r="I54" t="s">
        <v>2782</v>
      </c>
      <c r="J54" t="s">
        <v>1308</v>
      </c>
      <c r="K54" t="s">
        <v>2783</v>
      </c>
      <c r="L54" t="s">
        <v>2784</v>
      </c>
      <c r="M54" s="3" t="str">
        <f>HYPERLINK(Таблица3[[#This Row],[RelativePath]])</f>
        <v>10 Сушилка навес\E33149364_3_20251119T112951Z.jpg</v>
      </c>
    </row>
    <row r="55" spans="1:13" x14ac:dyDescent="0.25">
      <c r="A55" t="s">
        <v>15</v>
      </c>
      <c r="B55" s="4">
        <v>45980</v>
      </c>
      <c r="C55" s="6">
        <v>0.47940972222222222</v>
      </c>
      <c r="D55" s="2" t="s">
        <v>1616</v>
      </c>
      <c r="E55" t="s">
        <v>70</v>
      </c>
      <c r="F55" t="s">
        <v>2962</v>
      </c>
      <c r="H55" t="s">
        <v>2957</v>
      </c>
      <c r="I55" t="s">
        <v>2785</v>
      </c>
      <c r="J55" t="s">
        <v>1308</v>
      </c>
      <c r="K55" t="s">
        <v>2786</v>
      </c>
      <c r="L55" t="s">
        <v>2787</v>
      </c>
      <c r="M55" s="3" t="str">
        <f>HYPERLINK(Таблица3[[#This Row],[RelativePath]])</f>
        <v>10 Сушилка навес\E33149364_3_20251119T113021Z.jpg</v>
      </c>
    </row>
    <row r="56" spans="1:13" x14ac:dyDescent="0.25">
      <c r="A56" t="s">
        <v>15</v>
      </c>
      <c r="B56" s="4">
        <v>45980</v>
      </c>
      <c r="C56" s="6">
        <v>0.46491898148148147</v>
      </c>
      <c r="D56" s="2" t="s">
        <v>1616</v>
      </c>
      <c r="E56" t="s">
        <v>70</v>
      </c>
      <c r="F56" t="s">
        <v>58</v>
      </c>
      <c r="H56" t="s">
        <v>2956</v>
      </c>
      <c r="I56" t="s">
        <v>2740</v>
      </c>
      <c r="J56" t="s">
        <v>1308</v>
      </c>
      <c r="K56" t="s">
        <v>2741</v>
      </c>
      <c r="L56" t="s">
        <v>2742</v>
      </c>
      <c r="M56" s="3" t="str">
        <f>HYPERLINK(Таблица3[[#This Row],[RelativePath]])</f>
        <v>10 Сушилка навес\E33149364_3_20251119T110929Z.jpg</v>
      </c>
    </row>
    <row r="57" spans="1:13" x14ac:dyDescent="0.25">
      <c r="A57" t="s">
        <v>15</v>
      </c>
      <c r="B57" s="4">
        <v>45980</v>
      </c>
      <c r="C57" s="6">
        <v>0.46659722222222222</v>
      </c>
      <c r="D57" s="2" t="s">
        <v>1616</v>
      </c>
      <c r="E57" t="s">
        <v>70</v>
      </c>
      <c r="F57" t="s">
        <v>58</v>
      </c>
      <c r="H57" t="s">
        <v>2956</v>
      </c>
      <c r="I57" t="s">
        <v>2743</v>
      </c>
      <c r="J57" t="s">
        <v>1308</v>
      </c>
      <c r="K57" t="s">
        <v>2744</v>
      </c>
      <c r="L57" t="s">
        <v>2745</v>
      </c>
      <c r="M57" s="3" t="str">
        <f>HYPERLINK(Таблица3[[#This Row],[RelativePath]])</f>
        <v>10 Сушилка навес\E33149364_3_20251119T111154Z.jpg</v>
      </c>
    </row>
    <row r="58" spans="1:13" x14ac:dyDescent="0.25">
      <c r="A58" t="s">
        <v>15</v>
      </c>
      <c r="B58" s="4">
        <v>45980</v>
      </c>
      <c r="C58" s="6">
        <v>0.46673611111111113</v>
      </c>
      <c r="D58" s="2" t="s">
        <v>1616</v>
      </c>
      <c r="E58" t="s">
        <v>70</v>
      </c>
      <c r="F58" t="s">
        <v>58</v>
      </c>
      <c r="H58" t="s">
        <v>2956</v>
      </c>
      <c r="I58" t="s">
        <v>2746</v>
      </c>
      <c r="J58" t="s">
        <v>1308</v>
      </c>
      <c r="K58" t="s">
        <v>2747</v>
      </c>
      <c r="L58" t="s">
        <v>2748</v>
      </c>
      <c r="M58" s="3" t="str">
        <f>HYPERLINK(Таблица3[[#This Row],[RelativePath]])</f>
        <v>10 Сушилка навес\E33149364_3_20251119T111206Z.jpg</v>
      </c>
    </row>
    <row r="59" spans="1:13" x14ac:dyDescent="0.25">
      <c r="A59" t="s">
        <v>15</v>
      </c>
      <c r="B59" s="4">
        <v>45980</v>
      </c>
      <c r="C59" s="6">
        <v>0.46177083333333335</v>
      </c>
      <c r="D59" s="2" t="s">
        <v>466</v>
      </c>
      <c r="E59" t="s">
        <v>70</v>
      </c>
      <c r="F59" t="s">
        <v>58</v>
      </c>
      <c r="H59" t="s">
        <v>2956</v>
      </c>
      <c r="I59" t="s">
        <v>2731</v>
      </c>
      <c r="J59" t="s">
        <v>1308</v>
      </c>
      <c r="K59" t="s">
        <v>2732</v>
      </c>
      <c r="L59" t="s">
        <v>2733</v>
      </c>
      <c r="M59" s="3" t="str">
        <f>HYPERLINK(Таблица3[[#This Row],[RelativePath]])</f>
        <v>10 Сушилка навес\E33149364_3_20251119T110457Z.jpg</v>
      </c>
    </row>
    <row r="60" spans="1:13" x14ac:dyDescent="0.25">
      <c r="A60" t="s">
        <v>15</v>
      </c>
      <c r="B60" s="4">
        <v>45980</v>
      </c>
      <c r="C60" s="6">
        <v>0.46206018518518521</v>
      </c>
      <c r="D60" s="2" t="s">
        <v>1616</v>
      </c>
      <c r="E60" t="s">
        <v>70</v>
      </c>
      <c r="F60" t="s">
        <v>58</v>
      </c>
      <c r="H60" t="s">
        <v>2956</v>
      </c>
      <c r="I60" t="s">
        <v>2734</v>
      </c>
      <c r="J60" t="s">
        <v>1308</v>
      </c>
      <c r="K60" t="s">
        <v>2735</v>
      </c>
      <c r="L60" t="s">
        <v>2736</v>
      </c>
      <c r="M60" s="3" t="str">
        <f>HYPERLINK(Таблица3[[#This Row],[RelativePath]])</f>
        <v>10 Сушилка навес\E33149364_3_20251119T110522Z.jpg</v>
      </c>
    </row>
    <row r="61" spans="1:13" x14ac:dyDescent="0.25">
      <c r="A61" t="s">
        <v>15</v>
      </c>
      <c r="B61" s="4">
        <v>45980</v>
      </c>
      <c r="C61" s="6">
        <v>0.46342592592592591</v>
      </c>
      <c r="D61" s="2" t="s">
        <v>1616</v>
      </c>
      <c r="E61" t="s">
        <v>70</v>
      </c>
      <c r="F61" t="s">
        <v>58</v>
      </c>
      <c r="H61" t="s">
        <v>2956</v>
      </c>
      <c r="I61" t="s">
        <v>2737</v>
      </c>
      <c r="J61" t="s">
        <v>1308</v>
      </c>
      <c r="K61" t="s">
        <v>2738</v>
      </c>
      <c r="L61" t="s">
        <v>2739</v>
      </c>
      <c r="M61" s="3" t="str">
        <f>HYPERLINK(Таблица3[[#This Row],[RelativePath]])</f>
        <v>10 Сушилка навес\E33149364_3_20251119T110720Z.jpg</v>
      </c>
    </row>
    <row r="62" spans="1:13" x14ac:dyDescent="0.25">
      <c r="A62" t="s">
        <v>15</v>
      </c>
      <c r="B62" s="4">
        <v>45980</v>
      </c>
      <c r="C62" s="6">
        <v>0.47151620370370373</v>
      </c>
      <c r="D62" s="2" t="s">
        <v>1616</v>
      </c>
      <c r="E62" t="s">
        <v>70</v>
      </c>
      <c r="F62" t="s">
        <v>58</v>
      </c>
      <c r="H62" t="s">
        <v>2956</v>
      </c>
      <c r="I62" t="s">
        <v>2758</v>
      </c>
      <c r="J62" t="s">
        <v>1308</v>
      </c>
      <c r="K62" t="s">
        <v>2759</v>
      </c>
      <c r="L62" t="s">
        <v>2760</v>
      </c>
      <c r="M62" s="3" t="str">
        <f>HYPERLINK(Таблица3[[#This Row],[RelativePath]])</f>
        <v>10 Сушилка навес\E33149364_3_20251119T111859Z.jpg</v>
      </c>
    </row>
    <row r="63" spans="1:13" x14ac:dyDescent="0.25">
      <c r="A63" t="s">
        <v>15</v>
      </c>
      <c r="B63" s="4">
        <v>45980</v>
      </c>
      <c r="C63" s="6">
        <v>0.47458333333333336</v>
      </c>
      <c r="D63" s="2" t="s">
        <v>1616</v>
      </c>
      <c r="E63" t="s">
        <v>70</v>
      </c>
      <c r="F63" t="s">
        <v>2962</v>
      </c>
      <c r="H63" t="s">
        <v>2956</v>
      </c>
      <c r="I63" t="s">
        <v>2764</v>
      </c>
      <c r="J63" t="s">
        <v>1308</v>
      </c>
      <c r="K63" t="s">
        <v>2765</v>
      </c>
      <c r="L63" t="s">
        <v>2766</v>
      </c>
      <c r="M63" s="3" t="str">
        <f>HYPERLINK(Таблица3[[#This Row],[RelativePath]])</f>
        <v>10 Сушилка навес\E33149364_3_20251119T112324Z.jpg</v>
      </c>
    </row>
    <row r="64" spans="1:13" x14ac:dyDescent="0.25">
      <c r="A64" t="s">
        <v>15</v>
      </c>
      <c r="B64" s="4">
        <v>45980</v>
      </c>
      <c r="C64" s="6">
        <v>0.47570601851851851</v>
      </c>
      <c r="D64" s="2" t="s">
        <v>1616</v>
      </c>
      <c r="E64" t="s">
        <v>70</v>
      </c>
      <c r="F64" t="s">
        <v>58</v>
      </c>
      <c r="H64" t="s">
        <v>2963</v>
      </c>
      <c r="I64" t="s">
        <v>2767</v>
      </c>
      <c r="J64" t="s">
        <v>1308</v>
      </c>
      <c r="K64" t="s">
        <v>2768</v>
      </c>
      <c r="L64" t="s">
        <v>2769</v>
      </c>
      <c r="M64" s="3" t="str">
        <f>HYPERLINK(Таблица3[[#This Row],[RelativePath]])</f>
        <v>10 Сушилка навес\E33149364_3_20251119T112501Z.jpg</v>
      </c>
    </row>
    <row r="65" spans="1:13" x14ac:dyDescent="0.25">
      <c r="A65" t="s">
        <v>15</v>
      </c>
      <c r="B65" s="4">
        <v>45980</v>
      </c>
      <c r="C65" s="6">
        <v>0.46688657407407408</v>
      </c>
      <c r="D65" s="2" t="s">
        <v>1616</v>
      </c>
      <c r="E65" t="s">
        <v>70</v>
      </c>
      <c r="F65" t="s">
        <v>58</v>
      </c>
      <c r="H65" t="s">
        <v>2956</v>
      </c>
      <c r="I65" t="s">
        <v>2749</v>
      </c>
      <c r="J65" t="s">
        <v>1308</v>
      </c>
      <c r="K65" t="s">
        <v>2750</v>
      </c>
      <c r="L65" t="s">
        <v>2751</v>
      </c>
      <c r="M65" s="3" t="str">
        <f>HYPERLINK(Таблица3[[#This Row],[RelativePath]])</f>
        <v>10 Сушилка навес\E33149364_3_20251119T111219Z.jpg</v>
      </c>
    </row>
    <row r="66" spans="1:13" x14ac:dyDescent="0.25">
      <c r="A66" t="s">
        <v>15</v>
      </c>
      <c r="B66" s="4">
        <v>45980</v>
      </c>
      <c r="C66" s="6">
        <v>0.46755787037037039</v>
      </c>
      <c r="D66" s="2" t="s">
        <v>1616</v>
      </c>
      <c r="E66" t="s">
        <v>70</v>
      </c>
      <c r="F66" t="s">
        <v>58</v>
      </c>
      <c r="H66" t="s">
        <v>2956</v>
      </c>
      <c r="I66" t="s">
        <v>2752</v>
      </c>
      <c r="J66" t="s">
        <v>1308</v>
      </c>
      <c r="K66" t="s">
        <v>2753</v>
      </c>
      <c r="L66" t="s">
        <v>2754</v>
      </c>
      <c r="M66" s="3" t="str">
        <f>HYPERLINK(Таблица3[[#This Row],[RelativePath]])</f>
        <v>10 Сушилка навес\E33149364_3_20251119T111317Z.jpg</v>
      </c>
    </row>
    <row r="67" spans="1:13" x14ac:dyDescent="0.25">
      <c r="A67" t="s">
        <v>15</v>
      </c>
      <c r="B67" s="4">
        <v>45980</v>
      </c>
      <c r="C67" s="6">
        <v>0.46975694444444444</v>
      </c>
      <c r="D67" s="2" t="s">
        <v>1616</v>
      </c>
      <c r="E67" t="s">
        <v>70</v>
      </c>
      <c r="F67" t="s">
        <v>58</v>
      </c>
      <c r="H67" t="s">
        <v>2956</v>
      </c>
      <c r="I67" t="s">
        <v>2755</v>
      </c>
      <c r="J67" t="s">
        <v>1308</v>
      </c>
      <c r="K67" t="s">
        <v>2756</v>
      </c>
      <c r="L67" t="s">
        <v>2757</v>
      </c>
      <c r="M67" s="3" t="str">
        <f>HYPERLINK(Таблица3[[#This Row],[RelativePath]])</f>
        <v>10 Сушилка навес\E33149364_3_20251119T111627Z.jpg</v>
      </c>
    </row>
    <row r="68" spans="1:13" x14ac:dyDescent="0.25">
      <c r="A68" t="s">
        <v>17</v>
      </c>
      <c r="B68" s="4">
        <v>45982</v>
      </c>
      <c r="C68" s="6">
        <v>0.44034722222222222</v>
      </c>
      <c r="D68" s="2" t="s">
        <v>289</v>
      </c>
      <c r="E68" t="s">
        <v>2927</v>
      </c>
      <c r="F68" t="s">
        <v>2929</v>
      </c>
      <c r="H68" t="s">
        <v>2930</v>
      </c>
      <c r="I68" t="s">
        <v>2082</v>
      </c>
      <c r="J68" t="s">
        <v>204</v>
      </c>
      <c r="K68" t="s">
        <v>2083</v>
      </c>
      <c r="L68" t="s">
        <v>2084</v>
      </c>
      <c r="M68" s="3" t="str">
        <f>HYPERLINK(Таблица3[[#This Row],[RelativePath]])</f>
        <v>3 Въезд на базу\E33149364_8_20251121T103406Z.jpg</v>
      </c>
    </row>
    <row r="69" spans="1:13" x14ac:dyDescent="0.25">
      <c r="A69" t="s">
        <v>14</v>
      </c>
      <c r="B69" s="4">
        <v>45986</v>
      </c>
      <c r="C69" s="6">
        <v>0.62989583333333332</v>
      </c>
      <c r="D69" s="2" t="s">
        <v>289</v>
      </c>
      <c r="E69" t="s">
        <v>70</v>
      </c>
      <c r="F69" t="s">
        <v>58</v>
      </c>
      <c r="H69" t="s">
        <v>2936</v>
      </c>
      <c r="I69" t="s">
        <v>3940</v>
      </c>
      <c r="J69" t="s">
        <v>2985</v>
      </c>
      <c r="K69" t="s">
        <v>3941</v>
      </c>
      <c r="L69" t="s">
        <v>3942</v>
      </c>
      <c r="M69" s="3" t="str">
        <f>HYPERLINK(Таблица3[[#This Row],[RelativePath]])</f>
        <v>10 Сушилка навес\E33149364_3_20251125T150703Z.jpg</v>
      </c>
    </row>
    <row r="70" spans="1:13" x14ac:dyDescent="0.25">
      <c r="A70" t="s">
        <v>14</v>
      </c>
      <c r="B70" s="4">
        <v>45986</v>
      </c>
      <c r="C70" s="6">
        <v>0.62843749999999998</v>
      </c>
      <c r="D70" s="2" t="s">
        <v>289</v>
      </c>
      <c r="E70" t="s">
        <v>70</v>
      </c>
      <c r="F70" t="s">
        <v>58</v>
      </c>
      <c r="H70" t="s">
        <v>2936</v>
      </c>
      <c r="I70" t="s">
        <v>3931</v>
      </c>
      <c r="J70" t="s">
        <v>2985</v>
      </c>
      <c r="K70" t="s">
        <v>3932</v>
      </c>
      <c r="L70" t="s">
        <v>3933</v>
      </c>
      <c r="M70" s="3" t="str">
        <f>HYPERLINK(Таблица3[[#This Row],[RelativePath]])</f>
        <v>10 Сушилка навес\E33149364_3_20251125T150457Z.jpg</v>
      </c>
    </row>
    <row r="71" spans="1:13" x14ac:dyDescent="0.25">
      <c r="A71" t="s">
        <v>14</v>
      </c>
      <c r="B71" s="4">
        <v>45986</v>
      </c>
      <c r="C71" s="6">
        <v>0.62826388888888884</v>
      </c>
      <c r="D71" s="2" t="s">
        <v>289</v>
      </c>
      <c r="E71" t="s">
        <v>70</v>
      </c>
      <c r="F71" t="s">
        <v>58</v>
      </c>
      <c r="H71" t="s">
        <v>1620</v>
      </c>
      <c r="I71" t="s">
        <v>3928</v>
      </c>
      <c r="J71" t="s">
        <v>2985</v>
      </c>
      <c r="K71" t="s">
        <v>3929</v>
      </c>
      <c r="L71" t="s">
        <v>3930</v>
      </c>
      <c r="M71" s="3" t="str">
        <f>HYPERLINK(Таблица3[[#This Row],[RelativePath]])</f>
        <v>10 Сушилка навес\E33149364_3_20251125T150442Z.jpg</v>
      </c>
    </row>
    <row r="72" spans="1:13" x14ac:dyDescent="0.25">
      <c r="A72" t="s">
        <v>14</v>
      </c>
      <c r="B72" s="4">
        <v>45986</v>
      </c>
      <c r="C72" s="6">
        <v>0.62981481481481483</v>
      </c>
      <c r="D72" s="2" t="s">
        <v>289</v>
      </c>
      <c r="E72" t="s">
        <v>70</v>
      </c>
      <c r="F72" t="s">
        <v>58</v>
      </c>
      <c r="H72" t="s">
        <v>2936</v>
      </c>
      <c r="I72" t="s">
        <v>3937</v>
      </c>
      <c r="J72" t="s">
        <v>2985</v>
      </c>
      <c r="K72" t="s">
        <v>3938</v>
      </c>
      <c r="L72" t="s">
        <v>3939</v>
      </c>
      <c r="M72" s="3" t="str">
        <f>HYPERLINK(Таблица3[[#This Row],[RelativePath]])</f>
        <v>10 Сушилка навес\E33149364_3_20251125T150656Z.jpg</v>
      </c>
    </row>
    <row r="73" spans="1:13" x14ac:dyDescent="0.25">
      <c r="A73" t="s">
        <v>14</v>
      </c>
      <c r="B73" s="4">
        <v>45986</v>
      </c>
      <c r="C73" s="6">
        <v>0.62910879629629635</v>
      </c>
      <c r="D73" s="2" t="s">
        <v>289</v>
      </c>
      <c r="E73" t="s">
        <v>70</v>
      </c>
      <c r="F73" t="s">
        <v>58</v>
      </c>
      <c r="H73" t="s">
        <v>2936</v>
      </c>
      <c r="I73" t="s">
        <v>3934</v>
      </c>
      <c r="J73" t="s">
        <v>2985</v>
      </c>
      <c r="K73" t="s">
        <v>3935</v>
      </c>
      <c r="L73" t="s">
        <v>3936</v>
      </c>
      <c r="M73" s="3" t="str">
        <f>HYPERLINK(Таблица3[[#This Row],[RelativePath]])</f>
        <v>10 Сушилка навес\E33149364_3_20251125T150555Z.jpg</v>
      </c>
    </row>
    <row r="74" spans="1:13" x14ac:dyDescent="0.25">
      <c r="A74" t="s">
        <v>14</v>
      </c>
      <c r="B74" s="4">
        <v>45986</v>
      </c>
      <c r="C74" s="6">
        <v>0.6300810185185185</v>
      </c>
      <c r="D74" s="2" t="s">
        <v>289</v>
      </c>
      <c r="E74" t="s">
        <v>70</v>
      </c>
      <c r="F74" t="s">
        <v>58</v>
      </c>
      <c r="H74" t="s">
        <v>2936</v>
      </c>
      <c r="I74" t="s">
        <v>3943</v>
      </c>
      <c r="J74" t="s">
        <v>2985</v>
      </c>
      <c r="K74" t="s">
        <v>3944</v>
      </c>
      <c r="L74" t="s">
        <v>3945</v>
      </c>
      <c r="M74" s="3" t="str">
        <f>HYPERLINK(Таблица3[[#This Row],[RelativePath]])</f>
        <v>10 Сушилка навес\E33149364_3_20251125T150719Z.jpg</v>
      </c>
    </row>
    <row r="75" spans="1:13" x14ac:dyDescent="0.25">
      <c r="A75" t="s">
        <v>14</v>
      </c>
      <c r="B75" s="4">
        <v>45986</v>
      </c>
      <c r="C75" s="6">
        <v>0.63023148148148145</v>
      </c>
      <c r="D75" s="2" t="s">
        <v>289</v>
      </c>
      <c r="E75" t="s">
        <v>70</v>
      </c>
      <c r="F75" t="s">
        <v>58</v>
      </c>
      <c r="H75" t="s">
        <v>2936</v>
      </c>
      <c r="I75" t="s">
        <v>3946</v>
      </c>
      <c r="J75" t="s">
        <v>2985</v>
      </c>
      <c r="K75" t="s">
        <v>3947</v>
      </c>
      <c r="L75" t="s">
        <v>3948</v>
      </c>
      <c r="M75" s="3" t="str">
        <f>HYPERLINK(Таблица3[[#This Row],[RelativePath]])</f>
        <v>10 Сушилка навес\E33149364_3_20251125T150732Z.jpg</v>
      </c>
    </row>
    <row r="76" spans="1:13" x14ac:dyDescent="0.25">
      <c r="A76" t="s">
        <v>14</v>
      </c>
      <c r="B76" s="4">
        <v>45986</v>
      </c>
      <c r="C76" s="6">
        <v>0.6305439814814815</v>
      </c>
      <c r="D76" s="2" t="s">
        <v>289</v>
      </c>
      <c r="E76" t="s">
        <v>70</v>
      </c>
      <c r="F76" t="s">
        <v>58</v>
      </c>
      <c r="H76" t="s">
        <v>2936</v>
      </c>
      <c r="I76" t="s">
        <v>3949</v>
      </c>
      <c r="J76" t="s">
        <v>2985</v>
      </c>
      <c r="K76" t="s">
        <v>3950</v>
      </c>
      <c r="L76" t="s">
        <v>3951</v>
      </c>
      <c r="M76" s="3" t="str">
        <f>HYPERLINK(Таблица3[[#This Row],[RelativePath]])</f>
        <v>10 Сушилка навес\E33149364_3_20251125T150759Z.jpg</v>
      </c>
    </row>
    <row r="77" spans="1:13" x14ac:dyDescent="0.25">
      <c r="A77" t="s">
        <v>14</v>
      </c>
      <c r="B77" s="4">
        <v>45986</v>
      </c>
      <c r="C77" s="6">
        <v>0.6318287037037037</v>
      </c>
      <c r="D77" s="2" t="s">
        <v>289</v>
      </c>
      <c r="E77" t="s">
        <v>70</v>
      </c>
      <c r="F77" t="s">
        <v>4233</v>
      </c>
      <c r="H77" t="s">
        <v>1618</v>
      </c>
      <c r="I77" t="s">
        <v>3955</v>
      </c>
      <c r="J77" t="s">
        <v>2985</v>
      </c>
      <c r="K77" t="s">
        <v>3956</v>
      </c>
      <c r="L77" t="s">
        <v>3957</v>
      </c>
      <c r="M77" s="3" t="str">
        <f>HYPERLINK(Таблица3[[#This Row],[RelativePath]])</f>
        <v>10 Сушилка навес\E33149364_3_20251125T150950Z.jpg</v>
      </c>
    </row>
    <row r="78" spans="1:13" x14ac:dyDescent="0.25">
      <c r="A78" t="s">
        <v>15</v>
      </c>
      <c r="B78" s="4">
        <v>45987</v>
      </c>
      <c r="C78" s="6">
        <v>0.44269675925925928</v>
      </c>
      <c r="D78" s="2" t="s">
        <v>289</v>
      </c>
      <c r="E78" t="s">
        <v>4192</v>
      </c>
      <c r="F78" t="s">
        <v>58</v>
      </c>
      <c r="H78" t="s">
        <v>2936</v>
      </c>
      <c r="I78" t="s">
        <v>3980</v>
      </c>
      <c r="J78" t="s">
        <v>2985</v>
      </c>
      <c r="K78" t="s">
        <v>3981</v>
      </c>
      <c r="L78" t="s">
        <v>3982</v>
      </c>
      <c r="M78" s="3" t="str">
        <f>HYPERLINK(Таблица3[[#This Row],[RelativePath]])</f>
        <v>10 Сушилка навес\E33149364_3_20251126T103729Z.jpg</v>
      </c>
    </row>
    <row r="79" spans="1:13" x14ac:dyDescent="0.25">
      <c r="A79" t="s">
        <v>15</v>
      </c>
      <c r="B79" s="4">
        <v>45987</v>
      </c>
      <c r="C79" s="6">
        <v>0.44207175925925923</v>
      </c>
      <c r="D79" s="2" t="s">
        <v>289</v>
      </c>
      <c r="E79" t="s">
        <v>4192</v>
      </c>
      <c r="F79" t="s">
        <v>58</v>
      </c>
      <c r="H79" t="s">
        <v>1620</v>
      </c>
      <c r="I79" t="s">
        <v>3965</v>
      </c>
      <c r="J79" t="s">
        <v>2985</v>
      </c>
      <c r="K79" t="s">
        <v>3966</v>
      </c>
      <c r="L79" t="s">
        <v>3967</v>
      </c>
      <c r="M79" s="3" t="str">
        <f>HYPERLINK(Таблица3[[#This Row],[RelativePath]])</f>
        <v>10 Сушилка навес\E33149364_3_20251126T103635Z.jpg</v>
      </c>
    </row>
    <row r="80" spans="1:13" x14ac:dyDescent="0.25">
      <c r="A80" t="s">
        <v>15</v>
      </c>
      <c r="B80" s="4">
        <v>45987</v>
      </c>
      <c r="C80" s="6">
        <v>0.44216435185185188</v>
      </c>
      <c r="D80" s="2" t="s">
        <v>289</v>
      </c>
      <c r="E80" t="s">
        <v>4192</v>
      </c>
      <c r="F80" t="s">
        <v>58</v>
      </c>
      <c r="H80" t="s">
        <v>2936</v>
      </c>
      <c r="I80" t="s">
        <v>3968</v>
      </c>
      <c r="J80" t="s">
        <v>2985</v>
      </c>
      <c r="K80" t="s">
        <v>3969</v>
      </c>
      <c r="L80" t="s">
        <v>3970</v>
      </c>
      <c r="M80" s="3" t="str">
        <f>HYPERLINK(Таблица3[[#This Row],[RelativePath]])</f>
        <v>10 Сушилка навес\E33149364_3_20251126T103643Z.jpg</v>
      </c>
    </row>
    <row r="81" spans="1:13" x14ac:dyDescent="0.25">
      <c r="A81" t="s">
        <v>15</v>
      </c>
      <c r="B81" s="4">
        <v>45987</v>
      </c>
      <c r="C81" s="6">
        <v>0.44284722222222223</v>
      </c>
      <c r="D81" s="2" t="s">
        <v>289</v>
      </c>
      <c r="E81" t="s">
        <v>4192</v>
      </c>
      <c r="F81" t="s">
        <v>58</v>
      </c>
      <c r="H81" t="s">
        <v>2936</v>
      </c>
      <c r="I81" t="s">
        <v>3983</v>
      </c>
      <c r="J81" t="s">
        <v>2985</v>
      </c>
      <c r="K81" t="s">
        <v>3984</v>
      </c>
      <c r="L81" t="s">
        <v>3985</v>
      </c>
      <c r="M81" s="3" t="str">
        <f>HYPERLINK(Таблица3[[#This Row],[RelativePath]])</f>
        <v>10 Сушилка навес\E33149364_3_20251126T103742Z.jpg</v>
      </c>
    </row>
    <row r="82" spans="1:13" x14ac:dyDescent="0.25">
      <c r="A82" t="s">
        <v>15</v>
      </c>
      <c r="B82" s="4">
        <v>45987</v>
      </c>
      <c r="C82" s="6">
        <v>0.45056712962962964</v>
      </c>
      <c r="D82" s="2" t="s">
        <v>289</v>
      </c>
      <c r="E82" t="s">
        <v>4192</v>
      </c>
      <c r="F82" t="s">
        <v>58</v>
      </c>
      <c r="H82" t="s">
        <v>2936</v>
      </c>
      <c r="I82" t="s">
        <v>4013</v>
      </c>
      <c r="J82" t="s">
        <v>2985</v>
      </c>
      <c r="K82" t="s">
        <v>4014</v>
      </c>
      <c r="L82" t="s">
        <v>4015</v>
      </c>
      <c r="M82" s="3" t="str">
        <f>HYPERLINK(Таблица3[[#This Row],[RelativePath]])</f>
        <v>10 Сушилка навес\E33149364_3_20251126T104849Z.jpg</v>
      </c>
    </row>
    <row r="83" spans="1:13" x14ac:dyDescent="0.25">
      <c r="A83" t="s">
        <v>15</v>
      </c>
      <c r="B83" s="4">
        <v>45987</v>
      </c>
      <c r="C83" s="6">
        <v>0.44848379629629631</v>
      </c>
      <c r="D83" s="2" t="s">
        <v>289</v>
      </c>
      <c r="E83" t="s">
        <v>4192</v>
      </c>
      <c r="F83" t="s">
        <v>58</v>
      </c>
      <c r="H83" t="s">
        <v>2936</v>
      </c>
      <c r="I83" t="s">
        <v>4097</v>
      </c>
      <c r="J83" t="s">
        <v>2986</v>
      </c>
      <c r="K83" t="s">
        <v>4098</v>
      </c>
      <c r="L83" t="s">
        <v>4099</v>
      </c>
      <c r="M83" s="3" t="str">
        <f>HYPERLINK(Таблица3[[#This Row],[RelativePath]])</f>
        <v>11 С ангара на базу\E33149364_4_20251126T104549Z.jpg</v>
      </c>
    </row>
    <row r="84" spans="1:13" x14ac:dyDescent="0.25">
      <c r="A84" t="s">
        <v>15</v>
      </c>
      <c r="B84" s="4">
        <v>45987</v>
      </c>
      <c r="C84" s="6">
        <v>0.44864583333333335</v>
      </c>
      <c r="D84" s="2" t="s">
        <v>289</v>
      </c>
      <c r="E84" t="s">
        <v>4192</v>
      </c>
      <c r="F84" t="s">
        <v>58</v>
      </c>
      <c r="H84" t="s">
        <v>2936</v>
      </c>
      <c r="I84" t="s">
        <v>4100</v>
      </c>
      <c r="J84" t="s">
        <v>2986</v>
      </c>
      <c r="K84" t="s">
        <v>4101</v>
      </c>
      <c r="L84" t="s">
        <v>4102</v>
      </c>
      <c r="M84" s="3" t="str">
        <f>HYPERLINK(Таблица3[[#This Row],[RelativePath]])</f>
        <v>11 С ангара на базу\E33149364_4_20251126T104603Z.jpg</v>
      </c>
    </row>
    <row r="85" spans="1:13" x14ac:dyDescent="0.25">
      <c r="A85" t="s">
        <v>15</v>
      </c>
      <c r="B85" s="4">
        <v>45987</v>
      </c>
      <c r="C85" s="6">
        <v>0.44947916666666665</v>
      </c>
      <c r="D85" s="2" t="s">
        <v>289</v>
      </c>
      <c r="E85" t="s">
        <v>4192</v>
      </c>
      <c r="F85" t="s">
        <v>58</v>
      </c>
      <c r="H85" t="s">
        <v>2936</v>
      </c>
      <c r="I85" t="s">
        <v>4103</v>
      </c>
      <c r="J85" t="s">
        <v>2986</v>
      </c>
      <c r="K85" t="s">
        <v>4104</v>
      </c>
      <c r="L85" t="s">
        <v>4105</v>
      </c>
      <c r="M85" s="3" t="str">
        <f>HYPERLINK(Таблица3[[#This Row],[RelativePath]])</f>
        <v>11 С ангара на базу\E33149364_4_20251126T104715Z.jpg</v>
      </c>
    </row>
    <row r="86" spans="1:13" x14ac:dyDescent="0.25">
      <c r="A86" t="s">
        <v>15</v>
      </c>
      <c r="B86" s="4">
        <v>45987</v>
      </c>
      <c r="C86" s="6">
        <v>0.44723379629629628</v>
      </c>
      <c r="D86" s="2" t="s">
        <v>289</v>
      </c>
      <c r="E86" t="s">
        <v>4192</v>
      </c>
      <c r="F86" t="s">
        <v>58</v>
      </c>
      <c r="I86" t="s">
        <v>4094</v>
      </c>
      <c r="J86" t="s">
        <v>2986</v>
      </c>
      <c r="K86" t="s">
        <v>4095</v>
      </c>
      <c r="L86" t="s">
        <v>4096</v>
      </c>
      <c r="M86" s="3" t="str">
        <f>HYPERLINK(Таблица3[[#This Row],[RelativePath]])</f>
        <v>11 С ангара на базу\E33149364_4_20251126T104401Z.jpg</v>
      </c>
    </row>
    <row r="87" spans="1:13" x14ac:dyDescent="0.25">
      <c r="A87" t="s">
        <v>15</v>
      </c>
      <c r="B87" s="4">
        <v>45987</v>
      </c>
      <c r="C87" s="6">
        <v>0.44473379629629628</v>
      </c>
      <c r="D87" s="2" t="s">
        <v>289</v>
      </c>
      <c r="E87" t="s">
        <v>4192</v>
      </c>
      <c r="F87" t="s">
        <v>58</v>
      </c>
      <c r="H87" t="s">
        <v>2936</v>
      </c>
      <c r="I87" t="s">
        <v>3992</v>
      </c>
      <c r="J87" t="s">
        <v>2985</v>
      </c>
      <c r="K87" t="s">
        <v>3993</v>
      </c>
      <c r="L87" t="s">
        <v>3994</v>
      </c>
      <c r="M87" s="3" t="str">
        <f>HYPERLINK(Таблица3[[#This Row],[RelativePath]])</f>
        <v>10 Сушилка навес\E33149364_3_20251126T104025Z.jpg</v>
      </c>
    </row>
    <row r="88" spans="1:13" x14ac:dyDescent="0.25">
      <c r="A88" t="s">
        <v>15</v>
      </c>
      <c r="B88" s="4">
        <v>45987</v>
      </c>
      <c r="C88" s="6">
        <v>0.44495370370370368</v>
      </c>
      <c r="D88" s="2" t="s">
        <v>289</v>
      </c>
      <c r="E88" t="s">
        <v>4192</v>
      </c>
      <c r="F88" t="s">
        <v>58</v>
      </c>
      <c r="H88" t="s">
        <v>2936</v>
      </c>
      <c r="I88" t="s">
        <v>3995</v>
      </c>
      <c r="J88" t="s">
        <v>2985</v>
      </c>
      <c r="K88" t="s">
        <v>3996</v>
      </c>
      <c r="L88" t="s">
        <v>3997</v>
      </c>
      <c r="M88" s="3" t="str">
        <f>HYPERLINK(Таблица3[[#This Row],[RelativePath]])</f>
        <v>10 Сушилка навес\E33149364_3_20251126T104044Z.jpg</v>
      </c>
    </row>
    <row r="89" spans="1:13" x14ac:dyDescent="0.25">
      <c r="A89" t="s">
        <v>15</v>
      </c>
      <c r="B89" s="4">
        <v>45987</v>
      </c>
      <c r="C89" s="6">
        <v>0.4478125</v>
      </c>
      <c r="D89" s="2" t="s">
        <v>289</v>
      </c>
      <c r="E89" t="s">
        <v>4192</v>
      </c>
      <c r="F89" t="s">
        <v>58</v>
      </c>
      <c r="H89" t="s">
        <v>2936</v>
      </c>
      <c r="I89" t="s">
        <v>4010</v>
      </c>
      <c r="J89" t="s">
        <v>2985</v>
      </c>
      <c r="K89" t="s">
        <v>4011</v>
      </c>
      <c r="L89" t="s">
        <v>4012</v>
      </c>
      <c r="M89" s="3" t="str">
        <f>HYPERLINK(Таблица3[[#This Row],[RelativePath]])</f>
        <v>10 Сушилка навес\E33149364_3_20251126T104451Z.jpg</v>
      </c>
    </row>
    <row r="90" spans="1:13" x14ac:dyDescent="0.25">
      <c r="A90" t="s">
        <v>15</v>
      </c>
      <c r="B90" s="4">
        <v>45987</v>
      </c>
      <c r="C90" s="6">
        <v>0.44372685185185184</v>
      </c>
      <c r="D90" s="2" t="s">
        <v>289</v>
      </c>
      <c r="E90" t="s">
        <v>4192</v>
      </c>
      <c r="F90" t="s">
        <v>58</v>
      </c>
      <c r="I90" t="s">
        <v>3989</v>
      </c>
      <c r="J90" t="s">
        <v>2985</v>
      </c>
      <c r="K90" t="s">
        <v>3990</v>
      </c>
      <c r="L90" t="s">
        <v>3991</v>
      </c>
      <c r="M90" s="3" t="str">
        <f>HYPERLINK(Таблица3[[#This Row],[RelativePath]])</f>
        <v>10 Сушилка навес\E33149364_3_20251126T103858Z.jpg</v>
      </c>
    </row>
    <row r="91" spans="1:13" x14ac:dyDescent="0.25">
      <c r="A91" t="s">
        <v>15</v>
      </c>
      <c r="B91" s="4">
        <v>45987</v>
      </c>
      <c r="C91" s="6">
        <v>0.44767361111111109</v>
      </c>
      <c r="D91" s="2" t="s">
        <v>289</v>
      </c>
      <c r="E91" t="s">
        <v>4192</v>
      </c>
      <c r="F91" t="s">
        <v>58</v>
      </c>
      <c r="H91" t="s">
        <v>2936</v>
      </c>
      <c r="I91" t="s">
        <v>4007</v>
      </c>
      <c r="J91" t="s">
        <v>2985</v>
      </c>
      <c r="K91" t="s">
        <v>4008</v>
      </c>
      <c r="L91" t="s">
        <v>4009</v>
      </c>
      <c r="M91" s="3" t="str">
        <f>HYPERLINK(Таблица3[[#This Row],[RelativePath]])</f>
        <v>10 Сушилка навес\E33149364_3_20251126T104439Z.jpg</v>
      </c>
    </row>
    <row r="92" spans="1:13" x14ac:dyDescent="0.25">
      <c r="A92" t="s">
        <v>15</v>
      </c>
      <c r="B92" s="4">
        <v>45987</v>
      </c>
      <c r="C92" s="6">
        <v>0.44255787037037037</v>
      </c>
      <c r="D92" s="2" t="s">
        <v>289</v>
      </c>
      <c r="E92" t="s">
        <v>4192</v>
      </c>
      <c r="F92" t="s">
        <v>58</v>
      </c>
      <c r="H92" t="s">
        <v>2936</v>
      </c>
      <c r="I92" t="s">
        <v>3977</v>
      </c>
      <c r="J92" t="s">
        <v>2985</v>
      </c>
      <c r="K92" t="s">
        <v>3978</v>
      </c>
      <c r="L92" t="s">
        <v>3979</v>
      </c>
      <c r="M92" s="3" t="str">
        <f>HYPERLINK(Таблица3[[#This Row],[RelativePath]])</f>
        <v>10 Сушилка навес\E33149364_3_20251126T103717Z.jpg</v>
      </c>
    </row>
    <row r="93" spans="1:13" x14ac:dyDescent="0.25">
      <c r="A93" t="s">
        <v>15</v>
      </c>
      <c r="B93" s="4">
        <v>45987</v>
      </c>
      <c r="C93" s="6">
        <v>0.44241898148148145</v>
      </c>
      <c r="D93" s="2" t="s">
        <v>289</v>
      </c>
      <c r="E93" t="s">
        <v>4192</v>
      </c>
      <c r="F93" t="s">
        <v>58</v>
      </c>
      <c r="H93" t="s">
        <v>2936</v>
      </c>
      <c r="I93" t="s">
        <v>3974</v>
      </c>
      <c r="J93" t="s">
        <v>2985</v>
      </c>
      <c r="K93" t="s">
        <v>3975</v>
      </c>
      <c r="L93" t="s">
        <v>3976</v>
      </c>
      <c r="M93" s="3" t="str">
        <f>HYPERLINK(Таблица3[[#This Row],[RelativePath]])</f>
        <v>10 Сушилка навес\E33149364_3_20251126T103705Z.jpg</v>
      </c>
    </row>
    <row r="94" spans="1:13" x14ac:dyDescent="0.25">
      <c r="A94" t="s">
        <v>15</v>
      </c>
      <c r="B94" s="4">
        <v>45987</v>
      </c>
      <c r="C94" s="6">
        <v>0.44226851851851851</v>
      </c>
      <c r="D94" s="2" t="s">
        <v>289</v>
      </c>
      <c r="E94" t="s">
        <v>4192</v>
      </c>
      <c r="F94" t="s">
        <v>58</v>
      </c>
      <c r="H94" t="s">
        <v>2936</v>
      </c>
      <c r="I94" t="s">
        <v>3971</v>
      </c>
      <c r="J94" t="s">
        <v>2985</v>
      </c>
      <c r="K94" t="s">
        <v>3972</v>
      </c>
      <c r="L94" t="s">
        <v>3973</v>
      </c>
      <c r="M94" s="3" t="str">
        <f>HYPERLINK(Таблица3[[#This Row],[RelativePath]])</f>
        <v>10 Сушилка навес\E33149364_3_20251126T103652Z.jpg</v>
      </c>
    </row>
    <row r="95" spans="1:13" x14ac:dyDescent="0.25">
      <c r="A95" t="s">
        <v>15</v>
      </c>
      <c r="B95" s="4">
        <v>45987</v>
      </c>
      <c r="C95" s="6">
        <v>0.4475925925925926</v>
      </c>
      <c r="D95" s="2" t="s">
        <v>289</v>
      </c>
      <c r="E95" t="s">
        <v>4192</v>
      </c>
      <c r="F95" t="s">
        <v>58</v>
      </c>
      <c r="I95" t="s">
        <v>4004</v>
      </c>
      <c r="J95" t="s">
        <v>2985</v>
      </c>
      <c r="K95" t="s">
        <v>4005</v>
      </c>
      <c r="L95" t="s">
        <v>4006</v>
      </c>
      <c r="M95" s="3" t="str">
        <f>HYPERLINK(Таблица3[[#This Row],[RelativePath]])</f>
        <v>10 Сушилка навес\E33149364_3_20251126T104432Z.jpg</v>
      </c>
    </row>
    <row r="96" spans="1:13" x14ac:dyDescent="0.25">
      <c r="A96" t="s">
        <v>18</v>
      </c>
      <c r="B96" s="4">
        <v>45990</v>
      </c>
      <c r="C96" s="6">
        <v>0.63124999999999998</v>
      </c>
      <c r="D96" s="2" t="s">
        <v>289</v>
      </c>
      <c r="E96" t="s">
        <v>4194</v>
      </c>
      <c r="F96" t="s">
        <v>4211</v>
      </c>
      <c r="H96" t="s">
        <v>2936</v>
      </c>
      <c r="I96" t="s">
        <v>3630</v>
      </c>
      <c r="J96" t="s">
        <v>2984</v>
      </c>
      <c r="K96" t="s">
        <v>3631</v>
      </c>
      <c r="L96" t="s">
        <v>3632</v>
      </c>
      <c r="M96" s="3" t="str">
        <f>HYPERLINK(Таблица3[[#This Row],[RelativePath]])</f>
        <v>7 Площадка 2 бетонщики\K07156189_18_20251129T150900Z.jpg</v>
      </c>
    </row>
    <row r="97" spans="1:13" x14ac:dyDescent="0.25">
      <c r="A97" t="s">
        <v>18</v>
      </c>
      <c r="B97" s="4">
        <v>45990</v>
      </c>
      <c r="C97" s="6">
        <v>0.62604166666666672</v>
      </c>
      <c r="D97" s="2" t="s">
        <v>289</v>
      </c>
      <c r="E97" t="s">
        <v>4194</v>
      </c>
      <c r="F97" t="s">
        <v>4211</v>
      </c>
      <c r="H97" t="s">
        <v>2936</v>
      </c>
      <c r="I97" t="s">
        <v>3627</v>
      </c>
      <c r="J97" t="s">
        <v>2984</v>
      </c>
      <c r="K97" t="s">
        <v>3628</v>
      </c>
      <c r="L97" t="s">
        <v>3629</v>
      </c>
      <c r="M97" s="3" t="str">
        <f>HYPERLINK(Таблица3[[#This Row],[RelativePath]])</f>
        <v>7 Площадка 2 бетонщики\K07156189_18_20251129T150130Z.jpg</v>
      </c>
    </row>
    <row r="98" spans="1:13" x14ac:dyDescent="0.25">
      <c r="A98" t="s">
        <v>18</v>
      </c>
      <c r="B98" s="4">
        <v>45990</v>
      </c>
      <c r="C98" s="6">
        <v>0.67753472222222222</v>
      </c>
      <c r="D98" s="2" t="s">
        <v>289</v>
      </c>
      <c r="E98" t="s">
        <v>4195</v>
      </c>
      <c r="F98" t="s">
        <v>4211</v>
      </c>
      <c r="H98" t="s">
        <v>2936</v>
      </c>
      <c r="I98" t="s">
        <v>3689</v>
      </c>
      <c r="J98" t="s">
        <v>2984</v>
      </c>
      <c r="K98" t="s">
        <v>3690</v>
      </c>
      <c r="L98" t="s">
        <v>3691</v>
      </c>
      <c r="M98" s="3" t="str">
        <f>HYPERLINK(Таблица3[[#This Row],[RelativePath]])</f>
        <v>7 Площадка 2 бетонщики\K07156189_18_20251129T161539Z.jpg</v>
      </c>
    </row>
    <row r="99" spans="1:13" x14ac:dyDescent="0.25">
      <c r="A99" t="s">
        <v>18</v>
      </c>
      <c r="B99" s="4">
        <v>45990</v>
      </c>
      <c r="C99" s="6">
        <v>0.65699074074074071</v>
      </c>
      <c r="D99" s="2" t="s">
        <v>289</v>
      </c>
      <c r="E99" t="s">
        <v>4195</v>
      </c>
      <c r="F99" t="s">
        <v>4211</v>
      </c>
      <c r="H99" t="s">
        <v>2936</v>
      </c>
      <c r="I99" t="s">
        <v>3659</v>
      </c>
      <c r="J99" t="s">
        <v>2984</v>
      </c>
      <c r="K99" t="s">
        <v>3660</v>
      </c>
      <c r="L99" t="s">
        <v>3661</v>
      </c>
      <c r="M99" s="3" t="str">
        <f>HYPERLINK(Таблица3[[#This Row],[RelativePath]])</f>
        <v>7 Площадка 2 бетонщики\K07156189_18_20251129T154604Z.jpg</v>
      </c>
    </row>
    <row r="100" spans="1:13" x14ac:dyDescent="0.25">
      <c r="A100" t="s">
        <v>18</v>
      </c>
      <c r="B100" s="4">
        <v>45990</v>
      </c>
      <c r="C100" s="6">
        <v>0.62410879629629634</v>
      </c>
      <c r="D100" s="2" t="s">
        <v>289</v>
      </c>
      <c r="E100" t="s">
        <v>4194</v>
      </c>
      <c r="F100" t="s">
        <v>4211</v>
      </c>
      <c r="H100" t="s">
        <v>2936</v>
      </c>
      <c r="I100" t="s">
        <v>3624</v>
      </c>
      <c r="J100" t="s">
        <v>2984</v>
      </c>
      <c r="K100" t="s">
        <v>3625</v>
      </c>
      <c r="L100" t="s">
        <v>3626</v>
      </c>
      <c r="M100" s="3" t="str">
        <f>HYPERLINK(Таблица3[[#This Row],[RelativePath]])</f>
        <v>7 Площадка 2 бетонщики\K07156189_18_20251129T145843Z.jpg</v>
      </c>
    </row>
    <row r="101" spans="1:13" x14ac:dyDescent="0.25">
      <c r="A101" t="s">
        <v>18</v>
      </c>
      <c r="B101" s="4">
        <v>45990</v>
      </c>
      <c r="C101" s="6">
        <v>0.61790509259259263</v>
      </c>
      <c r="D101" s="2" t="s">
        <v>289</v>
      </c>
      <c r="E101" t="s">
        <v>4194</v>
      </c>
      <c r="F101" t="s">
        <v>4211</v>
      </c>
      <c r="H101" t="s">
        <v>2936</v>
      </c>
      <c r="I101" t="s">
        <v>3615</v>
      </c>
      <c r="J101" t="s">
        <v>2984</v>
      </c>
      <c r="K101" t="s">
        <v>3616</v>
      </c>
      <c r="L101" t="s">
        <v>3617</v>
      </c>
      <c r="M101" s="3" t="str">
        <f>HYPERLINK(Таблица3[[#This Row],[RelativePath]])</f>
        <v>7 Площадка 2 бетонщики\K07156189_18_20251129T144947Z.jpg</v>
      </c>
    </row>
    <row r="102" spans="1:13" x14ac:dyDescent="0.25">
      <c r="A102" t="s">
        <v>18</v>
      </c>
      <c r="B102" s="4">
        <v>45990</v>
      </c>
      <c r="C102" s="6">
        <v>0.64386574074074077</v>
      </c>
      <c r="D102" s="2" t="s">
        <v>289</v>
      </c>
      <c r="E102" t="s">
        <v>4194</v>
      </c>
      <c r="F102" t="s">
        <v>87</v>
      </c>
      <c r="I102" t="s">
        <v>3645</v>
      </c>
      <c r="J102" t="s">
        <v>2984</v>
      </c>
      <c r="K102" t="s">
        <v>3646</v>
      </c>
      <c r="L102" t="s">
        <v>3647</v>
      </c>
      <c r="M102" s="3" t="str">
        <f>HYPERLINK(Таблица3[[#This Row],[RelativePath]])</f>
        <v>7 Площадка 2 бетонщики\K07156189_18_20251129T152710Z.jpg</v>
      </c>
    </row>
    <row r="103" spans="1:13" x14ac:dyDescent="0.25">
      <c r="A103" t="s">
        <v>18</v>
      </c>
      <c r="B103" s="4">
        <v>45990</v>
      </c>
      <c r="C103" s="6">
        <v>0.65312499999999996</v>
      </c>
      <c r="D103" s="2" t="s">
        <v>289</v>
      </c>
      <c r="E103" t="s">
        <v>4195</v>
      </c>
      <c r="F103" t="s">
        <v>4211</v>
      </c>
      <c r="I103" t="s">
        <v>3653</v>
      </c>
      <c r="J103" t="s">
        <v>2984</v>
      </c>
      <c r="K103" t="s">
        <v>3654</v>
      </c>
      <c r="L103" t="s">
        <v>3655</v>
      </c>
      <c r="M103" s="3" t="str">
        <f>HYPERLINK(Таблица3[[#This Row],[RelativePath]])</f>
        <v>7 Площадка 2 бетонщики\K07156189_18_20251129T154030Z.jpg</v>
      </c>
    </row>
    <row r="104" spans="1:13" x14ac:dyDescent="0.25">
      <c r="A104" t="s">
        <v>18</v>
      </c>
      <c r="B104" s="4">
        <v>45990</v>
      </c>
      <c r="C104" s="6">
        <v>0.65543981481481484</v>
      </c>
      <c r="D104" s="2" t="s">
        <v>289</v>
      </c>
      <c r="E104" t="s">
        <v>4195</v>
      </c>
      <c r="F104" t="s">
        <v>4211</v>
      </c>
      <c r="H104" t="s">
        <v>2936</v>
      </c>
      <c r="I104" t="s">
        <v>3656</v>
      </c>
      <c r="J104" t="s">
        <v>2984</v>
      </c>
      <c r="K104" t="s">
        <v>3657</v>
      </c>
      <c r="L104" t="s">
        <v>3658</v>
      </c>
      <c r="M104" s="3" t="str">
        <f>HYPERLINK(Таблица3[[#This Row],[RelativePath]])</f>
        <v>7 Площадка 2 бетонщики\K07156189_18_20251129T154350Z.jpg</v>
      </c>
    </row>
    <row r="105" spans="1:13" x14ac:dyDescent="0.25">
      <c r="A105" t="s">
        <v>18</v>
      </c>
      <c r="B105" s="4">
        <v>45990</v>
      </c>
      <c r="C105" s="6">
        <v>0.61982638888888886</v>
      </c>
      <c r="D105" s="2" t="s">
        <v>289</v>
      </c>
      <c r="E105" t="s">
        <v>4194</v>
      </c>
      <c r="F105" t="s">
        <v>4211</v>
      </c>
      <c r="H105" t="s">
        <v>2936</v>
      </c>
      <c r="I105" t="s">
        <v>3618</v>
      </c>
      <c r="J105" t="s">
        <v>2984</v>
      </c>
      <c r="K105" t="s">
        <v>3619</v>
      </c>
      <c r="L105" t="s">
        <v>3620</v>
      </c>
      <c r="M105" s="3" t="str">
        <f>HYPERLINK(Таблица3[[#This Row],[RelativePath]])</f>
        <v>7 Площадка 2 бетонщики\K07156189_18_20251129T145233Z.jpg</v>
      </c>
    </row>
    <row r="106" spans="1:13" x14ac:dyDescent="0.25">
      <c r="A106" t="s">
        <v>18</v>
      </c>
      <c r="B106" s="4">
        <v>45990</v>
      </c>
      <c r="C106" s="6">
        <v>0.6216666666666667</v>
      </c>
      <c r="D106" s="2" t="s">
        <v>289</v>
      </c>
      <c r="E106" t="s">
        <v>4194</v>
      </c>
      <c r="F106" t="s">
        <v>4211</v>
      </c>
      <c r="H106" t="s">
        <v>2936</v>
      </c>
      <c r="I106" t="s">
        <v>3621</v>
      </c>
      <c r="J106" t="s">
        <v>2984</v>
      </c>
      <c r="K106" t="s">
        <v>3622</v>
      </c>
      <c r="L106" t="s">
        <v>3623</v>
      </c>
      <c r="M106" s="3" t="str">
        <f>HYPERLINK(Таблица3[[#This Row],[RelativePath]])</f>
        <v>7 Площадка 2 бетонщики\K07156189_18_20251129T145512Z.jpg</v>
      </c>
    </row>
    <row r="107" spans="1:13" x14ac:dyDescent="0.25">
      <c r="A107" t="s">
        <v>18</v>
      </c>
      <c r="B107" s="4">
        <v>45990</v>
      </c>
      <c r="C107" s="6">
        <v>0.6338773148148148</v>
      </c>
      <c r="D107" s="2" t="s">
        <v>289</v>
      </c>
      <c r="E107" t="s">
        <v>4194</v>
      </c>
      <c r="F107" t="s">
        <v>4211</v>
      </c>
      <c r="H107" t="s">
        <v>2936</v>
      </c>
      <c r="I107" t="s">
        <v>3633</v>
      </c>
      <c r="J107" t="s">
        <v>2984</v>
      </c>
      <c r="K107" t="s">
        <v>3634</v>
      </c>
      <c r="L107" t="s">
        <v>3635</v>
      </c>
      <c r="M107" s="3" t="str">
        <f>HYPERLINK(Таблица3[[#This Row],[RelativePath]])</f>
        <v>7 Площадка 2 бетонщики\K07156189_18_20251129T151247Z.jpg</v>
      </c>
    </row>
    <row r="108" spans="1:13" x14ac:dyDescent="0.25">
      <c r="A108" t="s">
        <v>18</v>
      </c>
      <c r="B108" s="4">
        <v>45990</v>
      </c>
      <c r="C108" s="6">
        <v>0.67155092592592591</v>
      </c>
      <c r="D108" s="2" t="s">
        <v>289</v>
      </c>
      <c r="E108" t="s">
        <v>4195</v>
      </c>
      <c r="F108" t="s">
        <v>4211</v>
      </c>
      <c r="H108" t="s">
        <v>2936</v>
      </c>
      <c r="I108" t="s">
        <v>3677</v>
      </c>
      <c r="J108" t="s">
        <v>2984</v>
      </c>
      <c r="K108" t="s">
        <v>3678</v>
      </c>
      <c r="L108" t="s">
        <v>3679</v>
      </c>
      <c r="M108" s="3" t="str">
        <f>HYPERLINK(Таблица3[[#This Row],[RelativePath]])</f>
        <v>7 Площадка 2 бетонщики\K07156189_18_20251129T160702Z.jpg</v>
      </c>
    </row>
    <row r="109" spans="1:13" x14ac:dyDescent="0.25">
      <c r="A109" t="s">
        <v>18</v>
      </c>
      <c r="B109" s="4">
        <v>45990</v>
      </c>
      <c r="C109" s="6">
        <v>0.65927083333333336</v>
      </c>
      <c r="D109" s="2" t="s">
        <v>289</v>
      </c>
      <c r="E109" t="s">
        <v>4195</v>
      </c>
      <c r="F109" t="s">
        <v>4211</v>
      </c>
      <c r="H109" t="s">
        <v>2936</v>
      </c>
      <c r="I109" t="s">
        <v>3662</v>
      </c>
      <c r="J109" t="s">
        <v>2984</v>
      </c>
      <c r="K109" t="s">
        <v>3663</v>
      </c>
      <c r="L109" t="s">
        <v>3664</v>
      </c>
      <c r="M109" s="3" t="str">
        <f>HYPERLINK(Таблица3[[#This Row],[RelativePath]])</f>
        <v>7 Площадка 2 бетонщики\K07156189_18_20251129T154921Z.jpg</v>
      </c>
    </row>
    <row r="110" spans="1:13" x14ac:dyDescent="0.25">
      <c r="A110" t="s">
        <v>18</v>
      </c>
      <c r="B110" s="4">
        <v>45990</v>
      </c>
      <c r="C110" s="6">
        <v>0.66106481481481483</v>
      </c>
      <c r="D110" s="2" t="s">
        <v>289</v>
      </c>
      <c r="E110" t="s">
        <v>4195</v>
      </c>
      <c r="F110" t="s">
        <v>4211</v>
      </c>
      <c r="H110" t="s">
        <v>2936</v>
      </c>
      <c r="I110" t="s">
        <v>3665</v>
      </c>
      <c r="J110" t="s">
        <v>2984</v>
      </c>
      <c r="K110" t="s">
        <v>3666</v>
      </c>
      <c r="L110" t="s">
        <v>3667</v>
      </c>
      <c r="M110" s="3" t="str">
        <f>HYPERLINK(Таблица3[[#This Row],[RelativePath]])</f>
        <v>7 Площадка 2 бетонщики\K07156189_18_20251129T155156Z.jpg</v>
      </c>
    </row>
    <row r="111" spans="1:13" x14ac:dyDescent="0.25">
      <c r="A111" t="s">
        <v>18</v>
      </c>
      <c r="B111" s="4">
        <v>45990</v>
      </c>
      <c r="C111" s="6">
        <v>0.69054398148148144</v>
      </c>
      <c r="D111" s="2" t="s">
        <v>289</v>
      </c>
      <c r="E111" t="s">
        <v>4211</v>
      </c>
      <c r="H111" t="s">
        <v>2936</v>
      </c>
      <c r="I111" t="s">
        <v>3462</v>
      </c>
      <c r="J111" t="s">
        <v>2983</v>
      </c>
      <c r="K111" t="s">
        <v>3463</v>
      </c>
      <c r="L111" t="s">
        <v>3464</v>
      </c>
      <c r="M111" s="3" t="str">
        <f>HYPERLINK(Таблица3[[#This Row],[RelativePath]])</f>
        <v>6 Площадка 1 общага\826398429_1_20251129T163423Z.jpg</v>
      </c>
    </row>
    <row r="112" spans="1:13" x14ac:dyDescent="0.25">
      <c r="A112" t="s">
        <v>18</v>
      </c>
      <c r="B112" s="4">
        <v>45990</v>
      </c>
      <c r="C112" s="6">
        <v>0.66733796296296299</v>
      </c>
      <c r="D112" s="2" t="s">
        <v>289</v>
      </c>
      <c r="E112" t="s">
        <v>4195</v>
      </c>
      <c r="F112" t="s">
        <v>4211</v>
      </c>
      <c r="H112" t="s">
        <v>2936</v>
      </c>
      <c r="I112" t="s">
        <v>3671</v>
      </c>
      <c r="J112" t="s">
        <v>2984</v>
      </c>
      <c r="K112" t="s">
        <v>3672</v>
      </c>
      <c r="L112" t="s">
        <v>3673</v>
      </c>
      <c r="M112" s="3" t="str">
        <f>HYPERLINK(Таблица3[[#This Row],[RelativePath]])</f>
        <v>7 Площадка 2 бетонщики\K07156189_18_20251129T160058Z.jpg</v>
      </c>
    </row>
    <row r="113" spans="1:13" x14ac:dyDescent="0.25">
      <c r="A113" t="s">
        <v>18</v>
      </c>
      <c r="B113" s="4">
        <v>45990</v>
      </c>
      <c r="C113" s="6">
        <v>0.66971064814814818</v>
      </c>
      <c r="D113" s="2" t="s">
        <v>289</v>
      </c>
      <c r="E113" t="s">
        <v>4195</v>
      </c>
      <c r="F113" t="s">
        <v>4211</v>
      </c>
      <c r="H113" t="s">
        <v>2936</v>
      </c>
      <c r="I113" t="s">
        <v>3674</v>
      </c>
      <c r="J113" t="s">
        <v>2984</v>
      </c>
      <c r="K113" t="s">
        <v>3675</v>
      </c>
      <c r="L113" t="s">
        <v>3676</v>
      </c>
      <c r="M113" s="3" t="str">
        <f>HYPERLINK(Таблица3[[#This Row],[RelativePath]])</f>
        <v>7 Площадка 2 бетонщики\K07156189_18_20251129T160423Z.jpg</v>
      </c>
    </row>
    <row r="114" spans="1:13" x14ac:dyDescent="0.25">
      <c r="A114" t="s">
        <v>18</v>
      </c>
      <c r="B114" s="4">
        <v>45990</v>
      </c>
      <c r="C114" s="6">
        <v>0.66378472222222218</v>
      </c>
      <c r="D114" s="2" t="s">
        <v>289</v>
      </c>
      <c r="E114" t="s">
        <v>4195</v>
      </c>
      <c r="F114" t="s">
        <v>4211</v>
      </c>
      <c r="H114" t="s">
        <v>2936</v>
      </c>
      <c r="I114" t="s">
        <v>3668</v>
      </c>
      <c r="J114" t="s">
        <v>2984</v>
      </c>
      <c r="K114" t="s">
        <v>3669</v>
      </c>
      <c r="L114" t="s">
        <v>3670</v>
      </c>
      <c r="M114" s="3" t="str">
        <f>HYPERLINK(Таблица3[[#This Row],[RelativePath]])</f>
        <v>7 Площадка 2 бетонщики\K07156189_18_20251129T155551Z.jpg</v>
      </c>
    </row>
    <row r="115" spans="1:13" x14ac:dyDescent="0.25">
      <c r="A115" t="s">
        <v>18</v>
      </c>
      <c r="B115" s="4">
        <v>45990</v>
      </c>
      <c r="C115" s="6">
        <v>0.68376157407407412</v>
      </c>
      <c r="D115" s="2" t="s">
        <v>289</v>
      </c>
      <c r="E115" t="s">
        <v>4195</v>
      </c>
      <c r="F115" t="s">
        <v>4211</v>
      </c>
      <c r="H115" t="s">
        <v>2936</v>
      </c>
      <c r="I115" t="s">
        <v>3698</v>
      </c>
      <c r="J115" t="s">
        <v>2984</v>
      </c>
      <c r="K115" t="s">
        <v>3699</v>
      </c>
      <c r="L115" t="s">
        <v>3700</v>
      </c>
      <c r="M115" s="3" t="str">
        <f>HYPERLINK(Таблица3[[#This Row],[RelativePath]])</f>
        <v>7 Площадка 2 бетонщики\K07156189_18_20251129T162437Z.jpg</v>
      </c>
    </row>
    <row r="116" spans="1:13" x14ac:dyDescent="0.25">
      <c r="A116" t="s">
        <v>18</v>
      </c>
      <c r="B116" s="4">
        <v>45990</v>
      </c>
      <c r="C116" s="6">
        <v>0.67570601851851853</v>
      </c>
      <c r="D116" s="2" t="s">
        <v>289</v>
      </c>
      <c r="E116" t="s">
        <v>4195</v>
      </c>
      <c r="F116" t="s">
        <v>4211</v>
      </c>
      <c r="H116" t="s">
        <v>2936</v>
      </c>
      <c r="I116" t="s">
        <v>3683</v>
      </c>
      <c r="J116" t="s">
        <v>2984</v>
      </c>
      <c r="K116" t="s">
        <v>3684</v>
      </c>
      <c r="L116" t="s">
        <v>3685</v>
      </c>
      <c r="M116" s="3" t="str">
        <f>HYPERLINK(Таблица3[[#This Row],[RelativePath]])</f>
        <v>7 Площадка 2 бетонщики\K07156189_18_20251129T161301Z.jpg</v>
      </c>
    </row>
    <row r="117" spans="1:13" x14ac:dyDescent="0.25">
      <c r="A117" t="s">
        <v>18</v>
      </c>
      <c r="B117" s="4">
        <v>45990</v>
      </c>
      <c r="C117" s="6">
        <v>0.67623842592592598</v>
      </c>
      <c r="D117" s="2" t="s">
        <v>289</v>
      </c>
      <c r="E117" t="s">
        <v>4195</v>
      </c>
      <c r="F117" t="s">
        <v>4211</v>
      </c>
      <c r="H117" t="s">
        <v>2936</v>
      </c>
      <c r="I117" t="s">
        <v>3686</v>
      </c>
      <c r="J117" t="s">
        <v>2984</v>
      </c>
      <c r="K117" t="s">
        <v>3687</v>
      </c>
      <c r="L117" t="s">
        <v>3688</v>
      </c>
      <c r="M117" s="3" t="str">
        <f>HYPERLINK(Таблица3[[#This Row],[RelativePath]])</f>
        <v>7 Площадка 2 бетонщики\K07156189_18_20251129T161347Z.jpg</v>
      </c>
    </row>
    <row r="118" spans="1:13" x14ac:dyDescent="0.25">
      <c r="A118" t="s">
        <v>18</v>
      </c>
      <c r="B118" s="4">
        <v>45990</v>
      </c>
      <c r="C118" s="6">
        <v>0.67405092592592597</v>
      </c>
      <c r="D118" s="2" t="s">
        <v>289</v>
      </c>
      <c r="E118" t="s">
        <v>4195</v>
      </c>
      <c r="F118" t="s">
        <v>4211</v>
      </c>
      <c r="H118" t="s">
        <v>2936</v>
      </c>
      <c r="I118" t="s">
        <v>3680</v>
      </c>
      <c r="J118" t="s">
        <v>2984</v>
      </c>
      <c r="K118" t="s">
        <v>3681</v>
      </c>
      <c r="L118" t="s">
        <v>3682</v>
      </c>
      <c r="M118" s="3" t="str">
        <f>HYPERLINK(Таблица3[[#This Row],[RelativePath]])</f>
        <v>7 Площадка 2 бетонщики\K07156189_18_20251129T161038Z.jpg</v>
      </c>
    </row>
    <row r="119" spans="1:13" x14ac:dyDescent="0.25">
      <c r="A119" t="s">
        <v>18</v>
      </c>
      <c r="B119" s="4">
        <v>45990</v>
      </c>
      <c r="C119" s="6">
        <v>0.68038194444444444</v>
      </c>
      <c r="D119" s="2" t="s">
        <v>289</v>
      </c>
      <c r="E119" t="s">
        <v>4195</v>
      </c>
      <c r="F119" t="s">
        <v>4211</v>
      </c>
      <c r="H119" t="s">
        <v>2936</v>
      </c>
      <c r="I119" t="s">
        <v>3692</v>
      </c>
      <c r="J119" t="s">
        <v>2984</v>
      </c>
      <c r="K119" t="s">
        <v>3693</v>
      </c>
      <c r="L119" t="s">
        <v>3694</v>
      </c>
      <c r="M119" s="3" t="str">
        <f>HYPERLINK(Таблица3[[#This Row],[RelativePath]])</f>
        <v>7 Площадка 2 бетонщики\K07156189_18_20251129T161945Z.jpg</v>
      </c>
    </row>
    <row r="120" spans="1:13" x14ac:dyDescent="0.25">
      <c r="A120" t="s">
        <v>18</v>
      </c>
      <c r="B120" s="4">
        <v>45990</v>
      </c>
      <c r="C120" s="6">
        <v>0.68329861111111112</v>
      </c>
      <c r="D120" s="2" t="s">
        <v>289</v>
      </c>
      <c r="E120" t="s">
        <v>4195</v>
      </c>
      <c r="F120" t="s">
        <v>4211</v>
      </c>
      <c r="H120" t="s">
        <v>2936</v>
      </c>
      <c r="I120" t="s">
        <v>3695</v>
      </c>
      <c r="J120" t="s">
        <v>2984</v>
      </c>
      <c r="K120" t="s">
        <v>3696</v>
      </c>
      <c r="L120" t="s">
        <v>3697</v>
      </c>
      <c r="M120" s="3" t="str">
        <f>HYPERLINK(Таблица3[[#This Row],[RelativePath]])</f>
        <v>7 Площадка 2 бетонщики\K07156189_18_20251129T162357Z.jpg</v>
      </c>
    </row>
    <row r="121" spans="1:13" x14ac:dyDescent="0.25">
      <c r="A121" t="s">
        <v>18</v>
      </c>
      <c r="B121" s="4">
        <v>45990</v>
      </c>
      <c r="C121" s="6">
        <v>0.68625000000000003</v>
      </c>
      <c r="D121" s="2" t="s">
        <v>289</v>
      </c>
      <c r="E121" t="s">
        <v>4195</v>
      </c>
      <c r="F121" t="s">
        <v>4211</v>
      </c>
      <c r="H121" t="s">
        <v>2936</v>
      </c>
      <c r="I121" t="s">
        <v>3701</v>
      </c>
      <c r="J121" t="s">
        <v>2984</v>
      </c>
      <c r="K121" t="s">
        <v>3702</v>
      </c>
      <c r="L121" t="s">
        <v>3703</v>
      </c>
      <c r="M121" s="3" t="str">
        <f>HYPERLINK(Таблица3[[#This Row],[RelativePath]])</f>
        <v>7 Площадка 2 бетонщики\K07156189_18_20251129T162812Z.jpg</v>
      </c>
    </row>
    <row r="122" spans="1:13" x14ac:dyDescent="0.25">
      <c r="A122" t="s">
        <v>18</v>
      </c>
      <c r="B122" s="4">
        <v>45990</v>
      </c>
      <c r="C122" s="6">
        <v>0.68951388888888887</v>
      </c>
      <c r="D122" s="2" t="s">
        <v>289</v>
      </c>
      <c r="E122" t="s">
        <v>4195</v>
      </c>
      <c r="F122" t="s">
        <v>4211</v>
      </c>
      <c r="H122" t="s">
        <v>2936</v>
      </c>
      <c r="I122" t="s">
        <v>3704</v>
      </c>
      <c r="J122" t="s">
        <v>2984</v>
      </c>
      <c r="K122" t="s">
        <v>3705</v>
      </c>
      <c r="L122" t="s">
        <v>3706</v>
      </c>
      <c r="M122" s="3" t="str">
        <f>HYPERLINK(Таблица3[[#This Row],[RelativePath]])</f>
        <v>7 Площадка 2 бетонщики\K07156189_18_20251129T163254Z.jpg</v>
      </c>
    </row>
    <row r="123" spans="1:13" x14ac:dyDescent="0.25">
      <c r="A123" t="s">
        <v>18</v>
      </c>
      <c r="B123" s="4">
        <v>45990</v>
      </c>
      <c r="C123" s="6">
        <v>0.6917592592592593</v>
      </c>
      <c r="D123" s="2" t="s">
        <v>289</v>
      </c>
      <c r="E123" t="s">
        <v>4195</v>
      </c>
      <c r="F123" t="s">
        <v>4211</v>
      </c>
      <c r="H123" t="s">
        <v>2936</v>
      </c>
      <c r="I123" t="s">
        <v>3707</v>
      </c>
      <c r="J123" t="s">
        <v>2984</v>
      </c>
      <c r="K123" t="s">
        <v>3708</v>
      </c>
      <c r="L123" t="s">
        <v>3709</v>
      </c>
      <c r="M123" s="3" t="str">
        <f>HYPERLINK(Таблица3[[#This Row],[RelativePath]])</f>
        <v>7 Площадка 2 бетонщики\K07156189_18_20251129T163608Z.jpg</v>
      </c>
    </row>
    <row r="124" spans="1:13" x14ac:dyDescent="0.25">
      <c r="A124" t="s">
        <v>18</v>
      </c>
      <c r="B124" s="4">
        <v>45990</v>
      </c>
      <c r="C124" s="6">
        <v>0.58450231481481485</v>
      </c>
      <c r="D124" s="2" t="s">
        <v>289</v>
      </c>
      <c r="E124" t="s">
        <v>4217</v>
      </c>
      <c r="F124" t="s">
        <v>4211</v>
      </c>
      <c r="H124" t="s">
        <v>2936</v>
      </c>
      <c r="I124" t="s">
        <v>3606</v>
      </c>
      <c r="J124" t="s">
        <v>2984</v>
      </c>
      <c r="K124" t="s">
        <v>3607</v>
      </c>
      <c r="L124" t="s">
        <v>3608</v>
      </c>
      <c r="M124" s="3" t="str">
        <f>HYPERLINK(Таблица3[[#This Row],[RelativePath]])</f>
        <v>7 Площадка 2 бетонщики\K07156189_18_20251129T140141Z.jpg</v>
      </c>
    </row>
    <row r="125" spans="1:13" x14ac:dyDescent="0.25">
      <c r="A125" t="s">
        <v>18</v>
      </c>
      <c r="B125" s="4">
        <v>45990</v>
      </c>
      <c r="C125" s="6">
        <v>0.65773148148148153</v>
      </c>
      <c r="D125" s="2" t="s">
        <v>289</v>
      </c>
      <c r="E125" t="s">
        <v>4211</v>
      </c>
      <c r="H125" t="s">
        <v>2936</v>
      </c>
      <c r="I125" t="s">
        <v>3450</v>
      </c>
      <c r="J125" t="s">
        <v>2983</v>
      </c>
      <c r="K125" t="s">
        <v>3451</v>
      </c>
      <c r="L125" t="s">
        <v>3452</v>
      </c>
      <c r="M125" s="3" t="str">
        <f>HYPERLINK(Таблица3[[#This Row],[RelativePath]])</f>
        <v>6 Площадка 1 общага\826398429_1_20251129T154708Z.jpg</v>
      </c>
    </row>
    <row r="126" spans="1:13" x14ac:dyDescent="0.25">
      <c r="A126" t="s">
        <v>18</v>
      </c>
      <c r="B126" s="4">
        <v>45990</v>
      </c>
      <c r="C126" s="6">
        <v>0.69224537037037037</v>
      </c>
      <c r="D126" s="2" t="s">
        <v>289</v>
      </c>
      <c r="E126" t="s">
        <v>4195</v>
      </c>
      <c r="F126" t="s">
        <v>4211</v>
      </c>
      <c r="H126" t="s">
        <v>2936</v>
      </c>
      <c r="I126" t="s">
        <v>3710</v>
      </c>
      <c r="J126" t="s">
        <v>2984</v>
      </c>
      <c r="K126" t="s">
        <v>3711</v>
      </c>
      <c r="L126" t="s">
        <v>3712</v>
      </c>
      <c r="M126" s="3" t="str">
        <f>HYPERLINK(Таблица3[[#This Row],[RelativePath]])</f>
        <v>7 Площадка 2 бетонщики\K07156189_18_20251129T163650Z.jpg</v>
      </c>
    </row>
    <row r="127" spans="1:13" x14ac:dyDescent="0.25">
      <c r="A127" t="s">
        <v>18</v>
      </c>
      <c r="B127" s="4">
        <v>45990</v>
      </c>
      <c r="C127" s="6">
        <v>0.61375000000000002</v>
      </c>
      <c r="D127" s="2" t="s">
        <v>289</v>
      </c>
      <c r="E127" t="s">
        <v>4194</v>
      </c>
      <c r="F127" t="s">
        <v>4211</v>
      </c>
      <c r="I127" t="s">
        <v>3612</v>
      </c>
      <c r="J127" t="s">
        <v>2984</v>
      </c>
      <c r="K127" t="s">
        <v>3613</v>
      </c>
      <c r="L127" t="s">
        <v>3614</v>
      </c>
      <c r="M127" s="3" t="str">
        <f>HYPERLINK(Таблица3[[#This Row],[RelativePath]])</f>
        <v>7 Площадка 2 бетонщики\K07156189_18_20251129T144348Z.jpg</v>
      </c>
    </row>
    <row r="128" spans="1:13" x14ac:dyDescent="0.25">
      <c r="A128" t="s">
        <v>18</v>
      </c>
      <c r="B128" s="4">
        <v>45990</v>
      </c>
      <c r="C128" s="6">
        <v>0.57677083333333334</v>
      </c>
      <c r="D128" s="2" t="s">
        <v>289</v>
      </c>
      <c r="E128" t="s">
        <v>4217</v>
      </c>
      <c r="F128" t="s">
        <v>4211</v>
      </c>
      <c r="H128" t="s">
        <v>2936</v>
      </c>
      <c r="I128" t="s">
        <v>3594</v>
      </c>
      <c r="J128" t="s">
        <v>2984</v>
      </c>
      <c r="K128" t="s">
        <v>3595</v>
      </c>
      <c r="L128" t="s">
        <v>3596</v>
      </c>
      <c r="M128" s="3" t="str">
        <f>HYPERLINK(Таблица3[[#This Row],[RelativePath]])</f>
        <v>7 Площадка 2 бетонщики\K07156189_18_20251129T135033Z.jpg</v>
      </c>
    </row>
    <row r="129" spans="1:13" x14ac:dyDescent="0.25">
      <c r="A129" t="s">
        <v>18</v>
      </c>
      <c r="B129" s="4">
        <v>45990</v>
      </c>
      <c r="C129" s="6">
        <v>0.58212962962962966</v>
      </c>
      <c r="D129" s="2" t="s">
        <v>289</v>
      </c>
      <c r="E129" t="s">
        <v>4217</v>
      </c>
      <c r="F129" t="s">
        <v>4211</v>
      </c>
      <c r="H129" t="s">
        <v>2936</v>
      </c>
      <c r="I129" t="s">
        <v>3600</v>
      </c>
      <c r="J129" t="s">
        <v>2984</v>
      </c>
      <c r="K129" t="s">
        <v>3601</v>
      </c>
      <c r="L129" t="s">
        <v>3602</v>
      </c>
      <c r="M129" s="3" t="str">
        <f>HYPERLINK(Таблица3[[#This Row],[RelativePath]])</f>
        <v>7 Площадка 2 бетонщики\K07156189_18_20251129T135816Z.jpg</v>
      </c>
    </row>
    <row r="130" spans="1:13" x14ac:dyDescent="0.25">
      <c r="A130" t="s">
        <v>18</v>
      </c>
      <c r="B130" s="4">
        <v>45990</v>
      </c>
      <c r="C130" s="6">
        <v>0.57995370370370369</v>
      </c>
      <c r="D130" s="2" t="s">
        <v>289</v>
      </c>
      <c r="E130" t="s">
        <v>4217</v>
      </c>
      <c r="F130" t="s">
        <v>4211</v>
      </c>
      <c r="H130" t="s">
        <v>2936</v>
      </c>
      <c r="I130" t="s">
        <v>3597</v>
      </c>
      <c r="J130" t="s">
        <v>2984</v>
      </c>
      <c r="K130" t="s">
        <v>3598</v>
      </c>
      <c r="L130" t="s">
        <v>3599</v>
      </c>
      <c r="M130" s="3" t="str">
        <f>HYPERLINK(Таблица3[[#This Row],[RelativePath]])</f>
        <v>7 Площадка 2 бетонщики\K07156189_18_20251129T135508Z.jpg</v>
      </c>
    </row>
    <row r="131" spans="1:13" x14ac:dyDescent="0.25">
      <c r="A131" t="s">
        <v>18</v>
      </c>
      <c r="B131" s="4">
        <v>45990</v>
      </c>
      <c r="C131" s="6">
        <v>0.57168981481481485</v>
      </c>
      <c r="D131" s="2" t="s">
        <v>289</v>
      </c>
      <c r="E131" t="s">
        <v>4217</v>
      </c>
      <c r="F131" t="s">
        <v>4211</v>
      </c>
      <c r="H131" t="s">
        <v>2936</v>
      </c>
      <c r="I131" t="s">
        <v>3585</v>
      </c>
      <c r="J131" t="s">
        <v>2984</v>
      </c>
      <c r="K131" t="s">
        <v>3586</v>
      </c>
      <c r="L131" t="s">
        <v>3587</v>
      </c>
      <c r="M131" s="3" t="str">
        <f>HYPERLINK(Таблица3[[#This Row],[RelativePath]])</f>
        <v>7 Площадка 2 бетонщики\K07156189_18_20251129T134314Z.jpg</v>
      </c>
    </row>
    <row r="132" spans="1:13" x14ac:dyDescent="0.25">
      <c r="A132" t="s">
        <v>18</v>
      </c>
      <c r="B132" s="4">
        <v>45990</v>
      </c>
      <c r="C132" s="6">
        <v>0.58278935185185188</v>
      </c>
      <c r="D132" s="2" t="s">
        <v>289</v>
      </c>
      <c r="E132" t="s">
        <v>4217</v>
      </c>
      <c r="F132" t="s">
        <v>4211</v>
      </c>
      <c r="H132" t="s">
        <v>2936</v>
      </c>
      <c r="I132" t="s">
        <v>3603</v>
      </c>
      <c r="J132" t="s">
        <v>2984</v>
      </c>
      <c r="K132" t="s">
        <v>3604</v>
      </c>
      <c r="L132" t="s">
        <v>3605</v>
      </c>
      <c r="M132" s="3" t="str">
        <f>HYPERLINK(Таблица3[[#This Row],[RelativePath]])</f>
        <v>7 Площадка 2 бетонщики\K07156189_18_20251129T135913Z.jpg</v>
      </c>
    </row>
    <row r="133" spans="1:13" x14ac:dyDescent="0.25">
      <c r="A133" t="s">
        <v>18</v>
      </c>
      <c r="B133" s="4">
        <v>45990</v>
      </c>
      <c r="C133" s="6">
        <v>0.57449074074074069</v>
      </c>
      <c r="D133" s="2" t="s">
        <v>289</v>
      </c>
      <c r="E133" t="s">
        <v>4217</v>
      </c>
      <c r="F133" t="s">
        <v>4211</v>
      </c>
      <c r="H133" t="s">
        <v>2936</v>
      </c>
      <c r="I133" t="s">
        <v>3591</v>
      </c>
      <c r="J133" t="s">
        <v>2984</v>
      </c>
      <c r="K133" t="s">
        <v>3592</v>
      </c>
      <c r="L133" t="s">
        <v>3593</v>
      </c>
      <c r="M133" s="3" t="str">
        <f>HYPERLINK(Таблица3[[#This Row],[RelativePath]])</f>
        <v>7 Площадка 2 бетонщики\K07156189_18_20251129T134716Z.jpg</v>
      </c>
    </row>
    <row r="134" spans="1:13" x14ac:dyDescent="0.25">
      <c r="A134" t="s">
        <v>18</v>
      </c>
      <c r="B134" s="4">
        <v>45990</v>
      </c>
      <c r="C134" s="6">
        <v>0.57275462962962964</v>
      </c>
      <c r="D134" s="2" t="s">
        <v>289</v>
      </c>
      <c r="E134" t="s">
        <v>4217</v>
      </c>
      <c r="F134" t="s">
        <v>4211</v>
      </c>
      <c r="H134" t="s">
        <v>2936</v>
      </c>
      <c r="I134" t="s">
        <v>3588</v>
      </c>
      <c r="J134" t="s">
        <v>2984</v>
      </c>
      <c r="K134" t="s">
        <v>3589</v>
      </c>
      <c r="L134" t="s">
        <v>3590</v>
      </c>
      <c r="M134" s="3" t="str">
        <f>HYPERLINK(Таблица3[[#This Row],[RelativePath]])</f>
        <v>7 Площадка 2 бетонщики\K07156189_18_20251129T134446Z.jpg</v>
      </c>
    </row>
    <row r="135" spans="1:13" x14ac:dyDescent="0.25">
      <c r="A135" t="s">
        <v>18</v>
      </c>
      <c r="B135" s="4">
        <v>45990</v>
      </c>
      <c r="C135" s="6">
        <v>0.55314814814814817</v>
      </c>
      <c r="D135" s="2" t="s">
        <v>289</v>
      </c>
      <c r="E135" t="s">
        <v>4217</v>
      </c>
      <c r="F135" t="s">
        <v>4211</v>
      </c>
      <c r="H135" t="s">
        <v>2936</v>
      </c>
      <c r="I135" t="s">
        <v>3570</v>
      </c>
      <c r="J135" t="s">
        <v>2984</v>
      </c>
      <c r="K135" t="s">
        <v>3571</v>
      </c>
      <c r="L135" t="s">
        <v>3572</v>
      </c>
      <c r="M135" s="3" t="str">
        <f>HYPERLINK(Таблица3[[#This Row],[RelativePath]])</f>
        <v>7 Площадка 2 бетонщики\K07156189_18_20251129T131632Z.jpg</v>
      </c>
    </row>
    <row r="136" spans="1:13" x14ac:dyDescent="0.25">
      <c r="A136" t="s">
        <v>18</v>
      </c>
      <c r="B136" s="4">
        <v>45990</v>
      </c>
      <c r="C136" s="6">
        <v>0.55248842592592595</v>
      </c>
      <c r="D136" s="2" t="s">
        <v>289</v>
      </c>
      <c r="E136" t="s">
        <v>4217</v>
      </c>
      <c r="F136" t="s">
        <v>4211</v>
      </c>
      <c r="I136" t="s">
        <v>3567</v>
      </c>
      <c r="J136" t="s">
        <v>2984</v>
      </c>
      <c r="K136" t="s">
        <v>3568</v>
      </c>
      <c r="L136" t="s">
        <v>3569</v>
      </c>
      <c r="M136" s="3" t="str">
        <f>HYPERLINK(Таблица3[[#This Row],[RelativePath]])</f>
        <v>7 Площадка 2 бетонщики\K07156189_18_20251129T131535Z.jpg</v>
      </c>
    </row>
    <row r="137" spans="1:13" x14ac:dyDescent="0.25">
      <c r="A137" t="s">
        <v>18</v>
      </c>
      <c r="B137" s="4">
        <v>45990</v>
      </c>
      <c r="C137" s="6">
        <v>0.56846064814814812</v>
      </c>
      <c r="D137" s="2" t="s">
        <v>289</v>
      </c>
      <c r="E137" t="s">
        <v>4217</v>
      </c>
      <c r="F137" t="s">
        <v>4211</v>
      </c>
      <c r="H137" t="s">
        <v>2936</v>
      </c>
      <c r="I137" t="s">
        <v>3582</v>
      </c>
      <c r="J137" t="s">
        <v>2984</v>
      </c>
      <c r="K137" t="s">
        <v>3583</v>
      </c>
      <c r="L137" t="s">
        <v>3584</v>
      </c>
      <c r="M137" s="3" t="str">
        <f>HYPERLINK(Таблица3[[#This Row],[RelativePath]])</f>
        <v>7 Площадка 2 бетонщики\K07156189_18_20251129T133835Z.jpg</v>
      </c>
    </row>
    <row r="138" spans="1:13" x14ac:dyDescent="0.25">
      <c r="A138" t="s">
        <v>18</v>
      </c>
      <c r="B138" s="4">
        <v>45990</v>
      </c>
      <c r="C138" s="6">
        <v>0.55888888888888888</v>
      </c>
      <c r="D138" s="2" t="s">
        <v>289</v>
      </c>
      <c r="E138" t="s">
        <v>4217</v>
      </c>
      <c r="F138" t="s">
        <v>4211</v>
      </c>
      <c r="H138" t="s">
        <v>2936</v>
      </c>
      <c r="I138" t="s">
        <v>3573</v>
      </c>
      <c r="J138" t="s">
        <v>2984</v>
      </c>
      <c r="K138" t="s">
        <v>3574</v>
      </c>
      <c r="L138" t="s">
        <v>3575</v>
      </c>
      <c r="M138" s="3" t="str">
        <f>HYPERLINK(Таблица3[[#This Row],[RelativePath]])</f>
        <v>7 Площадка 2 бетонщики\K07156189_18_20251129T132448Z.jpg</v>
      </c>
    </row>
    <row r="139" spans="1:13" x14ac:dyDescent="0.25">
      <c r="A139" t="s">
        <v>18</v>
      </c>
      <c r="B139" s="4">
        <v>45990</v>
      </c>
      <c r="C139" s="6">
        <v>0.63736111111111116</v>
      </c>
      <c r="D139" s="2" t="s">
        <v>289</v>
      </c>
      <c r="E139" t="s">
        <v>4194</v>
      </c>
      <c r="F139" t="s">
        <v>4211</v>
      </c>
      <c r="H139" t="s">
        <v>2936</v>
      </c>
      <c r="I139" t="s">
        <v>3636</v>
      </c>
      <c r="J139" t="s">
        <v>2984</v>
      </c>
      <c r="K139" t="s">
        <v>3637</v>
      </c>
      <c r="L139" t="s">
        <v>3638</v>
      </c>
      <c r="M139" s="3" t="str">
        <f>HYPERLINK(Таблица3[[#This Row],[RelativePath]])</f>
        <v>7 Площадка 2 бетонщики\K07156189_18_20251129T151748Z.jpg</v>
      </c>
    </row>
    <row r="140" spans="1:13" x14ac:dyDescent="0.25">
      <c r="A140" t="s">
        <v>18</v>
      </c>
      <c r="B140" s="4">
        <v>45990</v>
      </c>
      <c r="C140" s="6">
        <v>0.63914351851851847</v>
      </c>
      <c r="D140" s="2" t="s">
        <v>289</v>
      </c>
      <c r="E140" t="s">
        <v>4194</v>
      </c>
      <c r="F140" t="s">
        <v>4211</v>
      </c>
      <c r="H140" t="s">
        <v>2936</v>
      </c>
      <c r="I140" t="s">
        <v>3639</v>
      </c>
      <c r="J140" t="s">
        <v>2984</v>
      </c>
      <c r="K140" t="s">
        <v>3640</v>
      </c>
      <c r="L140" t="s">
        <v>3641</v>
      </c>
      <c r="M140" s="3" t="str">
        <f>HYPERLINK(Таблица3[[#This Row],[RelativePath]])</f>
        <v>7 Площадка 2 бетонщики\K07156189_18_20251129T152022Z.jpg</v>
      </c>
    </row>
    <row r="141" spans="1:13" x14ac:dyDescent="0.25">
      <c r="A141" t="s">
        <v>18</v>
      </c>
      <c r="B141" s="4">
        <v>45990</v>
      </c>
      <c r="C141" s="6">
        <v>0.64195601851851847</v>
      </c>
      <c r="D141" s="2" t="s">
        <v>289</v>
      </c>
      <c r="E141" t="s">
        <v>4194</v>
      </c>
      <c r="F141" t="s">
        <v>4211</v>
      </c>
      <c r="H141" t="s">
        <v>2936</v>
      </c>
      <c r="I141" t="s">
        <v>3642</v>
      </c>
      <c r="J141" t="s">
        <v>2984</v>
      </c>
      <c r="K141" t="s">
        <v>3643</v>
      </c>
      <c r="L141" t="s">
        <v>3644</v>
      </c>
      <c r="M141" s="3" t="str">
        <f>HYPERLINK(Таблица3[[#This Row],[RelativePath]])</f>
        <v>7 Площадка 2 бетонщики\K07156189_18_20251129T152425Z.jpg</v>
      </c>
    </row>
    <row r="142" spans="1:13" x14ac:dyDescent="0.25">
      <c r="A142" t="s">
        <v>18</v>
      </c>
      <c r="B142" s="4">
        <v>45990</v>
      </c>
      <c r="C142" s="6">
        <v>0.67369212962962965</v>
      </c>
      <c r="D142" s="2" t="s">
        <v>289</v>
      </c>
      <c r="E142" t="s">
        <v>4211</v>
      </c>
      <c r="H142" t="s">
        <v>2936</v>
      </c>
      <c r="I142" t="s">
        <v>3456</v>
      </c>
      <c r="J142" t="s">
        <v>2983</v>
      </c>
      <c r="K142" t="s">
        <v>3457</v>
      </c>
      <c r="L142" t="s">
        <v>3458</v>
      </c>
      <c r="M142" s="3" t="str">
        <f>HYPERLINK(Таблица3[[#This Row],[RelativePath]])</f>
        <v>6 Площадка 1 общага\826398429_1_20251129T161007Z.jpg</v>
      </c>
    </row>
    <row r="143" spans="1:13" x14ac:dyDescent="0.25">
      <c r="A143" t="s">
        <v>18</v>
      </c>
      <c r="B143" s="4">
        <v>45990</v>
      </c>
      <c r="C143" s="6">
        <v>0.68300925925925926</v>
      </c>
      <c r="D143" s="2" t="s">
        <v>289</v>
      </c>
      <c r="E143" t="s">
        <v>4211</v>
      </c>
      <c r="H143" t="s">
        <v>2936</v>
      </c>
      <c r="I143" t="s">
        <v>3459</v>
      </c>
      <c r="J143" t="s">
        <v>2983</v>
      </c>
      <c r="K143" t="s">
        <v>3460</v>
      </c>
      <c r="L143" t="s">
        <v>3461</v>
      </c>
      <c r="M143" s="3" t="str">
        <f>HYPERLINK(Таблица3[[#This Row],[RelativePath]])</f>
        <v>6 Площадка 1 общага\826398429_1_20251129T162332Z.jpg</v>
      </c>
    </row>
    <row r="144" spans="1:13" x14ac:dyDescent="0.25">
      <c r="A144" t="s">
        <v>18</v>
      </c>
      <c r="B144" s="4">
        <v>45990</v>
      </c>
      <c r="C144" s="6">
        <v>0.67062500000000003</v>
      </c>
      <c r="D144" s="2" t="s">
        <v>289</v>
      </c>
      <c r="E144" t="s">
        <v>4211</v>
      </c>
      <c r="H144" t="s">
        <v>2936</v>
      </c>
      <c r="I144" t="s">
        <v>3453</v>
      </c>
      <c r="J144" t="s">
        <v>2983</v>
      </c>
      <c r="K144" t="s">
        <v>3454</v>
      </c>
      <c r="L144" t="s">
        <v>3455</v>
      </c>
      <c r="M144" s="3" t="str">
        <f>HYPERLINK(Таблица3[[#This Row],[RelativePath]])</f>
        <v>6 Площадка 1 общага\826398429_1_20251129T160542Z.jpg</v>
      </c>
    </row>
    <row r="145" spans="1:13" x14ac:dyDescent="0.25">
      <c r="A145" t="s">
        <v>18</v>
      </c>
      <c r="B145" s="4">
        <v>45990</v>
      </c>
      <c r="C145" s="6">
        <v>0.64961805555555552</v>
      </c>
      <c r="D145" s="2" t="s">
        <v>289</v>
      </c>
      <c r="E145" t="s">
        <v>2927</v>
      </c>
      <c r="F145" t="s">
        <v>53</v>
      </c>
      <c r="G145">
        <v>4</v>
      </c>
      <c r="I145" t="s">
        <v>3375</v>
      </c>
      <c r="J145" t="s">
        <v>2990</v>
      </c>
      <c r="K145" t="s">
        <v>3376</v>
      </c>
      <c r="L145" t="s">
        <v>3377</v>
      </c>
      <c r="M145" s="3" t="str">
        <f>HYPERLINK(Таблица3[[#This Row],[RelativePath]])</f>
        <v>3 Въезд на базу\E33149364_8_20251129T153527Z.jpg</v>
      </c>
    </row>
    <row r="146" spans="1:13" x14ac:dyDescent="0.25">
      <c r="A146" t="s">
        <v>18</v>
      </c>
      <c r="B146" s="4">
        <v>45990</v>
      </c>
      <c r="C146" s="6">
        <v>0.56593749999999998</v>
      </c>
      <c r="D146" s="2" t="s">
        <v>289</v>
      </c>
      <c r="E146" t="s">
        <v>4217</v>
      </c>
      <c r="F146" t="s">
        <v>4211</v>
      </c>
      <c r="H146" t="s">
        <v>2936</v>
      </c>
      <c r="I146" t="s">
        <v>3579</v>
      </c>
      <c r="J146" t="s">
        <v>2984</v>
      </c>
      <c r="K146" t="s">
        <v>3580</v>
      </c>
      <c r="L146" t="s">
        <v>3581</v>
      </c>
      <c r="M146" s="3" t="str">
        <f>HYPERLINK(Таблица3[[#This Row],[RelativePath]])</f>
        <v>7 Площадка 2 бетонщики\K07156189_18_20251129T133457Z.jpg</v>
      </c>
    </row>
    <row r="147" spans="1:13" x14ac:dyDescent="0.25">
      <c r="A147" t="s">
        <v>18</v>
      </c>
      <c r="B147" s="4">
        <v>45990</v>
      </c>
      <c r="C147" s="6">
        <v>0.5607523148148148</v>
      </c>
      <c r="D147" s="2" t="s">
        <v>289</v>
      </c>
      <c r="E147" t="s">
        <v>4217</v>
      </c>
      <c r="F147" t="s">
        <v>4211</v>
      </c>
      <c r="H147" t="s">
        <v>2936</v>
      </c>
      <c r="I147" t="s">
        <v>3576</v>
      </c>
      <c r="J147" t="s">
        <v>2984</v>
      </c>
      <c r="K147" t="s">
        <v>3577</v>
      </c>
      <c r="L147" t="s">
        <v>3578</v>
      </c>
      <c r="M147" s="3" t="str">
        <f>HYPERLINK(Таблица3[[#This Row],[RelativePath]])</f>
        <v>7 Площадка 2 бетонщики\K07156189_18_20251129T132729Z.jpg</v>
      </c>
    </row>
    <row r="148" spans="1:13" x14ac:dyDescent="0.25">
      <c r="A148" t="s">
        <v>18</v>
      </c>
      <c r="B148" s="4">
        <v>45990</v>
      </c>
      <c r="C148" s="6">
        <v>0.41766203703703703</v>
      </c>
      <c r="D148" s="2" t="s">
        <v>289</v>
      </c>
      <c r="E148" t="s">
        <v>4211</v>
      </c>
      <c r="I148" t="s">
        <v>3447</v>
      </c>
      <c r="J148" t="s">
        <v>2983</v>
      </c>
      <c r="K148" t="s">
        <v>3448</v>
      </c>
      <c r="L148" t="s">
        <v>3449</v>
      </c>
      <c r="M148" s="3" t="str">
        <f>HYPERLINK(Таблица3[[#This Row],[RelativePath]])</f>
        <v>6 Площадка 1 общага\826398429_1_20251129T100126Z.jpg</v>
      </c>
    </row>
    <row r="149" spans="1:13" x14ac:dyDescent="0.25">
      <c r="A149" t="s">
        <v>14</v>
      </c>
      <c r="B149" s="4">
        <v>45993</v>
      </c>
      <c r="C149" s="6">
        <v>0.35887731481481483</v>
      </c>
      <c r="D149" s="2" t="s">
        <v>289</v>
      </c>
      <c r="E149" t="s">
        <v>70</v>
      </c>
      <c r="F149" t="s">
        <v>5093</v>
      </c>
      <c r="H149" t="s">
        <v>5094</v>
      </c>
      <c r="I149" t="s">
        <v>4459</v>
      </c>
      <c r="J149" t="s">
        <v>2991</v>
      </c>
      <c r="K149" t="s">
        <v>4460</v>
      </c>
      <c r="L149" t="s">
        <v>4461</v>
      </c>
      <c r="M149" s="3" t="str">
        <f>HYPERLINK(Таблица3[[#This Row],[RelativePath]])</f>
        <v>4 Крыльцо офиса\K07156189_21_20251202T083647Z.jpg</v>
      </c>
    </row>
    <row r="150" spans="1:13" x14ac:dyDescent="0.25">
      <c r="A150" t="s">
        <v>16</v>
      </c>
      <c r="B150" s="4">
        <v>45995</v>
      </c>
      <c r="C150" s="6">
        <v>0.5186574074074074</v>
      </c>
      <c r="D150" s="2" t="s">
        <v>289</v>
      </c>
      <c r="E150" t="s">
        <v>2927</v>
      </c>
      <c r="F150" t="s">
        <v>53</v>
      </c>
      <c r="G150">
        <v>3</v>
      </c>
      <c r="I150" t="s">
        <v>5086</v>
      </c>
      <c r="J150" t="s">
        <v>2990</v>
      </c>
      <c r="K150" t="s">
        <v>5087</v>
      </c>
      <c r="L150" t="s">
        <v>5088</v>
      </c>
      <c r="M150" s="3" t="str">
        <f>HYPERLINK(Таблица3[[#This Row],[RelativePath]])</f>
        <v>3 Въезд на базу\E33149364_8_20251204T122652Z.jpg</v>
      </c>
    </row>
    <row r="151" spans="1:13" x14ac:dyDescent="0.25">
      <c r="A151" t="s">
        <v>16</v>
      </c>
      <c r="B151" s="4">
        <v>45995</v>
      </c>
      <c r="C151" s="6">
        <v>0.38034722222222223</v>
      </c>
      <c r="D151" s="2" t="s">
        <v>289</v>
      </c>
      <c r="E151" t="s">
        <v>70</v>
      </c>
      <c r="F151" t="s">
        <v>5093</v>
      </c>
      <c r="H151" t="s">
        <v>5095</v>
      </c>
      <c r="I151" t="s">
        <v>4468</v>
      </c>
      <c r="J151" t="s">
        <v>2991</v>
      </c>
      <c r="K151" t="s">
        <v>4469</v>
      </c>
      <c r="L151" t="s">
        <v>4470</v>
      </c>
      <c r="M151" s="3" t="str">
        <f>HYPERLINK(Таблица3[[#This Row],[RelativePath]])</f>
        <v>4 Крыльцо офиса\K07156189_21_20251204T090742Z.jpg</v>
      </c>
    </row>
    <row r="152" spans="1:13" x14ac:dyDescent="0.25">
      <c r="A152" t="s">
        <v>16</v>
      </c>
      <c r="B152" s="4">
        <v>45995</v>
      </c>
      <c r="C152" s="6">
        <v>0.38046296296296295</v>
      </c>
      <c r="D152" s="2" t="s">
        <v>289</v>
      </c>
      <c r="E152" t="s">
        <v>70</v>
      </c>
      <c r="F152" t="s">
        <v>5093</v>
      </c>
      <c r="H152" t="s">
        <v>2936</v>
      </c>
      <c r="I152" t="s">
        <v>4471</v>
      </c>
      <c r="J152" t="s">
        <v>2991</v>
      </c>
      <c r="K152" t="s">
        <v>4472</v>
      </c>
      <c r="L152" t="s">
        <v>4473</v>
      </c>
      <c r="M152" s="3" t="str">
        <f>HYPERLINK(Таблица3[[#This Row],[RelativePath]])</f>
        <v>4 Крыльцо офиса\K07156189_21_20251204T090752Z.jpg</v>
      </c>
    </row>
    <row r="153" spans="1:13" x14ac:dyDescent="0.25">
      <c r="A153" t="s">
        <v>16</v>
      </c>
      <c r="B153" s="4">
        <v>45995</v>
      </c>
      <c r="C153" s="6">
        <v>0.38062499999999999</v>
      </c>
      <c r="D153" s="2" t="s">
        <v>289</v>
      </c>
      <c r="E153" t="s">
        <v>70</v>
      </c>
      <c r="F153" t="s">
        <v>5093</v>
      </c>
      <c r="H153" t="s">
        <v>2936</v>
      </c>
      <c r="I153" t="s">
        <v>4474</v>
      </c>
      <c r="J153" t="s">
        <v>2991</v>
      </c>
      <c r="K153" t="s">
        <v>4475</v>
      </c>
      <c r="L153" t="s">
        <v>4476</v>
      </c>
      <c r="M153" s="3" t="str">
        <f>HYPERLINK(Таблица3[[#This Row],[RelativePath]])</f>
        <v>4 Крыльцо офиса\K07156189_21_20251204T090806Z.jpg</v>
      </c>
    </row>
    <row r="154" spans="1:13" x14ac:dyDescent="0.25">
      <c r="A154" t="s">
        <v>16</v>
      </c>
      <c r="B154" s="4">
        <v>45995</v>
      </c>
      <c r="C154" s="6">
        <v>0.38299768518518518</v>
      </c>
      <c r="D154" s="2" t="s">
        <v>289</v>
      </c>
      <c r="E154" t="s">
        <v>70</v>
      </c>
      <c r="F154" t="s">
        <v>5093</v>
      </c>
      <c r="H154" t="s">
        <v>5096</v>
      </c>
      <c r="I154" t="s">
        <v>4477</v>
      </c>
      <c r="J154" t="s">
        <v>2991</v>
      </c>
      <c r="K154" t="s">
        <v>4478</v>
      </c>
      <c r="L154" t="s">
        <v>4479</v>
      </c>
      <c r="M154" s="3" t="str">
        <f>HYPERLINK(Таблица3[[#This Row],[RelativePath]])</f>
        <v>4 Крыльцо офиса\K07156189_21_20251204T091131Z.jpg</v>
      </c>
    </row>
    <row r="155" spans="1:13" x14ac:dyDescent="0.25">
      <c r="A155" t="s">
        <v>22</v>
      </c>
      <c r="B155" s="4">
        <v>45998</v>
      </c>
      <c r="C155" s="6">
        <v>0.63689814814814816</v>
      </c>
      <c r="D155" s="2" t="s">
        <v>289</v>
      </c>
      <c r="E155" t="s">
        <v>5263</v>
      </c>
      <c r="F155" t="s">
        <v>5093</v>
      </c>
      <c r="H155" t="s">
        <v>2936</v>
      </c>
      <c r="I155" t="s">
        <v>5166</v>
      </c>
      <c r="J155" t="s">
        <v>2982</v>
      </c>
      <c r="K155" t="s">
        <v>5167</v>
      </c>
      <c r="L155" t="s">
        <v>5168</v>
      </c>
      <c r="M155" s="3" t="str">
        <f>HYPERLINK(Таблица3[[#This Row],[RelativePath]])</f>
        <v>5 Крыльцо общага\K07156189_22_20251207T151708Z.jpg</v>
      </c>
    </row>
    <row r="156" spans="1:13" x14ac:dyDescent="0.25">
      <c r="A156" t="s">
        <v>22</v>
      </c>
      <c r="B156" s="4">
        <v>45998</v>
      </c>
      <c r="C156" s="6">
        <v>0.62921296296296292</v>
      </c>
      <c r="D156" s="2" t="s">
        <v>289</v>
      </c>
      <c r="E156" t="s">
        <v>5263</v>
      </c>
      <c r="F156" t="s">
        <v>5093</v>
      </c>
      <c r="H156" t="s">
        <v>2936</v>
      </c>
      <c r="I156" t="s">
        <v>5163</v>
      </c>
      <c r="J156" t="s">
        <v>2982</v>
      </c>
      <c r="K156" t="s">
        <v>5164</v>
      </c>
      <c r="L156" t="s">
        <v>5165</v>
      </c>
      <c r="M156" s="3" t="str">
        <f>HYPERLINK(Таблица3[[#This Row],[RelativePath]])</f>
        <v>5 Крыльцо общага\K07156189_22_20251207T150604Z.jpg</v>
      </c>
    </row>
    <row r="157" spans="1:13" x14ac:dyDescent="0.25">
      <c r="A157" t="s">
        <v>22</v>
      </c>
      <c r="B157" s="4">
        <v>45998</v>
      </c>
      <c r="C157" s="6">
        <v>0.60648148148148151</v>
      </c>
      <c r="D157" s="2" t="s">
        <v>289</v>
      </c>
      <c r="E157" t="s">
        <v>5263</v>
      </c>
      <c r="F157" t="s">
        <v>4233</v>
      </c>
      <c r="H157" t="s">
        <v>2936</v>
      </c>
      <c r="I157" t="s">
        <v>5190</v>
      </c>
      <c r="J157" t="s">
        <v>2985</v>
      </c>
      <c r="K157" t="s">
        <v>5191</v>
      </c>
      <c r="L157" t="s">
        <v>5192</v>
      </c>
      <c r="M157" s="3" t="str">
        <f>HYPERLINK(Таблица3[[#This Row],[RelativePath]])</f>
        <v>10 Сушилка навес\E33149364_3_20251207T143320Z.jpg</v>
      </c>
    </row>
    <row r="158" spans="1:13" x14ac:dyDescent="0.25">
      <c r="A158" t="s">
        <v>22</v>
      </c>
      <c r="B158" s="4">
        <v>45998</v>
      </c>
      <c r="C158" s="6">
        <v>0.60039351851851852</v>
      </c>
      <c r="D158" s="2" t="s">
        <v>289</v>
      </c>
      <c r="E158" t="s">
        <v>5263</v>
      </c>
      <c r="F158" t="s">
        <v>4233</v>
      </c>
      <c r="I158" t="s">
        <v>5187</v>
      </c>
      <c r="J158" t="s">
        <v>2985</v>
      </c>
      <c r="K158" t="s">
        <v>5188</v>
      </c>
      <c r="L158" t="s">
        <v>5189</v>
      </c>
      <c r="M158" s="3" t="str">
        <f>HYPERLINK(Таблица3[[#This Row],[RelativePath]])</f>
        <v>10 Сушилка навес\E33149364_3_20251207T142434Z.jpg</v>
      </c>
    </row>
    <row r="159" spans="1:13" x14ac:dyDescent="0.25">
      <c r="A159" t="s">
        <v>22</v>
      </c>
      <c r="B159" s="4">
        <v>45998</v>
      </c>
      <c r="C159" s="6">
        <v>0.62070601851851848</v>
      </c>
      <c r="D159" s="2" t="s">
        <v>289</v>
      </c>
      <c r="E159" t="s">
        <v>5263</v>
      </c>
      <c r="F159" t="s">
        <v>5093</v>
      </c>
      <c r="H159" t="s">
        <v>2936</v>
      </c>
      <c r="I159" t="s">
        <v>5154</v>
      </c>
      <c r="J159" t="s">
        <v>2982</v>
      </c>
      <c r="K159" t="s">
        <v>5155</v>
      </c>
      <c r="L159" t="s">
        <v>5156</v>
      </c>
      <c r="M159" s="3" t="str">
        <f>HYPERLINK(Таблица3[[#This Row],[RelativePath]])</f>
        <v>5 Крыльцо общага\K07156189_22_20251207T145349Z.jpg</v>
      </c>
    </row>
    <row r="160" spans="1:13" x14ac:dyDescent="0.25">
      <c r="A160" t="s">
        <v>22</v>
      </c>
      <c r="B160" s="4">
        <v>45998</v>
      </c>
      <c r="C160" s="6">
        <v>0.61756944444444439</v>
      </c>
      <c r="D160" s="2" t="s">
        <v>289</v>
      </c>
      <c r="E160" t="s">
        <v>5263</v>
      </c>
      <c r="F160" t="s">
        <v>5093</v>
      </c>
      <c r="I160" t="s">
        <v>5151</v>
      </c>
      <c r="J160" t="s">
        <v>2982</v>
      </c>
      <c r="K160" t="s">
        <v>5152</v>
      </c>
      <c r="L160" t="s">
        <v>5153</v>
      </c>
      <c r="M160" s="3" t="str">
        <f>HYPERLINK(Таблица3[[#This Row],[RelativePath]])</f>
        <v>5 Крыльцо общага\K07156189_22_20251207T144918Z.jpg</v>
      </c>
    </row>
    <row r="161" spans="1:13" x14ac:dyDescent="0.25">
      <c r="A161" t="s">
        <v>22</v>
      </c>
      <c r="B161" s="4">
        <v>45998</v>
      </c>
      <c r="C161" s="6">
        <v>0.62668981481481478</v>
      </c>
      <c r="D161" s="2" t="s">
        <v>289</v>
      </c>
      <c r="E161" t="s">
        <v>5263</v>
      </c>
      <c r="F161" t="s">
        <v>5093</v>
      </c>
      <c r="H161" t="s">
        <v>2936</v>
      </c>
      <c r="I161" t="s">
        <v>5160</v>
      </c>
      <c r="J161" t="s">
        <v>2982</v>
      </c>
      <c r="K161" t="s">
        <v>5161</v>
      </c>
      <c r="L161" t="s">
        <v>5162</v>
      </c>
      <c r="M161" s="3" t="str">
        <f>HYPERLINK(Таблица3[[#This Row],[RelativePath]])</f>
        <v>5 Крыльцо общага\K07156189_22_20251207T150226Z.jpg</v>
      </c>
    </row>
    <row r="162" spans="1:13" x14ac:dyDescent="0.25">
      <c r="A162" t="s">
        <v>22</v>
      </c>
      <c r="B162" s="4">
        <v>45998</v>
      </c>
      <c r="C162" s="6">
        <v>0.62306712962962962</v>
      </c>
      <c r="D162" s="2" t="s">
        <v>289</v>
      </c>
      <c r="E162" t="s">
        <v>5263</v>
      </c>
      <c r="F162" t="s">
        <v>5093</v>
      </c>
      <c r="H162" t="s">
        <v>2936</v>
      </c>
      <c r="I162" t="s">
        <v>5157</v>
      </c>
      <c r="J162" t="s">
        <v>2982</v>
      </c>
      <c r="K162" t="s">
        <v>5158</v>
      </c>
      <c r="L162" t="s">
        <v>5159</v>
      </c>
      <c r="M162" s="3" t="str">
        <f>HYPERLINK(Таблица3[[#This Row],[RelativePath]])</f>
        <v>5 Крыльцо общага\K07156189_22_20251207T145713Z.jpg</v>
      </c>
    </row>
    <row r="163" spans="1:13" x14ac:dyDescent="0.25">
      <c r="A163" t="s">
        <v>18</v>
      </c>
      <c r="B163" s="4">
        <v>46004</v>
      </c>
      <c r="C163" s="6">
        <v>0.39291666666666669</v>
      </c>
      <c r="D163" s="2" t="s">
        <v>289</v>
      </c>
      <c r="E163" t="s">
        <v>6169</v>
      </c>
      <c r="F163" t="s">
        <v>6190</v>
      </c>
      <c r="H163" t="s">
        <v>2936</v>
      </c>
      <c r="I163" t="s">
        <v>6115</v>
      </c>
      <c r="J163" t="s">
        <v>5634</v>
      </c>
      <c r="K163" t="s">
        <v>6116</v>
      </c>
      <c r="L163" t="s">
        <v>6117</v>
      </c>
      <c r="M163" s="3" t="str">
        <f>HYPERLINK(Таблица3[[#This Row],[RelativePath]])</f>
        <v>11 С ангара на базу\E33149364_4_20251213T092548Z.jpg</v>
      </c>
    </row>
    <row r="164" spans="1:13" x14ac:dyDescent="0.25">
      <c r="A164" t="s">
        <v>18</v>
      </c>
      <c r="B164" s="4">
        <v>46004</v>
      </c>
      <c r="C164" s="6">
        <v>0.39643518518518517</v>
      </c>
      <c r="D164" s="2" t="s">
        <v>289</v>
      </c>
      <c r="E164" t="s">
        <v>6169</v>
      </c>
      <c r="F164" t="s">
        <v>6190</v>
      </c>
      <c r="H164" t="s">
        <v>2936</v>
      </c>
      <c r="I164" t="s">
        <v>6118</v>
      </c>
      <c r="J164" t="s">
        <v>5634</v>
      </c>
      <c r="K164" t="s">
        <v>6119</v>
      </c>
      <c r="L164" t="s">
        <v>6120</v>
      </c>
      <c r="M164" s="3" t="str">
        <f>HYPERLINK(Таблица3[[#This Row],[RelativePath]])</f>
        <v>11 С ангара на базу\E33149364_4_20251213T093052Z.jpg</v>
      </c>
    </row>
    <row r="165" spans="1:13" x14ac:dyDescent="0.25">
      <c r="A165" t="s">
        <v>18</v>
      </c>
      <c r="B165" s="4">
        <v>46004</v>
      </c>
      <c r="C165" s="6">
        <v>0.39685185185185184</v>
      </c>
      <c r="D165" s="2" t="s">
        <v>289</v>
      </c>
      <c r="E165" t="s">
        <v>6169</v>
      </c>
      <c r="F165" t="s">
        <v>6190</v>
      </c>
      <c r="H165" t="s">
        <v>2936</v>
      </c>
      <c r="I165" t="s">
        <v>6121</v>
      </c>
      <c r="J165" t="s">
        <v>5634</v>
      </c>
      <c r="K165" t="s">
        <v>6122</v>
      </c>
      <c r="L165" t="s">
        <v>6123</v>
      </c>
      <c r="M165" s="3" t="str">
        <f>HYPERLINK(Таблица3[[#This Row],[RelativePath]])</f>
        <v>11 С ангара на базу\E33149364_4_20251213T093128Z.jpg</v>
      </c>
    </row>
    <row r="166" spans="1:13" x14ac:dyDescent="0.25">
      <c r="A166" t="s">
        <v>18</v>
      </c>
      <c r="B166" s="4">
        <v>46004</v>
      </c>
      <c r="C166" s="6">
        <v>0.3972222222222222</v>
      </c>
      <c r="D166" s="2" t="s">
        <v>289</v>
      </c>
      <c r="E166" t="s">
        <v>6169</v>
      </c>
      <c r="F166" t="s">
        <v>6190</v>
      </c>
      <c r="H166" t="s">
        <v>2936</v>
      </c>
      <c r="I166" t="s">
        <v>6124</v>
      </c>
      <c r="J166" t="s">
        <v>5634</v>
      </c>
      <c r="K166" t="s">
        <v>6125</v>
      </c>
      <c r="L166" t="s">
        <v>6126</v>
      </c>
      <c r="M166" s="3" t="str">
        <f>HYPERLINK(Таблица3[[#This Row],[RelativePath]])</f>
        <v>11 С ангара на базу\E33149364_4_20251213T093200Z.jpg</v>
      </c>
    </row>
    <row r="167" spans="1:13" x14ac:dyDescent="0.25">
      <c r="A167" t="s">
        <v>18</v>
      </c>
      <c r="B167" s="4">
        <v>46004</v>
      </c>
      <c r="C167" s="6">
        <v>0.39961805555555557</v>
      </c>
      <c r="D167" s="2" t="s">
        <v>289</v>
      </c>
      <c r="E167" t="s">
        <v>6169</v>
      </c>
      <c r="F167" t="s">
        <v>6190</v>
      </c>
      <c r="H167" t="s">
        <v>2936</v>
      </c>
      <c r="I167" t="s">
        <v>6127</v>
      </c>
      <c r="J167" t="s">
        <v>5634</v>
      </c>
      <c r="K167" t="s">
        <v>6128</v>
      </c>
      <c r="L167" t="s">
        <v>6129</v>
      </c>
      <c r="M167" s="3" t="str">
        <f>HYPERLINK(Таблица3[[#This Row],[RelativePath]])</f>
        <v>11 С ангара на базу\E33149364_4_20251213T093527Z.jpg</v>
      </c>
    </row>
    <row r="168" spans="1:13" x14ac:dyDescent="0.25">
      <c r="A168" t="s">
        <v>18</v>
      </c>
      <c r="B168" s="4">
        <v>46004</v>
      </c>
      <c r="C168" s="6">
        <v>0.39997685185185183</v>
      </c>
      <c r="D168" s="2" t="s">
        <v>289</v>
      </c>
      <c r="E168" t="s">
        <v>6169</v>
      </c>
      <c r="F168" t="s">
        <v>6190</v>
      </c>
      <c r="H168" t="s">
        <v>2936</v>
      </c>
      <c r="I168" t="s">
        <v>6130</v>
      </c>
      <c r="J168" t="s">
        <v>5634</v>
      </c>
      <c r="K168" t="s">
        <v>6131</v>
      </c>
      <c r="L168" t="s">
        <v>6132</v>
      </c>
      <c r="M168" s="3" t="str">
        <f>HYPERLINK(Таблица3[[#This Row],[RelativePath]])</f>
        <v>11 С ангара на базу\E33149364_4_20251213T093558Z.jpg</v>
      </c>
    </row>
    <row r="169" spans="1:13" x14ac:dyDescent="0.25">
      <c r="A169" t="s">
        <v>18</v>
      </c>
      <c r="B169" s="4">
        <v>46004</v>
      </c>
      <c r="C169" s="6">
        <v>0.40167824074074077</v>
      </c>
      <c r="D169" s="2" t="s">
        <v>289</v>
      </c>
      <c r="E169" t="s">
        <v>6169</v>
      </c>
      <c r="F169" t="s">
        <v>6190</v>
      </c>
      <c r="H169" t="s">
        <v>2936</v>
      </c>
      <c r="I169" t="s">
        <v>6133</v>
      </c>
      <c r="J169" t="s">
        <v>5634</v>
      </c>
      <c r="K169" t="s">
        <v>6134</v>
      </c>
      <c r="L169" t="s">
        <v>6135</v>
      </c>
      <c r="M169" s="3" t="str">
        <f>HYPERLINK(Таблица3[[#This Row],[RelativePath]])</f>
        <v>11 С ангара на базу\E33149364_4_20251213T093825Z.jpg</v>
      </c>
    </row>
    <row r="170" spans="1:13" x14ac:dyDescent="0.25">
      <c r="A170" t="s">
        <v>18</v>
      </c>
      <c r="B170" s="4">
        <v>46004</v>
      </c>
      <c r="C170" s="6">
        <v>0.40229166666666666</v>
      </c>
      <c r="D170" s="2" t="s">
        <v>289</v>
      </c>
      <c r="E170" t="s">
        <v>6169</v>
      </c>
      <c r="F170" t="s">
        <v>6190</v>
      </c>
      <c r="H170" t="s">
        <v>2936</v>
      </c>
      <c r="I170" t="s">
        <v>6136</v>
      </c>
      <c r="J170" t="s">
        <v>5634</v>
      </c>
      <c r="K170" t="s">
        <v>6137</v>
      </c>
      <c r="L170" t="s">
        <v>6138</v>
      </c>
      <c r="M170" s="3" t="str">
        <f>HYPERLINK(Таблица3[[#This Row],[RelativePath]])</f>
        <v>11 С ангара на базу\E33149364_4_20251213T093918Z.jpg</v>
      </c>
    </row>
  </sheetData>
  <phoneticPr fontId="2" type="noConversion"/>
  <conditionalFormatting sqref="E171:E192 D2:E170">
    <cfRule type="containsText" dxfId="273" priority="7" operator="containsText" text="Выезд с территории">
      <formula>NOT(ISERROR(SEARCH("Выезд с территории",D2)))</formula>
    </cfRule>
  </conditionalFormatting>
  <conditionalFormatting sqref="D2:D170">
    <cfRule type="containsText" dxfId="272" priority="6" operator="containsText" text="Въезд на второстепенную дорогу">
      <formula>NOT(ISERROR(SEARCH("Въезд на второстепенную дорогу",D2)))</formula>
    </cfRule>
  </conditionalFormatting>
  <conditionalFormatting sqref="D2:D170">
    <cfRule type="containsText" dxfId="271" priority="5" operator="containsText" text="Выезд со второстепенной дороги">
      <formula>NOT(ISERROR(SEARCH("Выезд со второстепенной дороги",D2)))</formula>
    </cfRule>
  </conditionalFormatting>
  <conditionalFormatting sqref="E2:E192">
    <cfRule type="containsText" dxfId="270" priority="2" operator="containsText" text="Газель базы">
      <formula>NOT(ISERROR(SEARCH("Газель базы",E2)))</formula>
    </cfRule>
    <cfRule type="containsText" dxfId="269" priority="3" operator="containsText" text="Погрузчик базы">
      <formula>NOT(ISERROR(SEARCH("Погрузчик базы",E2)))</formula>
    </cfRule>
  </conditionalFormatting>
  <conditionalFormatting sqref="E2:E192">
    <cfRule type="containsText" dxfId="268" priority="1" operator="containsText" text="Трактор базы">
      <formula>NOT(ISERROR(SEARCH("Трактор базы",E2)))</formula>
    </cfRule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E091-B3AA-47FB-B6E2-23B6E4D1B839}">
  <sheetPr>
    <tabColor rgb="FFFF0000"/>
  </sheetPr>
  <dimension ref="A1:M339"/>
  <sheetViews>
    <sheetView topLeftCell="E1" zoomScale="80" zoomScaleNormal="80" workbookViewId="0">
      <selection activeCell="H1" sqref="H1:M1048576"/>
    </sheetView>
  </sheetViews>
  <sheetFormatPr defaultRowHeight="15" x14ac:dyDescent="0.25"/>
  <cols>
    <col min="1" max="1" width="13" bestFit="1" customWidth="1"/>
    <col min="2" max="2" width="11.42578125" style="4" bestFit="1" customWidth="1"/>
    <col min="3" max="3" width="10.140625" style="6" bestFit="1" customWidth="1"/>
    <col min="4" max="4" width="46.28515625" style="2" bestFit="1" customWidth="1"/>
    <col min="5" max="5" width="56.7109375" bestFit="1" customWidth="1"/>
    <col min="6" max="6" width="33.7109375" bestFit="1" customWidth="1"/>
    <col min="7" max="7" width="10.28515625" bestFit="1" customWidth="1"/>
    <col min="8" max="8" width="38.85546875" customWidth="1"/>
    <col min="9" max="9" width="40" hidden="1" customWidth="1"/>
    <col min="10" max="10" width="61.42578125" hidden="1" customWidth="1"/>
    <col min="11" max="11" width="58.85546875" hidden="1" customWidth="1"/>
    <col min="12" max="12" width="23.28515625" hidden="1" customWidth="1"/>
    <col min="13" max="13" width="62.7109375" bestFit="1" customWidth="1"/>
  </cols>
  <sheetData>
    <row r="1" spans="1:13" x14ac:dyDescent="0.25">
      <c r="A1" t="s">
        <v>61</v>
      </c>
      <c r="B1" s="4" t="s">
        <v>0</v>
      </c>
      <c r="C1" s="6" t="s">
        <v>1</v>
      </c>
      <c r="D1" s="2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t="s">
        <v>14</v>
      </c>
      <c r="B2" s="4">
        <v>45972</v>
      </c>
      <c r="C2" s="6">
        <v>0.43606481481481479</v>
      </c>
      <c r="D2" s="8" t="s">
        <v>466</v>
      </c>
      <c r="E2" t="s">
        <v>67</v>
      </c>
      <c r="F2" t="s">
        <v>469</v>
      </c>
      <c r="H2" t="s">
        <v>470</v>
      </c>
      <c r="I2" t="s">
        <v>409</v>
      </c>
      <c r="J2" t="s">
        <v>334</v>
      </c>
      <c r="K2" t="s">
        <v>410</v>
      </c>
      <c r="L2" t="s">
        <v>411</v>
      </c>
      <c r="M2" s="3" t="str">
        <f>HYPERLINK(СторонТрансп[[#This Row],[RelativePath]])</f>
        <v>5 Крыльцо общага\K07156189_22_20251111T102756Z.jpg</v>
      </c>
    </row>
    <row r="3" spans="1:13" x14ac:dyDescent="0.25">
      <c r="A3" t="s">
        <v>14</v>
      </c>
      <c r="B3" s="4">
        <v>45972</v>
      </c>
      <c r="C3" s="6">
        <v>0.46743055555555557</v>
      </c>
      <c r="D3" s="8" t="s">
        <v>466</v>
      </c>
      <c r="E3" t="s">
        <v>63</v>
      </c>
      <c r="F3" t="s">
        <v>58</v>
      </c>
      <c r="H3" t="s">
        <v>1620</v>
      </c>
      <c r="I3" t="s">
        <v>1456</v>
      </c>
      <c r="J3" t="s">
        <v>1308</v>
      </c>
      <c r="K3" t="s">
        <v>1457</v>
      </c>
      <c r="L3" t="s">
        <v>1458</v>
      </c>
      <c r="M3" s="3" t="str">
        <f>HYPERLINK(СторонТрансп[[#This Row],[RelativePath]])</f>
        <v>10 Сушилка навес\E33149364_3_20251111T111306Z.jpg</v>
      </c>
    </row>
    <row r="4" spans="1:13" x14ac:dyDescent="0.25">
      <c r="A4" t="s">
        <v>14</v>
      </c>
      <c r="B4" s="4">
        <v>45972</v>
      </c>
      <c r="C4" s="6">
        <v>0.47805555555555557</v>
      </c>
      <c r="D4" s="8" t="s">
        <v>1616</v>
      </c>
      <c r="E4" t="s">
        <v>63</v>
      </c>
      <c r="F4" t="s">
        <v>58</v>
      </c>
      <c r="H4" t="s">
        <v>1620</v>
      </c>
      <c r="I4" t="s">
        <v>1459</v>
      </c>
      <c r="J4" t="s">
        <v>1308</v>
      </c>
      <c r="K4" t="s">
        <v>1460</v>
      </c>
      <c r="L4" t="s">
        <v>1461</v>
      </c>
      <c r="M4" s="3" t="str">
        <f>HYPERLINK(СторонТрансп[[#This Row],[RelativePath]])</f>
        <v>10 Сушилка навес\E33149364_3_20251111T112824Z.jpg</v>
      </c>
    </row>
    <row r="5" spans="1:13" x14ac:dyDescent="0.25">
      <c r="A5" t="s">
        <v>14</v>
      </c>
      <c r="B5" s="4">
        <v>45972</v>
      </c>
      <c r="C5" s="6">
        <v>0.42944444444444446</v>
      </c>
      <c r="D5" s="8" t="s">
        <v>466</v>
      </c>
      <c r="E5" t="s">
        <v>67</v>
      </c>
      <c r="F5" t="s">
        <v>468</v>
      </c>
      <c r="I5" t="s">
        <v>400</v>
      </c>
      <c r="J5" t="s">
        <v>334</v>
      </c>
      <c r="K5" t="s">
        <v>401</v>
      </c>
      <c r="L5" t="s">
        <v>402</v>
      </c>
      <c r="M5" s="3" t="str">
        <f>HYPERLINK(СторонТрансп[[#This Row],[RelativePath]])</f>
        <v>5 Крыльцо общага\K07156189_22_20251111T101824Z.jpg</v>
      </c>
    </row>
    <row r="6" spans="1:13" x14ac:dyDescent="0.25">
      <c r="A6" t="s">
        <v>14</v>
      </c>
      <c r="B6" s="4">
        <v>45972</v>
      </c>
      <c r="C6" s="6">
        <v>0.4316550925925926</v>
      </c>
      <c r="D6" s="8" t="s">
        <v>466</v>
      </c>
      <c r="E6" t="s">
        <v>67</v>
      </c>
      <c r="F6" t="s">
        <v>468</v>
      </c>
      <c r="I6" t="s">
        <v>403</v>
      </c>
      <c r="J6" t="s">
        <v>334</v>
      </c>
      <c r="K6" t="s">
        <v>404</v>
      </c>
      <c r="L6" t="s">
        <v>405</v>
      </c>
      <c r="M6" s="3" t="str">
        <f>HYPERLINK(СторонТрансп[[#This Row],[RelativePath]])</f>
        <v>5 Крыльцо общага\K07156189_22_20251111T102135Z.jpg</v>
      </c>
    </row>
    <row r="7" spans="1:13" x14ac:dyDescent="0.25">
      <c r="A7" t="s">
        <v>14</v>
      </c>
      <c r="B7" s="4">
        <v>45972</v>
      </c>
      <c r="C7" s="6">
        <v>0.43408564814814815</v>
      </c>
      <c r="D7" s="8" t="s">
        <v>466</v>
      </c>
      <c r="E7" t="s">
        <v>67</v>
      </c>
      <c r="F7" t="s">
        <v>468</v>
      </c>
      <c r="I7" t="s">
        <v>406</v>
      </c>
      <c r="J7" t="s">
        <v>334</v>
      </c>
      <c r="K7" t="s">
        <v>407</v>
      </c>
      <c r="L7" t="s">
        <v>408</v>
      </c>
      <c r="M7" s="3" t="str">
        <f>HYPERLINK(СторонТрансп[[#This Row],[RelativePath]])</f>
        <v>5 Крыльцо общага\K07156189_22_20251111T102505Z.jpg</v>
      </c>
    </row>
    <row r="8" spans="1:13" x14ac:dyDescent="0.25">
      <c r="A8" t="s">
        <v>14</v>
      </c>
      <c r="B8" s="4">
        <v>45972</v>
      </c>
      <c r="C8" s="6">
        <v>0.48200231481481481</v>
      </c>
      <c r="D8" s="8" t="s">
        <v>1616</v>
      </c>
      <c r="E8" t="s">
        <v>63</v>
      </c>
      <c r="F8" t="s">
        <v>58</v>
      </c>
      <c r="H8" t="s">
        <v>1620</v>
      </c>
      <c r="I8" t="s">
        <v>1462</v>
      </c>
      <c r="J8" t="s">
        <v>1308</v>
      </c>
      <c r="K8" t="s">
        <v>1463</v>
      </c>
      <c r="L8" t="s">
        <v>1464</v>
      </c>
      <c r="M8" s="3" t="str">
        <f>HYPERLINK(СторонТрансп[[#This Row],[RelativePath]])</f>
        <v>10 Сушилка навес\E33149364_3_20251111T113405Z.jpg</v>
      </c>
    </row>
    <row r="9" spans="1:13" x14ac:dyDescent="0.25">
      <c r="A9" t="s">
        <v>14</v>
      </c>
      <c r="B9" s="4">
        <v>45972</v>
      </c>
      <c r="C9" s="6">
        <v>0.40597222222222223</v>
      </c>
      <c r="D9" s="8" t="s">
        <v>466</v>
      </c>
      <c r="E9" t="s">
        <v>67</v>
      </c>
      <c r="F9" t="s">
        <v>468</v>
      </c>
      <c r="I9" t="s">
        <v>376</v>
      </c>
      <c r="J9" t="s">
        <v>334</v>
      </c>
      <c r="K9" t="s">
        <v>377</v>
      </c>
      <c r="L9" t="s">
        <v>378</v>
      </c>
      <c r="M9" s="3" t="str">
        <f>HYPERLINK(СторонТрансп[[#This Row],[RelativePath]])</f>
        <v>5 Крыльцо общага\K07156189_22_20251111T094436Z.jpg</v>
      </c>
    </row>
    <row r="10" spans="1:13" x14ac:dyDescent="0.25">
      <c r="A10" t="s">
        <v>14</v>
      </c>
      <c r="B10" s="4">
        <v>45972</v>
      </c>
      <c r="C10" s="6">
        <v>0.40881944444444446</v>
      </c>
      <c r="D10" s="8" t="s">
        <v>466</v>
      </c>
      <c r="E10" t="s">
        <v>67</v>
      </c>
      <c r="F10" t="s">
        <v>468</v>
      </c>
      <c r="I10" t="s">
        <v>379</v>
      </c>
      <c r="J10" t="s">
        <v>334</v>
      </c>
      <c r="K10" t="s">
        <v>380</v>
      </c>
      <c r="L10" t="s">
        <v>381</v>
      </c>
      <c r="M10" s="3" t="str">
        <f>HYPERLINK(СторонТрансп[[#This Row],[RelativePath]])</f>
        <v>5 Крыльцо общага\K07156189_22_20251111T094842Z.jpg</v>
      </c>
    </row>
    <row r="11" spans="1:13" x14ac:dyDescent="0.25">
      <c r="A11" t="s">
        <v>14</v>
      </c>
      <c r="B11" s="4">
        <v>45972</v>
      </c>
      <c r="C11" s="6">
        <v>0.4105787037037037</v>
      </c>
      <c r="D11" s="8" t="s">
        <v>466</v>
      </c>
      <c r="E11" t="s">
        <v>67</v>
      </c>
      <c r="F11" t="s">
        <v>468</v>
      </c>
      <c r="I11" t="s">
        <v>382</v>
      </c>
      <c r="J11" t="s">
        <v>334</v>
      </c>
      <c r="K11" t="s">
        <v>383</v>
      </c>
      <c r="L11" t="s">
        <v>384</v>
      </c>
      <c r="M11" s="3" t="str">
        <f>HYPERLINK(СторонТрансп[[#This Row],[RelativePath]])</f>
        <v>5 Крыльцо общага\K07156189_22_20251111T095114Z.jpg</v>
      </c>
    </row>
    <row r="12" spans="1:13" x14ac:dyDescent="0.25">
      <c r="A12" t="s">
        <v>14</v>
      </c>
      <c r="B12" s="4">
        <v>45972</v>
      </c>
      <c r="C12" s="6">
        <v>0.39787037037037037</v>
      </c>
      <c r="D12" s="8" t="s">
        <v>466</v>
      </c>
      <c r="E12" t="s">
        <v>67</v>
      </c>
      <c r="F12" t="s">
        <v>468</v>
      </c>
      <c r="I12" t="s">
        <v>367</v>
      </c>
      <c r="J12" t="s">
        <v>334</v>
      </c>
      <c r="K12" t="s">
        <v>368</v>
      </c>
      <c r="L12" t="s">
        <v>369</v>
      </c>
      <c r="M12" s="3" t="str">
        <f>HYPERLINK(СторонТрансп[[#This Row],[RelativePath]])</f>
        <v>5 Крыльцо общага\K07156189_22_20251111T093256Z.jpg</v>
      </c>
    </row>
    <row r="13" spans="1:13" x14ac:dyDescent="0.25">
      <c r="A13" t="s">
        <v>14</v>
      </c>
      <c r="B13" s="4">
        <v>45972</v>
      </c>
      <c r="C13" s="6">
        <v>0.40370370370370373</v>
      </c>
      <c r="D13" s="8" t="s">
        <v>466</v>
      </c>
      <c r="E13" t="s">
        <v>67</v>
      </c>
      <c r="F13" t="s">
        <v>468</v>
      </c>
      <c r="I13" t="s">
        <v>370</v>
      </c>
      <c r="J13" t="s">
        <v>334</v>
      </c>
      <c r="K13" t="s">
        <v>371</v>
      </c>
      <c r="L13" t="s">
        <v>372</v>
      </c>
      <c r="M13" s="3" t="str">
        <f>HYPERLINK(СторонТрансп[[#This Row],[RelativePath]])</f>
        <v>5 Крыльцо общага\K07156189_22_20251111T094120Z.jpg</v>
      </c>
    </row>
    <row r="14" spans="1:13" x14ac:dyDescent="0.25">
      <c r="A14" t="s">
        <v>14</v>
      </c>
      <c r="B14" s="4">
        <v>45972</v>
      </c>
      <c r="C14" s="6">
        <v>0.40377314814814813</v>
      </c>
      <c r="D14" s="8" t="s">
        <v>466</v>
      </c>
      <c r="E14" t="s">
        <v>67</v>
      </c>
      <c r="F14" t="s">
        <v>468</v>
      </c>
      <c r="I14" t="s">
        <v>373</v>
      </c>
      <c r="J14" t="s">
        <v>334</v>
      </c>
      <c r="K14" t="s">
        <v>374</v>
      </c>
      <c r="L14" t="s">
        <v>375</v>
      </c>
      <c r="M14" s="3" t="str">
        <f>HYPERLINK(СторонТрансп[[#This Row],[RelativePath]])</f>
        <v>5 Крыльцо общага\K07156189_22_20251111T094126Z.jpg</v>
      </c>
    </row>
    <row r="15" spans="1:13" x14ac:dyDescent="0.25">
      <c r="A15" t="s">
        <v>14</v>
      </c>
      <c r="B15" s="4">
        <v>45972</v>
      </c>
      <c r="C15" s="6">
        <v>0.41627314814814814</v>
      </c>
      <c r="D15" s="8" t="s">
        <v>466</v>
      </c>
      <c r="E15" t="s">
        <v>67</v>
      </c>
      <c r="F15" t="s">
        <v>468</v>
      </c>
      <c r="I15" t="s">
        <v>391</v>
      </c>
      <c r="J15" t="s">
        <v>334</v>
      </c>
      <c r="K15" t="s">
        <v>392</v>
      </c>
      <c r="L15" t="s">
        <v>393</v>
      </c>
      <c r="M15" s="3" t="str">
        <f>HYPERLINK(СторонТрансп[[#This Row],[RelativePath]])</f>
        <v>5 Крыльцо общага\K07156189_22_20251111T095926Z.jpg</v>
      </c>
    </row>
    <row r="16" spans="1:13" x14ac:dyDescent="0.25">
      <c r="A16" t="s">
        <v>14</v>
      </c>
      <c r="B16" s="4">
        <v>45972</v>
      </c>
      <c r="C16" s="6">
        <v>0.4226273148148148</v>
      </c>
      <c r="D16" s="8" t="s">
        <v>466</v>
      </c>
      <c r="E16" t="s">
        <v>67</v>
      </c>
      <c r="F16" t="s">
        <v>468</v>
      </c>
      <c r="I16" t="s">
        <v>394</v>
      </c>
      <c r="J16" t="s">
        <v>334</v>
      </c>
      <c r="K16" t="s">
        <v>395</v>
      </c>
      <c r="L16" t="s">
        <v>396</v>
      </c>
      <c r="M16" s="3" t="str">
        <f>HYPERLINK(СторонТрансп[[#This Row],[RelativePath]])</f>
        <v>5 Крыльцо общага\K07156189_22_20251111T100835Z.jpg</v>
      </c>
    </row>
    <row r="17" spans="1:13" x14ac:dyDescent="0.25">
      <c r="A17" t="s">
        <v>14</v>
      </c>
      <c r="B17" s="4">
        <v>45972</v>
      </c>
      <c r="C17" s="6">
        <v>0.42736111111111114</v>
      </c>
      <c r="D17" s="8" t="s">
        <v>466</v>
      </c>
      <c r="E17" t="s">
        <v>67</v>
      </c>
      <c r="F17" t="s">
        <v>468</v>
      </c>
      <c r="I17" t="s">
        <v>397</v>
      </c>
      <c r="J17" t="s">
        <v>334</v>
      </c>
      <c r="K17" t="s">
        <v>398</v>
      </c>
      <c r="L17" t="s">
        <v>399</v>
      </c>
      <c r="M17" s="3" t="str">
        <f>HYPERLINK(СторонТрансп[[#This Row],[RelativePath]])</f>
        <v>5 Крыльцо общага\K07156189_22_20251111T101524Z.jpg</v>
      </c>
    </row>
    <row r="18" spans="1:13" x14ac:dyDescent="0.25">
      <c r="A18" t="s">
        <v>14</v>
      </c>
      <c r="B18" s="4">
        <v>45972</v>
      </c>
      <c r="C18" s="6">
        <v>0.41136574074074073</v>
      </c>
      <c r="D18" s="8" t="s">
        <v>466</v>
      </c>
      <c r="E18" t="s">
        <v>67</v>
      </c>
      <c r="F18" t="s">
        <v>468</v>
      </c>
      <c r="I18" t="s">
        <v>385</v>
      </c>
      <c r="J18" t="s">
        <v>334</v>
      </c>
      <c r="K18" t="s">
        <v>386</v>
      </c>
      <c r="L18" t="s">
        <v>387</v>
      </c>
      <c r="M18" s="3" t="str">
        <f>HYPERLINK(СторонТрансп[[#This Row],[RelativePath]])</f>
        <v>5 Крыльцо общага\K07156189_22_20251111T095222Z.jpg</v>
      </c>
    </row>
    <row r="19" spans="1:13" x14ac:dyDescent="0.25">
      <c r="A19" t="s">
        <v>14</v>
      </c>
      <c r="B19" s="4">
        <v>45972</v>
      </c>
      <c r="C19" s="6">
        <v>0.41312500000000002</v>
      </c>
      <c r="D19" s="8" t="s">
        <v>466</v>
      </c>
      <c r="E19" t="s">
        <v>67</v>
      </c>
      <c r="F19" t="s">
        <v>468</v>
      </c>
      <c r="I19" t="s">
        <v>388</v>
      </c>
      <c r="J19" t="s">
        <v>334</v>
      </c>
      <c r="K19" t="s">
        <v>389</v>
      </c>
      <c r="L19" t="s">
        <v>390</v>
      </c>
      <c r="M19" s="3" t="str">
        <f>HYPERLINK(СторонТрансп[[#This Row],[RelativePath]])</f>
        <v>5 Крыльцо общага\K07156189_22_20251111T095454Z.jpg</v>
      </c>
    </row>
    <row r="20" spans="1:13" x14ac:dyDescent="0.25">
      <c r="A20" t="s">
        <v>15</v>
      </c>
      <c r="B20" s="4">
        <v>45987</v>
      </c>
      <c r="C20" s="6">
        <v>0.44269675925925928</v>
      </c>
      <c r="D20" s="8" t="s">
        <v>289</v>
      </c>
      <c r="E20" t="s">
        <v>4192</v>
      </c>
      <c r="F20" t="s">
        <v>58</v>
      </c>
      <c r="H20" t="s">
        <v>2936</v>
      </c>
      <c r="I20" t="s">
        <v>3980</v>
      </c>
      <c r="J20" t="s">
        <v>2985</v>
      </c>
      <c r="K20" t="s">
        <v>3981</v>
      </c>
      <c r="L20" t="s">
        <v>3982</v>
      </c>
      <c r="M20" s="3" t="str">
        <f>HYPERLINK(СторонТрансп[[#This Row],[RelativePath]])</f>
        <v>10 Сушилка навес\E33149364_3_20251126T103729Z.jpg</v>
      </c>
    </row>
    <row r="21" spans="1:13" x14ac:dyDescent="0.25">
      <c r="A21" t="s">
        <v>15</v>
      </c>
      <c r="B21" s="4">
        <v>45987</v>
      </c>
      <c r="C21" s="6">
        <v>0.44207175925925923</v>
      </c>
      <c r="D21" s="8" t="s">
        <v>289</v>
      </c>
      <c r="E21" t="s">
        <v>4192</v>
      </c>
      <c r="F21" t="s">
        <v>58</v>
      </c>
      <c r="H21" t="s">
        <v>1620</v>
      </c>
      <c r="I21" t="s">
        <v>3965</v>
      </c>
      <c r="J21" t="s">
        <v>2985</v>
      </c>
      <c r="K21" t="s">
        <v>3966</v>
      </c>
      <c r="L21" t="s">
        <v>3967</v>
      </c>
      <c r="M21" s="3" t="str">
        <f>HYPERLINK(СторонТрансп[[#This Row],[RelativePath]])</f>
        <v>10 Сушилка навес\E33149364_3_20251126T103635Z.jpg</v>
      </c>
    </row>
    <row r="22" spans="1:13" x14ac:dyDescent="0.25">
      <c r="A22" t="s">
        <v>15</v>
      </c>
      <c r="B22" s="4">
        <v>45987</v>
      </c>
      <c r="C22" s="6">
        <v>0.44216435185185188</v>
      </c>
      <c r="D22" s="8" t="s">
        <v>289</v>
      </c>
      <c r="E22" t="s">
        <v>4192</v>
      </c>
      <c r="F22" t="s">
        <v>58</v>
      </c>
      <c r="H22" t="s">
        <v>2936</v>
      </c>
      <c r="I22" t="s">
        <v>3968</v>
      </c>
      <c r="J22" t="s">
        <v>2985</v>
      </c>
      <c r="K22" t="s">
        <v>3969</v>
      </c>
      <c r="L22" t="s">
        <v>3970</v>
      </c>
      <c r="M22" s="3" t="str">
        <f>HYPERLINK(СторонТрансп[[#This Row],[RelativePath]])</f>
        <v>10 Сушилка навес\E33149364_3_20251126T103643Z.jpg</v>
      </c>
    </row>
    <row r="23" spans="1:13" x14ac:dyDescent="0.25">
      <c r="A23" t="s">
        <v>15</v>
      </c>
      <c r="B23" s="4">
        <v>45987</v>
      </c>
      <c r="C23" s="6">
        <v>0.44284722222222223</v>
      </c>
      <c r="D23" s="8" t="s">
        <v>289</v>
      </c>
      <c r="E23" t="s">
        <v>4192</v>
      </c>
      <c r="F23" t="s">
        <v>58</v>
      </c>
      <c r="H23" t="s">
        <v>2936</v>
      </c>
      <c r="I23" t="s">
        <v>3983</v>
      </c>
      <c r="J23" t="s">
        <v>2985</v>
      </c>
      <c r="K23" t="s">
        <v>3984</v>
      </c>
      <c r="L23" t="s">
        <v>3985</v>
      </c>
      <c r="M23" s="3" t="str">
        <f>HYPERLINK(СторонТрансп[[#This Row],[RelativePath]])</f>
        <v>10 Сушилка навес\E33149364_3_20251126T103742Z.jpg</v>
      </c>
    </row>
    <row r="24" spans="1:13" x14ac:dyDescent="0.25">
      <c r="A24" t="s">
        <v>15</v>
      </c>
      <c r="B24" s="4">
        <v>45987</v>
      </c>
      <c r="C24" s="6">
        <v>0.45056712962962964</v>
      </c>
      <c r="D24" s="8" t="s">
        <v>289</v>
      </c>
      <c r="E24" t="s">
        <v>4192</v>
      </c>
      <c r="F24" t="s">
        <v>58</v>
      </c>
      <c r="H24" t="s">
        <v>2936</v>
      </c>
      <c r="I24" t="s">
        <v>4013</v>
      </c>
      <c r="J24" t="s">
        <v>2985</v>
      </c>
      <c r="K24" t="s">
        <v>4014</v>
      </c>
      <c r="L24" t="s">
        <v>4015</v>
      </c>
      <c r="M24" s="3" t="str">
        <f>HYPERLINK(СторонТрансп[[#This Row],[RelativePath]])</f>
        <v>10 Сушилка навес\E33149364_3_20251126T104849Z.jpg</v>
      </c>
    </row>
    <row r="25" spans="1:13" x14ac:dyDescent="0.25">
      <c r="A25" t="s">
        <v>15</v>
      </c>
      <c r="B25" s="4">
        <v>45987</v>
      </c>
      <c r="C25" s="6">
        <v>0.44848379629629631</v>
      </c>
      <c r="D25" s="8" t="s">
        <v>289</v>
      </c>
      <c r="E25" t="s">
        <v>4192</v>
      </c>
      <c r="F25" t="s">
        <v>58</v>
      </c>
      <c r="H25" t="s">
        <v>2936</v>
      </c>
      <c r="I25" t="s">
        <v>4097</v>
      </c>
      <c r="J25" t="s">
        <v>2986</v>
      </c>
      <c r="K25" t="s">
        <v>4098</v>
      </c>
      <c r="L25" t="s">
        <v>4099</v>
      </c>
      <c r="M25" s="3" t="str">
        <f>HYPERLINK(СторонТрансп[[#This Row],[RelativePath]])</f>
        <v>11 С ангара на базу\E33149364_4_20251126T104549Z.jpg</v>
      </c>
    </row>
    <row r="26" spans="1:13" x14ac:dyDescent="0.25">
      <c r="A26" t="s">
        <v>15</v>
      </c>
      <c r="B26" s="4">
        <v>45987</v>
      </c>
      <c r="C26" s="6">
        <v>0.44864583333333335</v>
      </c>
      <c r="D26" s="8" t="s">
        <v>289</v>
      </c>
      <c r="E26" t="s">
        <v>4192</v>
      </c>
      <c r="F26" t="s">
        <v>58</v>
      </c>
      <c r="H26" t="s">
        <v>2936</v>
      </c>
      <c r="I26" t="s">
        <v>4100</v>
      </c>
      <c r="J26" t="s">
        <v>2986</v>
      </c>
      <c r="K26" t="s">
        <v>4101</v>
      </c>
      <c r="L26" t="s">
        <v>4102</v>
      </c>
      <c r="M26" s="3" t="str">
        <f>HYPERLINK(СторонТрансп[[#This Row],[RelativePath]])</f>
        <v>11 С ангара на базу\E33149364_4_20251126T104603Z.jpg</v>
      </c>
    </row>
    <row r="27" spans="1:13" x14ac:dyDescent="0.25">
      <c r="A27" t="s">
        <v>15</v>
      </c>
      <c r="B27" s="4">
        <v>45987</v>
      </c>
      <c r="C27" s="6">
        <v>0.44947916666666665</v>
      </c>
      <c r="D27" s="8" t="s">
        <v>289</v>
      </c>
      <c r="E27" t="s">
        <v>4192</v>
      </c>
      <c r="F27" t="s">
        <v>58</v>
      </c>
      <c r="H27" t="s">
        <v>2936</v>
      </c>
      <c r="I27" t="s">
        <v>4103</v>
      </c>
      <c r="J27" t="s">
        <v>2986</v>
      </c>
      <c r="K27" t="s">
        <v>4104</v>
      </c>
      <c r="L27" t="s">
        <v>4105</v>
      </c>
      <c r="M27" s="3" t="str">
        <f>HYPERLINK(СторонТрансп[[#This Row],[RelativePath]])</f>
        <v>11 С ангара на базу\E33149364_4_20251126T104715Z.jpg</v>
      </c>
    </row>
    <row r="28" spans="1:13" x14ac:dyDescent="0.25">
      <c r="A28" t="s">
        <v>15</v>
      </c>
      <c r="B28" s="4">
        <v>45987</v>
      </c>
      <c r="C28" s="6">
        <v>0.44723379629629628</v>
      </c>
      <c r="D28" s="8" t="s">
        <v>289</v>
      </c>
      <c r="E28" t="s">
        <v>4192</v>
      </c>
      <c r="F28" t="s">
        <v>58</v>
      </c>
      <c r="I28" t="s">
        <v>4094</v>
      </c>
      <c r="J28" t="s">
        <v>2986</v>
      </c>
      <c r="K28" t="s">
        <v>4095</v>
      </c>
      <c r="L28" t="s">
        <v>4096</v>
      </c>
      <c r="M28" s="3" t="str">
        <f>HYPERLINK(СторонТрансп[[#This Row],[RelativePath]])</f>
        <v>11 С ангара на базу\E33149364_4_20251126T104401Z.jpg</v>
      </c>
    </row>
    <row r="29" spans="1:13" x14ac:dyDescent="0.25">
      <c r="A29" t="s">
        <v>15</v>
      </c>
      <c r="B29" s="4">
        <v>45987</v>
      </c>
      <c r="C29" s="6">
        <v>0.44473379629629628</v>
      </c>
      <c r="D29" s="8" t="s">
        <v>289</v>
      </c>
      <c r="E29" t="s">
        <v>4192</v>
      </c>
      <c r="F29" t="s">
        <v>58</v>
      </c>
      <c r="H29" t="s">
        <v>2936</v>
      </c>
      <c r="I29" t="s">
        <v>3992</v>
      </c>
      <c r="J29" t="s">
        <v>2985</v>
      </c>
      <c r="K29" t="s">
        <v>3993</v>
      </c>
      <c r="L29" t="s">
        <v>3994</v>
      </c>
      <c r="M29" s="3" t="str">
        <f>HYPERLINK(СторонТрансп[[#This Row],[RelativePath]])</f>
        <v>10 Сушилка навес\E33149364_3_20251126T104025Z.jpg</v>
      </c>
    </row>
    <row r="30" spans="1:13" x14ac:dyDescent="0.25">
      <c r="A30" t="s">
        <v>15</v>
      </c>
      <c r="B30" s="4">
        <v>45987</v>
      </c>
      <c r="C30" s="6">
        <v>0.44495370370370368</v>
      </c>
      <c r="D30" s="8" t="s">
        <v>289</v>
      </c>
      <c r="E30" t="s">
        <v>4192</v>
      </c>
      <c r="F30" t="s">
        <v>58</v>
      </c>
      <c r="H30" t="s">
        <v>2936</v>
      </c>
      <c r="I30" t="s">
        <v>3995</v>
      </c>
      <c r="J30" t="s">
        <v>2985</v>
      </c>
      <c r="K30" t="s">
        <v>3996</v>
      </c>
      <c r="L30" t="s">
        <v>3997</v>
      </c>
      <c r="M30" s="3" t="str">
        <f>HYPERLINK(СторонТрансп[[#This Row],[RelativePath]])</f>
        <v>10 Сушилка навес\E33149364_3_20251126T104044Z.jpg</v>
      </c>
    </row>
    <row r="31" spans="1:13" x14ac:dyDescent="0.25">
      <c r="A31" t="s">
        <v>15</v>
      </c>
      <c r="B31" s="4">
        <v>45987</v>
      </c>
      <c r="C31" s="6">
        <v>0.4478125</v>
      </c>
      <c r="D31" s="8" t="s">
        <v>289</v>
      </c>
      <c r="E31" t="s">
        <v>4192</v>
      </c>
      <c r="F31" t="s">
        <v>58</v>
      </c>
      <c r="H31" t="s">
        <v>2936</v>
      </c>
      <c r="I31" t="s">
        <v>4010</v>
      </c>
      <c r="J31" t="s">
        <v>2985</v>
      </c>
      <c r="K31" t="s">
        <v>4011</v>
      </c>
      <c r="L31" t="s">
        <v>4012</v>
      </c>
      <c r="M31" s="3" t="str">
        <f>HYPERLINK(СторонТрансп[[#This Row],[RelativePath]])</f>
        <v>10 Сушилка навес\E33149364_3_20251126T104451Z.jpg</v>
      </c>
    </row>
    <row r="32" spans="1:13" x14ac:dyDescent="0.25">
      <c r="A32" t="s">
        <v>15</v>
      </c>
      <c r="B32" s="4">
        <v>45987</v>
      </c>
      <c r="C32" s="6">
        <v>0.44372685185185184</v>
      </c>
      <c r="D32" s="8" t="s">
        <v>289</v>
      </c>
      <c r="E32" t="s">
        <v>4192</v>
      </c>
      <c r="F32" t="s">
        <v>58</v>
      </c>
      <c r="I32" t="s">
        <v>3989</v>
      </c>
      <c r="J32" t="s">
        <v>2985</v>
      </c>
      <c r="K32" t="s">
        <v>3990</v>
      </c>
      <c r="L32" t="s">
        <v>3991</v>
      </c>
      <c r="M32" s="3" t="str">
        <f>HYPERLINK(СторонТрансп[[#This Row],[RelativePath]])</f>
        <v>10 Сушилка навес\E33149364_3_20251126T103858Z.jpg</v>
      </c>
    </row>
    <row r="33" spans="1:13" x14ac:dyDescent="0.25">
      <c r="A33" t="s">
        <v>15</v>
      </c>
      <c r="B33" s="4">
        <v>45987</v>
      </c>
      <c r="C33" s="6">
        <v>0.44767361111111109</v>
      </c>
      <c r="D33" s="8" t="s">
        <v>289</v>
      </c>
      <c r="E33" t="s">
        <v>4192</v>
      </c>
      <c r="F33" t="s">
        <v>58</v>
      </c>
      <c r="H33" t="s">
        <v>2936</v>
      </c>
      <c r="I33" t="s">
        <v>4007</v>
      </c>
      <c r="J33" t="s">
        <v>2985</v>
      </c>
      <c r="K33" t="s">
        <v>4008</v>
      </c>
      <c r="L33" t="s">
        <v>4009</v>
      </c>
      <c r="M33" s="3" t="str">
        <f>HYPERLINK(СторонТрансп[[#This Row],[RelativePath]])</f>
        <v>10 Сушилка навес\E33149364_3_20251126T104439Z.jpg</v>
      </c>
    </row>
    <row r="34" spans="1:13" x14ac:dyDescent="0.25">
      <c r="A34" t="s">
        <v>15</v>
      </c>
      <c r="B34" s="4">
        <v>45987</v>
      </c>
      <c r="C34" s="6">
        <v>0.44255787037037037</v>
      </c>
      <c r="D34" s="8" t="s">
        <v>289</v>
      </c>
      <c r="E34" t="s">
        <v>4192</v>
      </c>
      <c r="F34" t="s">
        <v>58</v>
      </c>
      <c r="H34" t="s">
        <v>2936</v>
      </c>
      <c r="I34" t="s">
        <v>3977</v>
      </c>
      <c r="J34" t="s">
        <v>2985</v>
      </c>
      <c r="K34" t="s">
        <v>3978</v>
      </c>
      <c r="L34" t="s">
        <v>3979</v>
      </c>
      <c r="M34" s="3" t="str">
        <f>HYPERLINK(СторонТрансп[[#This Row],[RelativePath]])</f>
        <v>10 Сушилка навес\E33149364_3_20251126T103717Z.jpg</v>
      </c>
    </row>
    <row r="35" spans="1:13" x14ac:dyDescent="0.25">
      <c r="A35" t="s">
        <v>15</v>
      </c>
      <c r="B35" s="4">
        <v>45987</v>
      </c>
      <c r="C35" s="6">
        <v>0.44241898148148145</v>
      </c>
      <c r="D35" s="8" t="s">
        <v>289</v>
      </c>
      <c r="E35" t="s">
        <v>4192</v>
      </c>
      <c r="F35" t="s">
        <v>58</v>
      </c>
      <c r="H35" t="s">
        <v>2936</v>
      </c>
      <c r="I35" t="s">
        <v>3974</v>
      </c>
      <c r="J35" t="s">
        <v>2985</v>
      </c>
      <c r="K35" t="s">
        <v>3975</v>
      </c>
      <c r="L35" t="s">
        <v>3976</v>
      </c>
      <c r="M35" s="3" t="str">
        <f>HYPERLINK(СторонТрансп[[#This Row],[RelativePath]])</f>
        <v>10 Сушилка навес\E33149364_3_20251126T103705Z.jpg</v>
      </c>
    </row>
    <row r="36" spans="1:13" x14ac:dyDescent="0.25">
      <c r="A36" t="s">
        <v>15</v>
      </c>
      <c r="B36" s="4">
        <v>45987</v>
      </c>
      <c r="C36" s="6">
        <v>0.44226851851851851</v>
      </c>
      <c r="D36" s="8" t="s">
        <v>289</v>
      </c>
      <c r="E36" t="s">
        <v>4192</v>
      </c>
      <c r="F36" t="s">
        <v>58</v>
      </c>
      <c r="H36" t="s">
        <v>2936</v>
      </c>
      <c r="I36" t="s">
        <v>3971</v>
      </c>
      <c r="J36" t="s">
        <v>2985</v>
      </c>
      <c r="K36" t="s">
        <v>3972</v>
      </c>
      <c r="L36" t="s">
        <v>3973</v>
      </c>
      <c r="M36" s="3" t="str">
        <f>HYPERLINK(СторонТрансп[[#This Row],[RelativePath]])</f>
        <v>10 Сушилка навес\E33149364_3_20251126T103652Z.jpg</v>
      </c>
    </row>
    <row r="37" spans="1:13" x14ac:dyDescent="0.25">
      <c r="A37" t="s">
        <v>15</v>
      </c>
      <c r="B37" s="4">
        <v>45987</v>
      </c>
      <c r="C37" s="6">
        <v>0.4475925925925926</v>
      </c>
      <c r="D37" s="8" t="s">
        <v>289</v>
      </c>
      <c r="E37" t="s">
        <v>4192</v>
      </c>
      <c r="F37" t="s">
        <v>58</v>
      </c>
      <c r="I37" t="s">
        <v>4004</v>
      </c>
      <c r="J37" t="s">
        <v>2985</v>
      </c>
      <c r="K37" t="s">
        <v>4005</v>
      </c>
      <c r="L37" t="s">
        <v>4006</v>
      </c>
      <c r="M37" s="3" t="str">
        <f>HYPERLINK(СторонТрансп[[#This Row],[RelativePath]])</f>
        <v>10 Сушилка навес\E33149364_3_20251126T104432Z.jpg</v>
      </c>
    </row>
    <row r="38" spans="1:13" x14ac:dyDescent="0.25">
      <c r="A38" t="s">
        <v>18</v>
      </c>
      <c r="B38" s="4">
        <v>45990</v>
      </c>
      <c r="C38" s="6">
        <v>0.63124999999999998</v>
      </c>
      <c r="D38" s="8" t="s">
        <v>289</v>
      </c>
      <c r="E38" t="s">
        <v>4194</v>
      </c>
      <c r="F38" t="s">
        <v>4211</v>
      </c>
      <c r="H38" t="s">
        <v>2936</v>
      </c>
      <c r="I38" t="s">
        <v>3630</v>
      </c>
      <c r="J38" t="s">
        <v>2984</v>
      </c>
      <c r="K38" t="s">
        <v>3631</v>
      </c>
      <c r="L38" t="s">
        <v>3632</v>
      </c>
      <c r="M38" s="3" t="str">
        <f>HYPERLINK(СторонТрансп[[#This Row],[RelativePath]])</f>
        <v>7 Площадка 2 бетонщики\K07156189_18_20251129T150900Z.jpg</v>
      </c>
    </row>
    <row r="39" spans="1:13" x14ac:dyDescent="0.25">
      <c r="A39" t="s">
        <v>18</v>
      </c>
      <c r="B39" s="4">
        <v>45990</v>
      </c>
      <c r="C39" s="6">
        <v>0.62604166666666672</v>
      </c>
      <c r="D39" s="8" t="s">
        <v>289</v>
      </c>
      <c r="E39" t="s">
        <v>4194</v>
      </c>
      <c r="F39" t="s">
        <v>4211</v>
      </c>
      <c r="H39" t="s">
        <v>2936</v>
      </c>
      <c r="I39" t="s">
        <v>3627</v>
      </c>
      <c r="J39" t="s">
        <v>2984</v>
      </c>
      <c r="K39" t="s">
        <v>3628</v>
      </c>
      <c r="L39" t="s">
        <v>3629</v>
      </c>
      <c r="M39" s="3" t="str">
        <f>HYPERLINK(СторонТрансп[[#This Row],[RelativePath]])</f>
        <v>7 Площадка 2 бетонщики\K07156189_18_20251129T150130Z.jpg</v>
      </c>
    </row>
    <row r="40" spans="1:13" x14ac:dyDescent="0.25">
      <c r="A40" t="s">
        <v>18</v>
      </c>
      <c r="B40" s="4">
        <v>45990</v>
      </c>
      <c r="C40" s="6">
        <v>0.67753472222222222</v>
      </c>
      <c r="D40" s="8" t="s">
        <v>289</v>
      </c>
      <c r="E40" t="s">
        <v>4195</v>
      </c>
      <c r="F40" t="s">
        <v>4211</v>
      </c>
      <c r="H40" t="s">
        <v>2936</v>
      </c>
      <c r="I40" t="s">
        <v>3689</v>
      </c>
      <c r="J40" t="s">
        <v>2984</v>
      </c>
      <c r="K40" t="s">
        <v>3690</v>
      </c>
      <c r="L40" t="s">
        <v>3691</v>
      </c>
      <c r="M40" s="3" t="str">
        <f>HYPERLINK(СторонТрансп[[#This Row],[RelativePath]])</f>
        <v>7 Площадка 2 бетонщики\K07156189_18_20251129T161539Z.jpg</v>
      </c>
    </row>
    <row r="41" spans="1:13" x14ac:dyDescent="0.25">
      <c r="A41" t="s">
        <v>18</v>
      </c>
      <c r="B41" s="4">
        <v>45990</v>
      </c>
      <c r="C41" s="6">
        <v>0.65699074074074071</v>
      </c>
      <c r="D41" s="8" t="s">
        <v>289</v>
      </c>
      <c r="E41" t="s">
        <v>4195</v>
      </c>
      <c r="F41" t="s">
        <v>4211</v>
      </c>
      <c r="H41" t="s">
        <v>2936</v>
      </c>
      <c r="I41" t="s">
        <v>3659</v>
      </c>
      <c r="J41" t="s">
        <v>2984</v>
      </c>
      <c r="K41" t="s">
        <v>3660</v>
      </c>
      <c r="L41" t="s">
        <v>3661</v>
      </c>
      <c r="M41" s="3" t="str">
        <f>HYPERLINK(СторонТрансп[[#This Row],[RelativePath]])</f>
        <v>7 Площадка 2 бетонщики\K07156189_18_20251129T154604Z.jpg</v>
      </c>
    </row>
    <row r="42" spans="1:13" x14ac:dyDescent="0.25">
      <c r="A42" t="s">
        <v>18</v>
      </c>
      <c r="B42" s="4">
        <v>45990</v>
      </c>
      <c r="C42" s="6">
        <v>0.62410879629629634</v>
      </c>
      <c r="D42" s="8" t="s">
        <v>289</v>
      </c>
      <c r="E42" t="s">
        <v>4194</v>
      </c>
      <c r="F42" t="s">
        <v>4211</v>
      </c>
      <c r="H42" t="s">
        <v>2936</v>
      </c>
      <c r="I42" t="s">
        <v>3624</v>
      </c>
      <c r="J42" t="s">
        <v>2984</v>
      </c>
      <c r="K42" t="s">
        <v>3625</v>
      </c>
      <c r="L42" t="s">
        <v>3626</v>
      </c>
      <c r="M42" s="3" t="str">
        <f>HYPERLINK(СторонТрансп[[#This Row],[RelativePath]])</f>
        <v>7 Площадка 2 бетонщики\K07156189_18_20251129T145843Z.jpg</v>
      </c>
    </row>
    <row r="43" spans="1:13" x14ac:dyDescent="0.25">
      <c r="A43" t="s">
        <v>18</v>
      </c>
      <c r="B43" s="4">
        <v>45990</v>
      </c>
      <c r="C43" s="6">
        <v>0.61790509259259263</v>
      </c>
      <c r="D43" s="8" t="s">
        <v>289</v>
      </c>
      <c r="E43" t="s">
        <v>4194</v>
      </c>
      <c r="F43" t="s">
        <v>4211</v>
      </c>
      <c r="H43" t="s">
        <v>2936</v>
      </c>
      <c r="I43" t="s">
        <v>3615</v>
      </c>
      <c r="J43" t="s">
        <v>2984</v>
      </c>
      <c r="K43" t="s">
        <v>3616</v>
      </c>
      <c r="L43" t="s">
        <v>3617</v>
      </c>
      <c r="M43" s="3" t="str">
        <f>HYPERLINK(СторонТрансп[[#This Row],[RelativePath]])</f>
        <v>7 Площадка 2 бетонщики\K07156189_18_20251129T144947Z.jpg</v>
      </c>
    </row>
    <row r="44" spans="1:13" x14ac:dyDescent="0.25">
      <c r="A44" t="s">
        <v>18</v>
      </c>
      <c r="B44" s="4">
        <v>45990</v>
      </c>
      <c r="C44" s="6">
        <v>0.64386574074074077</v>
      </c>
      <c r="D44" s="8" t="s">
        <v>289</v>
      </c>
      <c r="E44" t="s">
        <v>4194</v>
      </c>
      <c r="F44" t="s">
        <v>87</v>
      </c>
      <c r="I44" t="s">
        <v>3645</v>
      </c>
      <c r="J44" t="s">
        <v>2984</v>
      </c>
      <c r="K44" t="s">
        <v>3646</v>
      </c>
      <c r="L44" t="s">
        <v>3647</v>
      </c>
      <c r="M44" s="3" t="str">
        <f>HYPERLINK(СторонТрансп[[#This Row],[RelativePath]])</f>
        <v>7 Площадка 2 бетонщики\K07156189_18_20251129T152710Z.jpg</v>
      </c>
    </row>
    <row r="45" spans="1:13" x14ac:dyDescent="0.25">
      <c r="A45" t="s">
        <v>18</v>
      </c>
      <c r="B45" s="4">
        <v>45990</v>
      </c>
      <c r="C45" s="6">
        <v>0.65312499999999996</v>
      </c>
      <c r="D45" s="8" t="s">
        <v>289</v>
      </c>
      <c r="E45" t="s">
        <v>4195</v>
      </c>
      <c r="F45" t="s">
        <v>4211</v>
      </c>
      <c r="I45" t="s">
        <v>3653</v>
      </c>
      <c r="J45" t="s">
        <v>2984</v>
      </c>
      <c r="K45" t="s">
        <v>3654</v>
      </c>
      <c r="L45" t="s">
        <v>3655</v>
      </c>
      <c r="M45" s="3" t="str">
        <f>HYPERLINK(СторонТрансп[[#This Row],[RelativePath]])</f>
        <v>7 Площадка 2 бетонщики\K07156189_18_20251129T154030Z.jpg</v>
      </c>
    </row>
    <row r="46" spans="1:13" x14ac:dyDescent="0.25">
      <c r="A46" t="s">
        <v>18</v>
      </c>
      <c r="B46" s="4">
        <v>45990</v>
      </c>
      <c r="C46" s="6">
        <v>0.65543981481481484</v>
      </c>
      <c r="D46" s="8" t="s">
        <v>289</v>
      </c>
      <c r="E46" t="s">
        <v>4195</v>
      </c>
      <c r="F46" t="s">
        <v>4211</v>
      </c>
      <c r="H46" t="s">
        <v>2936</v>
      </c>
      <c r="I46" t="s">
        <v>3656</v>
      </c>
      <c r="J46" t="s">
        <v>2984</v>
      </c>
      <c r="K46" t="s">
        <v>3657</v>
      </c>
      <c r="L46" t="s">
        <v>3658</v>
      </c>
      <c r="M46" s="3" t="str">
        <f>HYPERLINK(СторонТрансп[[#This Row],[RelativePath]])</f>
        <v>7 Площадка 2 бетонщики\K07156189_18_20251129T154350Z.jpg</v>
      </c>
    </row>
    <row r="47" spans="1:13" x14ac:dyDescent="0.25">
      <c r="A47" t="s">
        <v>18</v>
      </c>
      <c r="B47" s="4">
        <v>45990</v>
      </c>
      <c r="C47" s="6">
        <v>0.61982638888888886</v>
      </c>
      <c r="D47" s="8" t="s">
        <v>289</v>
      </c>
      <c r="E47" t="s">
        <v>4194</v>
      </c>
      <c r="F47" t="s">
        <v>4211</v>
      </c>
      <c r="H47" t="s">
        <v>2936</v>
      </c>
      <c r="I47" t="s">
        <v>3618</v>
      </c>
      <c r="J47" t="s">
        <v>2984</v>
      </c>
      <c r="K47" t="s">
        <v>3619</v>
      </c>
      <c r="L47" t="s">
        <v>3620</v>
      </c>
      <c r="M47" s="3" t="str">
        <f>HYPERLINK(СторонТрансп[[#This Row],[RelativePath]])</f>
        <v>7 Площадка 2 бетонщики\K07156189_18_20251129T145233Z.jpg</v>
      </c>
    </row>
    <row r="48" spans="1:13" x14ac:dyDescent="0.25">
      <c r="A48" t="s">
        <v>18</v>
      </c>
      <c r="B48" s="4">
        <v>45990</v>
      </c>
      <c r="C48" s="6">
        <v>0.6216666666666667</v>
      </c>
      <c r="D48" s="8" t="s">
        <v>289</v>
      </c>
      <c r="E48" t="s">
        <v>4194</v>
      </c>
      <c r="F48" t="s">
        <v>4211</v>
      </c>
      <c r="H48" t="s">
        <v>2936</v>
      </c>
      <c r="I48" t="s">
        <v>3621</v>
      </c>
      <c r="J48" t="s">
        <v>2984</v>
      </c>
      <c r="K48" t="s">
        <v>3622</v>
      </c>
      <c r="L48" t="s">
        <v>3623</v>
      </c>
      <c r="M48" s="3" t="str">
        <f>HYPERLINK(СторонТрансп[[#This Row],[RelativePath]])</f>
        <v>7 Площадка 2 бетонщики\K07156189_18_20251129T145512Z.jpg</v>
      </c>
    </row>
    <row r="49" spans="1:13" x14ac:dyDescent="0.25">
      <c r="A49" t="s">
        <v>18</v>
      </c>
      <c r="B49" s="4">
        <v>45990</v>
      </c>
      <c r="C49" s="6">
        <v>0.6338773148148148</v>
      </c>
      <c r="D49" s="8" t="s">
        <v>289</v>
      </c>
      <c r="E49" t="s">
        <v>4194</v>
      </c>
      <c r="F49" t="s">
        <v>4211</v>
      </c>
      <c r="H49" t="s">
        <v>2936</v>
      </c>
      <c r="I49" t="s">
        <v>3633</v>
      </c>
      <c r="J49" t="s">
        <v>2984</v>
      </c>
      <c r="K49" t="s">
        <v>3634</v>
      </c>
      <c r="L49" t="s">
        <v>3635</v>
      </c>
      <c r="M49" s="3" t="str">
        <f>HYPERLINK(СторонТрансп[[#This Row],[RelativePath]])</f>
        <v>7 Площадка 2 бетонщики\K07156189_18_20251129T151247Z.jpg</v>
      </c>
    </row>
    <row r="50" spans="1:13" x14ac:dyDescent="0.25">
      <c r="A50" t="s">
        <v>18</v>
      </c>
      <c r="B50" s="4">
        <v>45990</v>
      </c>
      <c r="C50" s="6">
        <v>0.67155092592592591</v>
      </c>
      <c r="D50" s="8" t="s">
        <v>289</v>
      </c>
      <c r="E50" t="s">
        <v>4195</v>
      </c>
      <c r="F50" t="s">
        <v>4211</v>
      </c>
      <c r="H50" t="s">
        <v>2936</v>
      </c>
      <c r="I50" t="s">
        <v>3677</v>
      </c>
      <c r="J50" t="s">
        <v>2984</v>
      </c>
      <c r="K50" t="s">
        <v>3678</v>
      </c>
      <c r="L50" t="s">
        <v>3679</v>
      </c>
      <c r="M50" s="3" t="str">
        <f>HYPERLINK(СторонТрансп[[#This Row],[RelativePath]])</f>
        <v>7 Площадка 2 бетонщики\K07156189_18_20251129T160702Z.jpg</v>
      </c>
    </row>
    <row r="51" spans="1:13" x14ac:dyDescent="0.25">
      <c r="A51" t="s">
        <v>18</v>
      </c>
      <c r="B51" s="4">
        <v>45990</v>
      </c>
      <c r="C51" s="6">
        <v>0.65927083333333336</v>
      </c>
      <c r="D51" s="8" t="s">
        <v>289</v>
      </c>
      <c r="E51" t="s">
        <v>4195</v>
      </c>
      <c r="F51" t="s">
        <v>4211</v>
      </c>
      <c r="H51" t="s">
        <v>2936</v>
      </c>
      <c r="I51" t="s">
        <v>3662</v>
      </c>
      <c r="J51" t="s">
        <v>2984</v>
      </c>
      <c r="K51" t="s">
        <v>3663</v>
      </c>
      <c r="L51" t="s">
        <v>3664</v>
      </c>
      <c r="M51" s="3" t="str">
        <f>HYPERLINK(СторонТрансп[[#This Row],[RelativePath]])</f>
        <v>7 Площадка 2 бетонщики\K07156189_18_20251129T154921Z.jpg</v>
      </c>
    </row>
    <row r="52" spans="1:13" x14ac:dyDescent="0.25">
      <c r="A52" t="s">
        <v>18</v>
      </c>
      <c r="B52" s="4">
        <v>45990</v>
      </c>
      <c r="C52" s="6">
        <v>0.66106481481481483</v>
      </c>
      <c r="D52" s="8" t="s">
        <v>289</v>
      </c>
      <c r="E52" t="s">
        <v>4195</v>
      </c>
      <c r="F52" t="s">
        <v>4211</v>
      </c>
      <c r="H52" t="s">
        <v>2936</v>
      </c>
      <c r="I52" t="s">
        <v>3665</v>
      </c>
      <c r="J52" t="s">
        <v>2984</v>
      </c>
      <c r="K52" t="s">
        <v>3666</v>
      </c>
      <c r="L52" t="s">
        <v>3667</v>
      </c>
      <c r="M52" s="3" t="str">
        <f>HYPERLINK(СторонТрансп[[#This Row],[RelativePath]])</f>
        <v>7 Площадка 2 бетонщики\K07156189_18_20251129T155156Z.jpg</v>
      </c>
    </row>
    <row r="53" spans="1:13" x14ac:dyDescent="0.25">
      <c r="A53" t="s">
        <v>18</v>
      </c>
      <c r="B53" s="4">
        <v>45990</v>
      </c>
      <c r="C53" s="6">
        <v>0.66733796296296299</v>
      </c>
      <c r="D53" s="8" t="s">
        <v>289</v>
      </c>
      <c r="E53" t="s">
        <v>4195</v>
      </c>
      <c r="F53" t="s">
        <v>4211</v>
      </c>
      <c r="H53" t="s">
        <v>2936</v>
      </c>
      <c r="I53" t="s">
        <v>3671</v>
      </c>
      <c r="J53" t="s">
        <v>2984</v>
      </c>
      <c r="K53" t="s">
        <v>3672</v>
      </c>
      <c r="L53" t="s">
        <v>3673</v>
      </c>
      <c r="M53" s="3" t="str">
        <f>HYPERLINK(СторонТрансп[[#This Row],[RelativePath]])</f>
        <v>7 Площадка 2 бетонщики\K07156189_18_20251129T160058Z.jpg</v>
      </c>
    </row>
    <row r="54" spans="1:13" x14ac:dyDescent="0.25">
      <c r="A54" t="s">
        <v>18</v>
      </c>
      <c r="B54" s="4">
        <v>45990</v>
      </c>
      <c r="C54" s="6">
        <v>0.66971064814814818</v>
      </c>
      <c r="D54" s="8" t="s">
        <v>289</v>
      </c>
      <c r="E54" t="s">
        <v>4195</v>
      </c>
      <c r="F54" t="s">
        <v>4211</v>
      </c>
      <c r="H54" t="s">
        <v>2936</v>
      </c>
      <c r="I54" t="s">
        <v>3674</v>
      </c>
      <c r="J54" t="s">
        <v>2984</v>
      </c>
      <c r="K54" t="s">
        <v>3675</v>
      </c>
      <c r="L54" t="s">
        <v>3676</v>
      </c>
      <c r="M54" s="3" t="str">
        <f>HYPERLINK(СторонТрансп[[#This Row],[RelativePath]])</f>
        <v>7 Площадка 2 бетонщики\K07156189_18_20251129T160423Z.jpg</v>
      </c>
    </row>
    <row r="55" spans="1:13" x14ac:dyDescent="0.25">
      <c r="A55" t="s">
        <v>18</v>
      </c>
      <c r="B55" s="4">
        <v>45990</v>
      </c>
      <c r="C55" s="6">
        <v>0.66378472222222218</v>
      </c>
      <c r="D55" s="8" t="s">
        <v>289</v>
      </c>
      <c r="E55" t="s">
        <v>4195</v>
      </c>
      <c r="F55" t="s">
        <v>4211</v>
      </c>
      <c r="H55" t="s">
        <v>2936</v>
      </c>
      <c r="I55" t="s">
        <v>3668</v>
      </c>
      <c r="J55" t="s">
        <v>2984</v>
      </c>
      <c r="K55" t="s">
        <v>3669</v>
      </c>
      <c r="L55" t="s">
        <v>3670</v>
      </c>
      <c r="M55" s="3" t="str">
        <f>HYPERLINK(СторонТрансп[[#This Row],[RelativePath]])</f>
        <v>7 Площадка 2 бетонщики\K07156189_18_20251129T155551Z.jpg</v>
      </c>
    </row>
    <row r="56" spans="1:13" x14ac:dyDescent="0.25">
      <c r="A56" t="s">
        <v>18</v>
      </c>
      <c r="B56" s="4">
        <v>45990</v>
      </c>
      <c r="C56" s="6">
        <v>0.68376157407407412</v>
      </c>
      <c r="D56" s="8" t="s">
        <v>289</v>
      </c>
      <c r="E56" t="s">
        <v>4195</v>
      </c>
      <c r="F56" t="s">
        <v>4211</v>
      </c>
      <c r="H56" t="s">
        <v>2936</v>
      </c>
      <c r="I56" t="s">
        <v>3698</v>
      </c>
      <c r="J56" t="s">
        <v>2984</v>
      </c>
      <c r="K56" t="s">
        <v>3699</v>
      </c>
      <c r="L56" t="s">
        <v>3700</v>
      </c>
      <c r="M56" s="3" t="str">
        <f>HYPERLINK(СторонТрансп[[#This Row],[RelativePath]])</f>
        <v>7 Площадка 2 бетонщики\K07156189_18_20251129T162437Z.jpg</v>
      </c>
    </row>
    <row r="57" spans="1:13" x14ac:dyDescent="0.25">
      <c r="A57" t="s">
        <v>18</v>
      </c>
      <c r="B57" s="4">
        <v>45990</v>
      </c>
      <c r="C57" s="6">
        <v>0.67570601851851853</v>
      </c>
      <c r="D57" s="8" t="s">
        <v>289</v>
      </c>
      <c r="E57" t="s">
        <v>4195</v>
      </c>
      <c r="F57" t="s">
        <v>4211</v>
      </c>
      <c r="H57" t="s">
        <v>2936</v>
      </c>
      <c r="I57" t="s">
        <v>3683</v>
      </c>
      <c r="J57" t="s">
        <v>2984</v>
      </c>
      <c r="K57" t="s">
        <v>3684</v>
      </c>
      <c r="L57" t="s">
        <v>3685</v>
      </c>
      <c r="M57" s="3" t="str">
        <f>HYPERLINK(СторонТрансп[[#This Row],[RelativePath]])</f>
        <v>7 Площадка 2 бетонщики\K07156189_18_20251129T161301Z.jpg</v>
      </c>
    </row>
    <row r="58" spans="1:13" x14ac:dyDescent="0.25">
      <c r="A58" t="s">
        <v>18</v>
      </c>
      <c r="B58" s="4">
        <v>45990</v>
      </c>
      <c r="C58" s="6">
        <v>0.67623842592592598</v>
      </c>
      <c r="D58" s="8" t="s">
        <v>289</v>
      </c>
      <c r="E58" t="s">
        <v>4195</v>
      </c>
      <c r="F58" t="s">
        <v>4211</v>
      </c>
      <c r="H58" t="s">
        <v>2936</v>
      </c>
      <c r="I58" t="s">
        <v>3686</v>
      </c>
      <c r="J58" t="s">
        <v>2984</v>
      </c>
      <c r="K58" t="s">
        <v>3687</v>
      </c>
      <c r="L58" t="s">
        <v>3688</v>
      </c>
      <c r="M58" s="3" t="str">
        <f>HYPERLINK(СторонТрансп[[#This Row],[RelativePath]])</f>
        <v>7 Площадка 2 бетонщики\K07156189_18_20251129T161347Z.jpg</v>
      </c>
    </row>
    <row r="59" spans="1:13" x14ac:dyDescent="0.25">
      <c r="A59" t="s">
        <v>18</v>
      </c>
      <c r="B59" s="4">
        <v>45990</v>
      </c>
      <c r="C59" s="6">
        <v>0.67405092592592597</v>
      </c>
      <c r="D59" s="8" t="s">
        <v>289</v>
      </c>
      <c r="E59" t="s">
        <v>4195</v>
      </c>
      <c r="F59" t="s">
        <v>4211</v>
      </c>
      <c r="H59" t="s">
        <v>2936</v>
      </c>
      <c r="I59" t="s">
        <v>3680</v>
      </c>
      <c r="J59" t="s">
        <v>2984</v>
      </c>
      <c r="K59" t="s">
        <v>3681</v>
      </c>
      <c r="L59" t="s">
        <v>3682</v>
      </c>
      <c r="M59" s="3" t="str">
        <f>HYPERLINK(СторонТрансп[[#This Row],[RelativePath]])</f>
        <v>7 Площадка 2 бетонщики\K07156189_18_20251129T161038Z.jpg</v>
      </c>
    </row>
    <row r="60" spans="1:13" x14ac:dyDescent="0.25">
      <c r="A60" t="s">
        <v>18</v>
      </c>
      <c r="B60" s="4">
        <v>45990</v>
      </c>
      <c r="C60" s="6">
        <v>0.68038194444444444</v>
      </c>
      <c r="D60" s="8" t="s">
        <v>289</v>
      </c>
      <c r="E60" t="s">
        <v>4195</v>
      </c>
      <c r="F60" t="s">
        <v>4211</v>
      </c>
      <c r="H60" t="s">
        <v>2936</v>
      </c>
      <c r="I60" t="s">
        <v>3692</v>
      </c>
      <c r="J60" t="s">
        <v>2984</v>
      </c>
      <c r="K60" t="s">
        <v>3693</v>
      </c>
      <c r="L60" t="s">
        <v>3694</v>
      </c>
      <c r="M60" s="3" t="str">
        <f>HYPERLINK(СторонТрансп[[#This Row],[RelativePath]])</f>
        <v>7 Площадка 2 бетонщики\K07156189_18_20251129T161945Z.jpg</v>
      </c>
    </row>
    <row r="61" spans="1:13" x14ac:dyDescent="0.25">
      <c r="A61" t="s">
        <v>18</v>
      </c>
      <c r="B61" s="4">
        <v>45990</v>
      </c>
      <c r="C61" s="6">
        <v>0.68329861111111112</v>
      </c>
      <c r="D61" s="8" t="s">
        <v>289</v>
      </c>
      <c r="E61" t="s">
        <v>4195</v>
      </c>
      <c r="F61" t="s">
        <v>4211</v>
      </c>
      <c r="H61" t="s">
        <v>2936</v>
      </c>
      <c r="I61" t="s">
        <v>3695</v>
      </c>
      <c r="J61" t="s">
        <v>2984</v>
      </c>
      <c r="K61" t="s">
        <v>3696</v>
      </c>
      <c r="L61" t="s">
        <v>3697</v>
      </c>
      <c r="M61" s="3" t="str">
        <f>HYPERLINK(СторонТрансп[[#This Row],[RelativePath]])</f>
        <v>7 Площадка 2 бетонщики\K07156189_18_20251129T162357Z.jpg</v>
      </c>
    </row>
    <row r="62" spans="1:13" x14ac:dyDescent="0.25">
      <c r="A62" t="s">
        <v>18</v>
      </c>
      <c r="B62" s="4">
        <v>45990</v>
      </c>
      <c r="C62" s="6">
        <v>0.68625000000000003</v>
      </c>
      <c r="D62" s="8" t="s">
        <v>289</v>
      </c>
      <c r="E62" t="s">
        <v>4195</v>
      </c>
      <c r="F62" t="s">
        <v>4211</v>
      </c>
      <c r="H62" t="s">
        <v>2936</v>
      </c>
      <c r="I62" t="s">
        <v>3701</v>
      </c>
      <c r="J62" t="s">
        <v>2984</v>
      </c>
      <c r="K62" t="s">
        <v>3702</v>
      </c>
      <c r="L62" t="s">
        <v>3703</v>
      </c>
      <c r="M62" s="3" t="str">
        <f>HYPERLINK(СторонТрансп[[#This Row],[RelativePath]])</f>
        <v>7 Площадка 2 бетонщики\K07156189_18_20251129T162812Z.jpg</v>
      </c>
    </row>
    <row r="63" spans="1:13" x14ac:dyDescent="0.25">
      <c r="A63" t="s">
        <v>18</v>
      </c>
      <c r="B63" s="4">
        <v>45990</v>
      </c>
      <c r="C63" s="6">
        <v>0.68951388888888887</v>
      </c>
      <c r="D63" s="8" t="s">
        <v>289</v>
      </c>
      <c r="E63" t="s">
        <v>4195</v>
      </c>
      <c r="F63" t="s">
        <v>4211</v>
      </c>
      <c r="H63" t="s">
        <v>2936</v>
      </c>
      <c r="I63" t="s">
        <v>3704</v>
      </c>
      <c r="J63" t="s">
        <v>2984</v>
      </c>
      <c r="K63" t="s">
        <v>3705</v>
      </c>
      <c r="L63" t="s">
        <v>3706</v>
      </c>
      <c r="M63" s="3" t="str">
        <f>HYPERLINK(СторонТрансп[[#This Row],[RelativePath]])</f>
        <v>7 Площадка 2 бетонщики\K07156189_18_20251129T163254Z.jpg</v>
      </c>
    </row>
    <row r="64" spans="1:13" x14ac:dyDescent="0.25">
      <c r="A64" t="s">
        <v>18</v>
      </c>
      <c r="B64" s="4">
        <v>45990</v>
      </c>
      <c r="C64" s="6">
        <v>0.6917592592592593</v>
      </c>
      <c r="D64" s="8" t="s">
        <v>289</v>
      </c>
      <c r="E64" t="s">
        <v>4195</v>
      </c>
      <c r="F64" t="s">
        <v>4211</v>
      </c>
      <c r="H64" t="s">
        <v>2936</v>
      </c>
      <c r="I64" t="s">
        <v>3707</v>
      </c>
      <c r="J64" t="s">
        <v>2984</v>
      </c>
      <c r="K64" t="s">
        <v>3708</v>
      </c>
      <c r="L64" t="s">
        <v>3709</v>
      </c>
      <c r="M64" s="3" t="str">
        <f>HYPERLINK(СторонТрансп[[#This Row],[RelativePath]])</f>
        <v>7 Площадка 2 бетонщики\K07156189_18_20251129T163608Z.jpg</v>
      </c>
    </row>
    <row r="65" spans="1:13" x14ac:dyDescent="0.25">
      <c r="A65" t="s">
        <v>18</v>
      </c>
      <c r="B65" s="4">
        <v>45990</v>
      </c>
      <c r="C65" s="6">
        <v>0.58450231481481485</v>
      </c>
      <c r="D65" s="8" t="s">
        <v>289</v>
      </c>
      <c r="E65" t="s">
        <v>4217</v>
      </c>
      <c r="F65" t="s">
        <v>4211</v>
      </c>
      <c r="H65" t="s">
        <v>2936</v>
      </c>
      <c r="I65" t="s">
        <v>3606</v>
      </c>
      <c r="J65" t="s">
        <v>2984</v>
      </c>
      <c r="K65" t="s">
        <v>3607</v>
      </c>
      <c r="L65" t="s">
        <v>3608</v>
      </c>
      <c r="M65" s="3" t="str">
        <f>HYPERLINK(СторонТрансп[[#This Row],[RelativePath]])</f>
        <v>7 Площадка 2 бетонщики\K07156189_18_20251129T140141Z.jpg</v>
      </c>
    </row>
    <row r="66" spans="1:13" x14ac:dyDescent="0.25">
      <c r="A66" t="s">
        <v>18</v>
      </c>
      <c r="B66" s="4">
        <v>45990</v>
      </c>
      <c r="C66" s="6">
        <v>0.69224537037037037</v>
      </c>
      <c r="D66" s="8" t="s">
        <v>289</v>
      </c>
      <c r="E66" t="s">
        <v>4195</v>
      </c>
      <c r="F66" t="s">
        <v>4211</v>
      </c>
      <c r="H66" t="s">
        <v>2936</v>
      </c>
      <c r="I66" t="s">
        <v>3710</v>
      </c>
      <c r="J66" t="s">
        <v>2984</v>
      </c>
      <c r="K66" t="s">
        <v>3711</v>
      </c>
      <c r="L66" t="s">
        <v>3712</v>
      </c>
      <c r="M66" s="3" t="str">
        <f>HYPERLINK(СторонТрансп[[#This Row],[RelativePath]])</f>
        <v>7 Площадка 2 бетонщики\K07156189_18_20251129T163650Z.jpg</v>
      </c>
    </row>
    <row r="67" spans="1:13" x14ac:dyDescent="0.25">
      <c r="A67" t="s">
        <v>18</v>
      </c>
      <c r="B67" s="4">
        <v>45990</v>
      </c>
      <c r="C67" s="6">
        <v>0.61375000000000002</v>
      </c>
      <c r="D67" s="8" t="s">
        <v>289</v>
      </c>
      <c r="E67" t="s">
        <v>4194</v>
      </c>
      <c r="F67" t="s">
        <v>4211</v>
      </c>
      <c r="I67" t="s">
        <v>3612</v>
      </c>
      <c r="J67" t="s">
        <v>2984</v>
      </c>
      <c r="K67" t="s">
        <v>3613</v>
      </c>
      <c r="L67" t="s">
        <v>3614</v>
      </c>
      <c r="M67" s="3" t="str">
        <f>HYPERLINK(СторонТрансп[[#This Row],[RelativePath]])</f>
        <v>7 Площадка 2 бетонщики\K07156189_18_20251129T144348Z.jpg</v>
      </c>
    </row>
    <row r="68" spans="1:13" x14ac:dyDescent="0.25">
      <c r="A68" t="s">
        <v>18</v>
      </c>
      <c r="B68" s="4">
        <v>45990</v>
      </c>
      <c r="C68" s="6">
        <v>0.57677083333333334</v>
      </c>
      <c r="D68" s="8" t="s">
        <v>289</v>
      </c>
      <c r="E68" t="s">
        <v>4217</v>
      </c>
      <c r="F68" t="s">
        <v>4211</v>
      </c>
      <c r="H68" t="s">
        <v>2936</v>
      </c>
      <c r="I68" t="s">
        <v>3594</v>
      </c>
      <c r="J68" t="s">
        <v>2984</v>
      </c>
      <c r="K68" t="s">
        <v>3595</v>
      </c>
      <c r="L68" t="s">
        <v>3596</v>
      </c>
      <c r="M68" s="3" t="str">
        <f>HYPERLINK(СторонТрансп[[#This Row],[RelativePath]])</f>
        <v>7 Площадка 2 бетонщики\K07156189_18_20251129T135033Z.jpg</v>
      </c>
    </row>
    <row r="69" spans="1:13" x14ac:dyDescent="0.25">
      <c r="A69" t="s">
        <v>18</v>
      </c>
      <c r="B69" s="4">
        <v>45990</v>
      </c>
      <c r="C69" s="6">
        <v>0.58212962962962966</v>
      </c>
      <c r="D69" s="8" t="s">
        <v>289</v>
      </c>
      <c r="E69" t="s">
        <v>4217</v>
      </c>
      <c r="F69" t="s">
        <v>4211</v>
      </c>
      <c r="H69" t="s">
        <v>2936</v>
      </c>
      <c r="I69" t="s">
        <v>3600</v>
      </c>
      <c r="J69" t="s">
        <v>2984</v>
      </c>
      <c r="K69" t="s">
        <v>3601</v>
      </c>
      <c r="L69" t="s">
        <v>3602</v>
      </c>
      <c r="M69" s="3" t="str">
        <f>HYPERLINK(СторонТрансп[[#This Row],[RelativePath]])</f>
        <v>7 Площадка 2 бетонщики\K07156189_18_20251129T135816Z.jpg</v>
      </c>
    </row>
    <row r="70" spans="1:13" x14ac:dyDescent="0.25">
      <c r="A70" t="s">
        <v>18</v>
      </c>
      <c r="B70" s="4">
        <v>45990</v>
      </c>
      <c r="C70" s="6">
        <v>0.57995370370370369</v>
      </c>
      <c r="D70" s="8" t="s">
        <v>289</v>
      </c>
      <c r="E70" t="s">
        <v>4217</v>
      </c>
      <c r="F70" t="s">
        <v>4211</v>
      </c>
      <c r="H70" t="s">
        <v>2936</v>
      </c>
      <c r="I70" t="s">
        <v>3597</v>
      </c>
      <c r="J70" t="s">
        <v>2984</v>
      </c>
      <c r="K70" t="s">
        <v>3598</v>
      </c>
      <c r="L70" t="s">
        <v>3599</v>
      </c>
      <c r="M70" s="3" t="str">
        <f>HYPERLINK(СторонТрансп[[#This Row],[RelativePath]])</f>
        <v>7 Площадка 2 бетонщики\K07156189_18_20251129T135508Z.jpg</v>
      </c>
    </row>
    <row r="71" spans="1:13" x14ac:dyDescent="0.25">
      <c r="A71" t="s">
        <v>18</v>
      </c>
      <c r="B71" s="4">
        <v>45990</v>
      </c>
      <c r="C71" s="6">
        <v>0.57168981481481485</v>
      </c>
      <c r="D71" s="8" t="s">
        <v>289</v>
      </c>
      <c r="E71" t="s">
        <v>4217</v>
      </c>
      <c r="F71" t="s">
        <v>4211</v>
      </c>
      <c r="H71" t="s">
        <v>2936</v>
      </c>
      <c r="I71" t="s">
        <v>3585</v>
      </c>
      <c r="J71" t="s">
        <v>2984</v>
      </c>
      <c r="K71" t="s">
        <v>3586</v>
      </c>
      <c r="L71" t="s">
        <v>3587</v>
      </c>
      <c r="M71" s="3" t="str">
        <f>HYPERLINK(СторонТрансп[[#This Row],[RelativePath]])</f>
        <v>7 Площадка 2 бетонщики\K07156189_18_20251129T134314Z.jpg</v>
      </c>
    </row>
    <row r="72" spans="1:13" x14ac:dyDescent="0.25">
      <c r="A72" t="s">
        <v>18</v>
      </c>
      <c r="B72" s="4">
        <v>45990</v>
      </c>
      <c r="C72" s="6">
        <v>0.58278935185185188</v>
      </c>
      <c r="D72" s="8" t="s">
        <v>289</v>
      </c>
      <c r="E72" t="s">
        <v>4217</v>
      </c>
      <c r="F72" t="s">
        <v>4211</v>
      </c>
      <c r="H72" t="s">
        <v>2936</v>
      </c>
      <c r="I72" t="s">
        <v>3603</v>
      </c>
      <c r="J72" t="s">
        <v>2984</v>
      </c>
      <c r="K72" t="s">
        <v>3604</v>
      </c>
      <c r="L72" t="s">
        <v>3605</v>
      </c>
      <c r="M72" s="3" t="str">
        <f>HYPERLINK(СторонТрансп[[#This Row],[RelativePath]])</f>
        <v>7 Площадка 2 бетонщики\K07156189_18_20251129T135913Z.jpg</v>
      </c>
    </row>
    <row r="73" spans="1:13" x14ac:dyDescent="0.25">
      <c r="A73" t="s">
        <v>18</v>
      </c>
      <c r="B73" s="4">
        <v>45990</v>
      </c>
      <c r="C73" s="6">
        <v>0.57449074074074069</v>
      </c>
      <c r="D73" s="8" t="s">
        <v>289</v>
      </c>
      <c r="E73" t="s">
        <v>4217</v>
      </c>
      <c r="F73" t="s">
        <v>4211</v>
      </c>
      <c r="H73" t="s">
        <v>2936</v>
      </c>
      <c r="I73" t="s">
        <v>3591</v>
      </c>
      <c r="J73" t="s">
        <v>2984</v>
      </c>
      <c r="K73" t="s">
        <v>3592</v>
      </c>
      <c r="L73" t="s">
        <v>3593</v>
      </c>
      <c r="M73" s="3" t="str">
        <f>HYPERLINK(СторонТрансп[[#This Row],[RelativePath]])</f>
        <v>7 Площадка 2 бетонщики\K07156189_18_20251129T134716Z.jpg</v>
      </c>
    </row>
    <row r="74" spans="1:13" x14ac:dyDescent="0.25">
      <c r="A74" t="s">
        <v>18</v>
      </c>
      <c r="B74" s="4">
        <v>45990</v>
      </c>
      <c r="C74" s="6">
        <v>0.57275462962962964</v>
      </c>
      <c r="D74" s="8" t="s">
        <v>289</v>
      </c>
      <c r="E74" t="s">
        <v>4217</v>
      </c>
      <c r="F74" t="s">
        <v>4211</v>
      </c>
      <c r="H74" t="s">
        <v>2936</v>
      </c>
      <c r="I74" t="s">
        <v>3588</v>
      </c>
      <c r="J74" t="s">
        <v>2984</v>
      </c>
      <c r="K74" t="s">
        <v>3589</v>
      </c>
      <c r="L74" t="s">
        <v>3590</v>
      </c>
      <c r="M74" s="3" t="str">
        <f>HYPERLINK(СторонТрансп[[#This Row],[RelativePath]])</f>
        <v>7 Площадка 2 бетонщики\K07156189_18_20251129T134446Z.jpg</v>
      </c>
    </row>
    <row r="75" spans="1:13" x14ac:dyDescent="0.25">
      <c r="A75" t="s">
        <v>18</v>
      </c>
      <c r="B75" s="4">
        <v>45990</v>
      </c>
      <c r="C75" s="6">
        <v>0.55314814814814817</v>
      </c>
      <c r="D75" s="8" t="s">
        <v>289</v>
      </c>
      <c r="E75" t="s">
        <v>4217</v>
      </c>
      <c r="F75" t="s">
        <v>4211</v>
      </c>
      <c r="H75" t="s">
        <v>2936</v>
      </c>
      <c r="I75" t="s">
        <v>3570</v>
      </c>
      <c r="J75" t="s">
        <v>2984</v>
      </c>
      <c r="K75" t="s">
        <v>3571</v>
      </c>
      <c r="L75" t="s">
        <v>3572</v>
      </c>
      <c r="M75" s="3" t="str">
        <f>HYPERLINK(СторонТрансп[[#This Row],[RelativePath]])</f>
        <v>7 Площадка 2 бетонщики\K07156189_18_20251129T131632Z.jpg</v>
      </c>
    </row>
    <row r="76" spans="1:13" x14ac:dyDescent="0.25">
      <c r="A76" t="s">
        <v>18</v>
      </c>
      <c r="B76" s="4">
        <v>45990</v>
      </c>
      <c r="C76" s="6">
        <v>0.55248842592592595</v>
      </c>
      <c r="D76" s="8" t="s">
        <v>289</v>
      </c>
      <c r="E76" t="s">
        <v>4217</v>
      </c>
      <c r="F76" t="s">
        <v>4211</v>
      </c>
      <c r="I76" t="s">
        <v>3567</v>
      </c>
      <c r="J76" t="s">
        <v>2984</v>
      </c>
      <c r="K76" t="s">
        <v>3568</v>
      </c>
      <c r="L76" t="s">
        <v>3569</v>
      </c>
      <c r="M76" s="3" t="str">
        <f>HYPERLINK(СторонТрансп[[#This Row],[RelativePath]])</f>
        <v>7 Площадка 2 бетонщики\K07156189_18_20251129T131535Z.jpg</v>
      </c>
    </row>
    <row r="77" spans="1:13" x14ac:dyDescent="0.25">
      <c r="A77" t="s">
        <v>18</v>
      </c>
      <c r="B77" s="4">
        <v>45990</v>
      </c>
      <c r="C77" s="6">
        <v>0.56846064814814812</v>
      </c>
      <c r="D77" s="8" t="s">
        <v>289</v>
      </c>
      <c r="E77" t="s">
        <v>4217</v>
      </c>
      <c r="F77" t="s">
        <v>4211</v>
      </c>
      <c r="H77" t="s">
        <v>2936</v>
      </c>
      <c r="I77" t="s">
        <v>3582</v>
      </c>
      <c r="J77" t="s">
        <v>2984</v>
      </c>
      <c r="K77" t="s">
        <v>3583</v>
      </c>
      <c r="L77" t="s">
        <v>3584</v>
      </c>
      <c r="M77" s="3" t="str">
        <f>HYPERLINK(СторонТрансп[[#This Row],[RelativePath]])</f>
        <v>7 Площадка 2 бетонщики\K07156189_18_20251129T133835Z.jpg</v>
      </c>
    </row>
    <row r="78" spans="1:13" x14ac:dyDescent="0.25">
      <c r="A78" t="s">
        <v>18</v>
      </c>
      <c r="B78" s="4">
        <v>45990</v>
      </c>
      <c r="C78" s="6">
        <v>0.55888888888888888</v>
      </c>
      <c r="D78" s="8" t="s">
        <v>289</v>
      </c>
      <c r="E78" t="s">
        <v>4217</v>
      </c>
      <c r="F78" t="s">
        <v>4211</v>
      </c>
      <c r="H78" t="s">
        <v>2936</v>
      </c>
      <c r="I78" t="s">
        <v>3573</v>
      </c>
      <c r="J78" t="s">
        <v>2984</v>
      </c>
      <c r="K78" t="s">
        <v>3574</v>
      </c>
      <c r="L78" t="s">
        <v>3575</v>
      </c>
      <c r="M78" s="3" t="str">
        <f>HYPERLINK(СторонТрансп[[#This Row],[RelativePath]])</f>
        <v>7 Площадка 2 бетонщики\K07156189_18_20251129T132448Z.jpg</v>
      </c>
    </row>
    <row r="79" spans="1:13" x14ac:dyDescent="0.25">
      <c r="A79" t="s">
        <v>18</v>
      </c>
      <c r="B79" s="4">
        <v>45990</v>
      </c>
      <c r="C79" s="6">
        <v>0.63736111111111116</v>
      </c>
      <c r="D79" s="8" t="s">
        <v>289</v>
      </c>
      <c r="E79" t="s">
        <v>4194</v>
      </c>
      <c r="F79" t="s">
        <v>4211</v>
      </c>
      <c r="H79" t="s">
        <v>2936</v>
      </c>
      <c r="I79" t="s">
        <v>3636</v>
      </c>
      <c r="J79" t="s">
        <v>2984</v>
      </c>
      <c r="K79" t="s">
        <v>3637</v>
      </c>
      <c r="L79" t="s">
        <v>3638</v>
      </c>
      <c r="M79" s="3" t="str">
        <f>HYPERLINK(СторонТрансп[[#This Row],[RelativePath]])</f>
        <v>7 Площадка 2 бетонщики\K07156189_18_20251129T151748Z.jpg</v>
      </c>
    </row>
    <row r="80" spans="1:13" x14ac:dyDescent="0.25">
      <c r="A80" t="s">
        <v>18</v>
      </c>
      <c r="B80" s="4">
        <v>45990</v>
      </c>
      <c r="C80" s="6">
        <v>0.63914351851851847</v>
      </c>
      <c r="D80" s="8" t="s">
        <v>289</v>
      </c>
      <c r="E80" t="s">
        <v>4194</v>
      </c>
      <c r="F80" t="s">
        <v>4211</v>
      </c>
      <c r="H80" t="s">
        <v>2936</v>
      </c>
      <c r="I80" t="s">
        <v>3639</v>
      </c>
      <c r="J80" t="s">
        <v>2984</v>
      </c>
      <c r="K80" t="s">
        <v>3640</v>
      </c>
      <c r="L80" t="s">
        <v>3641</v>
      </c>
      <c r="M80" s="3" t="str">
        <f>HYPERLINK(СторонТрансп[[#This Row],[RelativePath]])</f>
        <v>7 Площадка 2 бетонщики\K07156189_18_20251129T152022Z.jpg</v>
      </c>
    </row>
    <row r="81" spans="1:13" x14ac:dyDescent="0.25">
      <c r="A81" t="s">
        <v>18</v>
      </c>
      <c r="B81" s="4">
        <v>45990</v>
      </c>
      <c r="C81" s="6">
        <v>0.64195601851851847</v>
      </c>
      <c r="D81" s="8" t="s">
        <v>289</v>
      </c>
      <c r="E81" t="s">
        <v>4194</v>
      </c>
      <c r="F81" t="s">
        <v>4211</v>
      </c>
      <c r="H81" t="s">
        <v>2936</v>
      </c>
      <c r="I81" t="s">
        <v>3642</v>
      </c>
      <c r="J81" t="s">
        <v>2984</v>
      </c>
      <c r="K81" t="s">
        <v>3643</v>
      </c>
      <c r="L81" t="s">
        <v>3644</v>
      </c>
      <c r="M81" s="3" t="str">
        <f>HYPERLINK(СторонТрансп[[#This Row],[RelativePath]])</f>
        <v>7 Площадка 2 бетонщики\K07156189_18_20251129T152425Z.jpg</v>
      </c>
    </row>
    <row r="82" spans="1:13" x14ac:dyDescent="0.25">
      <c r="A82" t="s">
        <v>18</v>
      </c>
      <c r="B82" s="4">
        <v>45990</v>
      </c>
      <c r="C82" s="6">
        <v>0.56593749999999998</v>
      </c>
      <c r="D82" s="8" t="s">
        <v>289</v>
      </c>
      <c r="E82" t="s">
        <v>4217</v>
      </c>
      <c r="F82" t="s">
        <v>4211</v>
      </c>
      <c r="H82" t="s">
        <v>2936</v>
      </c>
      <c r="I82" t="s">
        <v>3579</v>
      </c>
      <c r="J82" t="s">
        <v>2984</v>
      </c>
      <c r="K82" t="s">
        <v>3580</v>
      </c>
      <c r="L82" t="s">
        <v>3581</v>
      </c>
      <c r="M82" s="3" t="str">
        <f>HYPERLINK(СторонТрансп[[#This Row],[RelativePath]])</f>
        <v>7 Площадка 2 бетонщики\K07156189_18_20251129T133457Z.jpg</v>
      </c>
    </row>
    <row r="83" spans="1:13" x14ac:dyDescent="0.25">
      <c r="A83" t="s">
        <v>18</v>
      </c>
      <c r="B83" s="4">
        <v>45990</v>
      </c>
      <c r="C83" s="6">
        <v>0.5607523148148148</v>
      </c>
      <c r="D83" s="8" t="s">
        <v>289</v>
      </c>
      <c r="E83" t="s">
        <v>4217</v>
      </c>
      <c r="F83" t="s">
        <v>4211</v>
      </c>
      <c r="H83" t="s">
        <v>2936</v>
      </c>
      <c r="I83" t="s">
        <v>3576</v>
      </c>
      <c r="J83" t="s">
        <v>2984</v>
      </c>
      <c r="K83" t="s">
        <v>3577</v>
      </c>
      <c r="L83" t="s">
        <v>3578</v>
      </c>
      <c r="M83" s="3" t="str">
        <f>HYPERLINK(СторонТрансп[[#This Row],[RelativePath]])</f>
        <v>7 Площадка 2 бетонщики\K07156189_18_20251129T132729Z.jpg</v>
      </c>
    </row>
    <row r="84" spans="1:13" x14ac:dyDescent="0.25">
      <c r="A84" t="s">
        <v>22</v>
      </c>
      <c r="B84" s="4">
        <v>45998</v>
      </c>
      <c r="C84" s="6">
        <v>0.63689814814814816</v>
      </c>
      <c r="D84" s="8" t="s">
        <v>289</v>
      </c>
      <c r="E84" t="s">
        <v>5263</v>
      </c>
      <c r="F84" t="s">
        <v>5093</v>
      </c>
      <c r="H84" t="s">
        <v>2936</v>
      </c>
      <c r="I84" t="s">
        <v>5166</v>
      </c>
      <c r="J84" t="s">
        <v>2982</v>
      </c>
      <c r="K84" t="s">
        <v>5167</v>
      </c>
      <c r="L84" t="s">
        <v>5168</v>
      </c>
      <c r="M84" s="3" t="str">
        <f>HYPERLINK(СторонТрансп[[#This Row],[RelativePath]])</f>
        <v>5 Крыльцо общага\K07156189_22_20251207T151708Z.jpg</v>
      </c>
    </row>
    <row r="85" spans="1:13" x14ac:dyDescent="0.25">
      <c r="A85" t="s">
        <v>22</v>
      </c>
      <c r="B85" s="4">
        <v>45998</v>
      </c>
      <c r="C85" s="6">
        <v>0.62921296296296292</v>
      </c>
      <c r="D85" s="8" t="s">
        <v>289</v>
      </c>
      <c r="E85" t="s">
        <v>5263</v>
      </c>
      <c r="F85" t="s">
        <v>5093</v>
      </c>
      <c r="H85" t="s">
        <v>2936</v>
      </c>
      <c r="I85" t="s">
        <v>5163</v>
      </c>
      <c r="J85" t="s">
        <v>2982</v>
      </c>
      <c r="K85" t="s">
        <v>5164</v>
      </c>
      <c r="L85" t="s">
        <v>5165</v>
      </c>
      <c r="M85" s="3" t="str">
        <f>HYPERLINK(СторонТрансп[[#This Row],[RelativePath]])</f>
        <v>5 Крыльцо общага\K07156189_22_20251207T150604Z.jpg</v>
      </c>
    </row>
    <row r="86" spans="1:13" x14ac:dyDescent="0.25">
      <c r="A86" t="s">
        <v>22</v>
      </c>
      <c r="B86" s="4">
        <v>45998</v>
      </c>
      <c r="C86" s="6">
        <v>0.60648148148148151</v>
      </c>
      <c r="D86" s="8" t="s">
        <v>289</v>
      </c>
      <c r="E86" t="s">
        <v>5263</v>
      </c>
      <c r="F86" t="s">
        <v>4233</v>
      </c>
      <c r="H86" t="s">
        <v>2936</v>
      </c>
      <c r="I86" t="s">
        <v>5190</v>
      </c>
      <c r="J86" t="s">
        <v>2985</v>
      </c>
      <c r="K86" t="s">
        <v>5191</v>
      </c>
      <c r="L86" t="s">
        <v>5192</v>
      </c>
      <c r="M86" s="3" t="str">
        <f>HYPERLINK(СторонТрансп[[#This Row],[RelativePath]])</f>
        <v>10 Сушилка навес\E33149364_3_20251207T143320Z.jpg</v>
      </c>
    </row>
    <row r="87" spans="1:13" x14ac:dyDescent="0.25">
      <c r="A87" t="s">
        <v>22</v>
      </c>
      <c r="B87" s="4">
        <v>45998</v>
      </c>
      <c r="C87" s="6">
        <v>0.60039351851851852</v>
      </c>
      <c r="D87" s="8" t="s">
        <v>289</v>
      </c>
      <c r="E87" t="s">
        <v>5263</v>
      </c>
      <c r="F87" t="s">
        <v>4233</v>
      </c>
      <c r="I87" t="s">
        <v>5187</v>
      </c>
      <c r="J87" t="s">
        <v>2985</v>
      </c>
      <c r="K87" t="s">
        <v>5188</v>
      </c>
      <c r="L87" t="s">
        <v>5189</v>
      </c>
      <c r="M87" s="3" t="str">
        <f>HYPERLINK(СторонТрансп[[#This Row],[RelativePath]])</f>
        <v>10 Сушилка навес\E33149364_3_20251207T142434Z.jpg</v>
      </c>
    </row>
    <row r="88" spans="1:13" x14ac:dyDescent="0.25">
      <c r="A88" t="s">
        <v>22</v>
      </c>
      <c r="B88" s="4">
        <v>45998</v>
      </c>
      <c r="C88" s="6">
        <v>0.62070601851851848</v>
      </c>
      <c r="D88" s="8" t="s">
        <v>289</v>
      </c>
      <c r="E88" t="s">
        <v>5263</v>
      </c>
      <c r="F88" t="s">
        <v>5093</v>
      </c>
      <c r="H88" t="s">
        <v>2936</v>
      </c>
      <c r="I88" t="s">
        <v>5154</v>
      </c>
      <c r="J88" t="s">
        <v>2982</v>
      </c>
      <c r="K88" t="s">
        <v>5155</v>
      </c>
      <c r="L88" t="s">
        <v>5156</v>
      </c>
      <c r="M88" s="3" t="str">
        <f>HYPERLINK(СторонТрансп[[#This Row],[RelativePath]])</f>
        <v>5 Крыльцо общага\K07156189_22_20251207T145349Z.jpg</v>
      </c>
    </row>
    <row r="89" spans="1:13" x14ac:dyDescent="0.25">
      <c r="A89" t="s">
        <v>22</v>
      </c>
      <c r="B89" s="4">
        <v>45998</v>
      </c>
      <c r="C89" s="6">
        <v>0.61756944444444439</v>
      </c>
      <c r="D89" s="8" t="s">
        <v>289</v>
      </c>
      <c r="E89" t="s">
        <v>5263</v>
      </c>
      <c r="F89" t="s">
        <v>5093</v>
      </c>
      <c r="I89" t="s">
        <v>5151</v>
      </c>
      <c r="J89" t="s">
        <v>2982</v>
      </c>
      <c r="K89" t="s">
        <v>5152</v>
      </c>
      <c r="L89" t="s">
        <v>5153</v>
      </c>
      <c r="M89" s="3" t="str">
        <f>HYPERLINK(СторонТрансп[[#This Row],[RelativePath]])</f>
        <v>5 Крыльцо общага\K07156189_22_20251207T144918Z.jpg</v>
      </c>
    </row>
    <row r="90" spans="1:13" x14ac:dyDescent="0.25">
      <c r="A90" t="s">
        <v>22</v>
      </c>
      <c r="B90" s="4">
        <v>45998</v>
      </c>
      <c r="C90" s="6">
        <v>0.62668981481481478</v>
      </c>
      <c r="D90" s="8" t="s">
        <v>289</v>
      </c>
      <c r="E90" t="s">
        <v>5263</v>
      </c>
      <c r="F90" t="s">
        <v>5093</v>
      </c>
      <c r="H90" t="s">
        <v>2936</v>
      </c>
      <c r="I90" t="s">
        <v>5160</v>
      </c>
      <c r="J90" t="s">
        <v>2982</v>
      </c>
      <c r="K90" t="s">
        <v>5161</v>
      </c>
      <c r="L90" t="s">
        <v>5162</v>
      </c>
      <c r="M90" s="3" t="str">
        <f>HYPERLINK(СторонТрансп[[#This Row],[RelativePath]])</f>
        <v>5 Крыльцо общага\K07156189_22_20251207T150226Z.jpg</v>
      </c>
    </row>
    <row r="91" spans="1:13" x14ac:dyDescent="0.25">
      <c r="A91" t="s">
        <v>22</v>
      </c>
      <c r="B91" s="4">
        <v>45998</v>
      </c>
      <c r="C91" s="6">
        <v>0.62306712962962962</v>
      </c>
      <c r="D91" s="8" t="s">
        <v>289</v>
      </c>
      <c r="E91" t="s">
        <v>5263</v>
      </c>
      <c r="F91" t="s">
        <v>5093</v>
      </c>
      <c r="H91" t="s">
        <v>2936</v>
      </c>
      <c r="I91" t="s">
        <v>5157</v>
      </c>
      <c r="J91" t="s">
        <v>2982</v>
      </c>
      <c r="K91" t="s">
        <v>5158</v>
      </c>
      <c r="L91" t="s">
        <v>5159</v>
      </c>
      <c r="M91" s="3" t="str">
        <f>HYPERLINK(СторонТрансп[[#This Row],[RelativePath]])</f>
        <v>5 Крыльцо общага\K07156189_22_20251207T145713Z.jpg</v>
      </c>
    </row>
    <row r="92" spans="1:13" x14ac:dyDescent="0.25">
      <c r="A92" t="s">
        <v>18</v>
      </c>
      <c r="B92" s="4">
        <v>46004</v>
      </c>
      <c r="C92" s="6">
        <v>0.39291666666666669</v>
      </c>
      <c r="D92" s="8" t="s">
        <v>289</v>
      </c>
      <c r="E92" t="s">
        <v>6169</v>
      </c>
      <c r="F92" t="s">
        <v>6190</v>
      </c>
      <c r="H92" t="s">
        <v>2936</v>
      </c>
      <c r="I92" t="s">
        <v>6115</v>
      </c>
      <c r="J92" t="s">
        <v>5634</v>
      </c>
      <c r="K92" t="s">
        <v>6116</v>
      </c>
      <c r="L92" t="s">
        <v>6117</v>
      </c>
      <c r="M92" s="3" t="str">
        <f>HYPERLINK(СторонТрансп[[#This Row],[RelativePath]])</f>
        <v>11 С ангара на базу\E33149364_4_20251213T092548Z.jpg</v>
      </c>
    </row>
    <row r="93" spans="1:13" x14ac:dyDescent="0.25">
      <c r="A93" t="s">
        <v>18</v>
      </c>
      <c r="B93" s="4">
        <v>46004</v>
      </c>
      <c r="C93" s="6">
        <v>0.39643518518518517</v>
      </c>
      <c r="D93" s="8" t="s">
        <v>289</v>
      </c>
      <c r="E93" t="s">
        <v>6169</v>
      </c>
      <c r="F93" t="s">
        <v>6190</v>
      </c>
      <c r="H93" t="s">
        <v>2936</v>
      </c>
      <c r="I93" t="s">
        <v>6118</v>
      </c>
      <c r="J93" t="s">
        <v>5634</v>
      </c>
      <c r="K93" t="s">
        <v>6119</v>
      </c>
      <c r="L93" t="s">
        <v>6120</v>
      </c>
      <c r="M93" s="3" t="str">
        <f>HYPERLINK(СторонТрансп[[#This Row],[RelativePath]])</f>
        <v>11 С ангара на базу\E33149364_4_20251213T093052Z.jpg</v>
      </c>
    </row>
    <row r="94" spans="1:13" x14ac:dyDescent="0.25">
      <c r="A94" t="s">
        <v>18</v>
      </c>
      <c r="B94" s="4">
        <v>46004</v>
      </c>
      <c r="C94" s="6">
        <v>0.39685185185185184</v>
      </c>
      <c r="D94" s="8" t="s">
        <v>289</v>
      </c>
      <c r="E94" t="s">
        <v>6169</v>
      </c>
      <c r="F94" t="s">
        <v>6190</v>
      </c>
      <c r="H94" t="s">
        <v>2936</v>
      </c>
      <c r="I94" t="s">
        <v>6121</v>
      </c>
      <c r="J94" t="s">
        <v>5634</v>
      </c>
      <c r="K94" t="s">
        <v>6122</v>
      </c>
      <c r="L94" t="s">
        <v>6123</v>
      </c>
      <c r="M94" s="3" t="str">
        <f>HYPERLINK(СторонТрансп[[#This Row],[RelativePath]])</f>
        <v>11 С ангара на базу\E33149364_4_20251213T093128Z.jpg</v>
      </c>
    </row>
    <row r="95" spans="1:13" x14ac:dyDescent="0.25">
      <c r="A95" t="s">
        <v>18</v>
      </c>
      <c r="B95" s="4">
        <v>46004</v>
      </c>
      <c r="C95" s="6">
        <v>0.3972222222222222</v>
      </c>
      <c r="D95" s="8" t="s">
        <v>289</v>
      </c>
      <c r="E95" t="s">
        <v>6169</v>
      </c>
      <c r="F95" t="s">
        <v>6190</v>
      </c>
      <c r="H95" t="s">
        <v>2936</v>
      </c>
      <c r="I95" t="s">
        <v>6124</v>
      </c>
      <c r="J95" t="s">
        <v>5634</v>
      </c>
      <c r="K95" t="s">
        <v>6125</v>
      </c>
      <c r="L95" t="s">
        <v>6126</v>
      </c>
      <c r="M95" s="3" t="str">
        <f>HYPERLINK(СторонТрансп[[#This Row],[RelativePath]])</f>
        <v>11 С ангара на базу\E33149364_4_20251213T093200Z.jpg</v>
      </c>
    </row>
    <row r="96" spans="1:13" x14ac:dyDescent="0.25">
      <c r="A96" t="s">
        <v>18</v>
      </c>
      <c r="B96" s="4">
        <v>46004</v>
      </c>
      <c r="C96" s="6">
        <v>0.39961805555555557</v>
      </c>
      <c r="D96" s="8" t="s">
        <v>289</v>
      </c>
      <c r="E96" t="s">
        <v>6169</v>
      </c>
      <c r="F96" t="s">
        <v>6190</v>
      </c>
      <c r="H96" t="s">
        <v>2936</v>
      </c>
      <c r="I96" t="s">
        <v>6127</v>
      </c>
      <c r="J96" t="s">
        <v>5634</v>
      </c>
      <c r="K96" t="s">
        <v>6128</v>
      </c>
      <c r="L96" t="s">
        <v>6129</v>
      </c>
      <c r="M96" s="3" t="str">
        <f>HYPERLINK(СторонТрансп[[#This Row],[RelativePath]])</f>
        <v>11 С ангара на базу\E33149364_4_20251213T093527Z.jpg</v>
      </c>
    </row>
    <row r="97" spans="1:13" x14ac:dyDescent="0.25">
      <c r="A97" t="s">
        <v>18</v>
      </c>
      <c r="B97" s="4">
        <v>46004</v>
      </c>
      <c r="C97" s="6">
        <v>0.39997685185185183</v>
      </c>
      <c r="D97" s="8" t="s">
        <v>289</v>
      </c>
      <c r="E97" t="s">
        <v>6169</v>
      </c>
      <c r="F97" t="s">
        <v>6190</v>
      </c>
      <c r="H97" t="s">
        <v>2936</v>
      </c>
      <c r="I97" t="s">
        <v>6130</v>
      </c>
      <c r="J97" t="s">
        <v>5634</v>
      </c>
      <c r="K97" t="s">
        <v>6131</v>
      </c>
      <c r="L97" t="s">
        <v>6132</v>
      </c>
      <c r="M97" s="3" t="str">
        <f>HYPERLINK(СторонТрансп[[#This Row],[RelativePath]])</f>
        <v>11 С ангара на базу\E33149364_4_20251213T093558Z.jpg</v>
      </c>
    </row>
    <row r="98" spans="1:13" x14ac:dyDescent="0.25">
      <c r="A98" t="s">
        <v>18</v>
      </c>
      <c r="B98" s="4">
        <v>46004</v>
      </c>
      <c r="C98" s="6">
        <v>0.40167824074074077</v>
      </c>
      <c r="D98" s="8" t="s">
        <v>289</v>
      </c>
      <c r="E98" t="s">
        <v>6169</v>
      </c>
      <c r="F98" t="s">
        <v>6190</v>
      </c>
      <c r="H98" t="s">
        <v>2936</v>
      </c>
      <c r="I98" t="s">
        <v>6133</v>
      </c>
      <c r="J98" t="s">
        <v>5634</v>
      </c>
      <c r="K98" t="s">
        <v>6134</v>
      </c>
      <c r="L98" t="s">
        <v>6135</v>
      </c>
      <c r="M98" s="3" t="str">
        <f>HYPERLINK(СторонТрансп[[#This Row],[RelativePath]])</f>
        <v>11 С ангара на базу\E33149364_4_20251213T093825Z.jpg</v>
      </c>
    </row>
    <row r="99" spans="1:13" x14ac:dyDescent="0.25">
      <c r="A99" t="s">
        <v>18</v>
      </c>
      <c r="B99" s="4">
        <v>46004</v>
      </c>
      <c r="C99" s="6">
        <v>0.40229166666666666</v>
      </c>
      <c r="D99" s="8" t="s">
        <v>289</v>
      </c>
      <c r="E99" t="s">
        <v>6169</v>
      </c>
      <c r="F99" t="s">
        <v>6190</v>
      </c>
      <c r="H99" t="s">
        <v>2936</v>
      </c>
      <c r="I99" t="s">
        <v>6136</v>
      </c>
      <c r="J99" t="s">
        <v>5634</v>
      </c>
      <c r="K99" t="s">
        <v>6137</v>
      </c>
      <c r="L99" t="s">
        <v>6138</v>
      </c>
      <c r="M99" s="3" t="str">
        <f>HYPERLINK(СторонТрансп[[#This Row],[RelativePath]])</f>
        <v>11 С ангара на базу\E33149364_4_20251213T093918Z.jpg</v>
      </c>
    </row>
    <row r="100" spans="1:13" x14ac:dyDescent="0.25">
      <c r="A100" t="s">
        <v>14</v>
      </c>
      <c r="B100" s="4">
        <v>45972</v>
      </c>
      <c r="C100" s="6">
        <v>0.39128472222222221</v>
      </c>
      <c r="D100" s="8" t="s">
        <v>91</v>
      </c>
      <c r="E100" t="s">
        <v>67</v>
      </c>
      <c r="F100" t="s">
        <v>51</v>
      </c>
      <c r="I100" t="s">
        <v>33</v>
      </c>
      <c r="J100" t="s">
        <v>2981</v>
      </c>
      <c r="K100" t="s">
        <v>3117</v>
      </c>
      <c r="L100" t="s">
        <v>3118</v>
      </c>
      <c r="M100" s="3" t="str">
        <f>HYPERLINK(СторонТрансп[[#This Row],[RelativePath]])</f>
        <v>1 Ангар Склад 2 въезд\E33149364_6_20251111T092327Z.jpg</v>
      </c>
    </row>
    <row r="101" spans="1:13" x14ac:dyDescent="0.25">
      <c r="A101" t="s">
        <v>14</v>
      </c>
      <c r="B101" s="4">
        <v>45972</v>
      </c>
      <c r="C101" s="6">
        <v>0.44765046296296296</v>
      </c>
      <c r="D101" s="8" t="s">
        <v>62</v>
      </c>
      <c r="E101" t="s">
        <v>67</v>
      </c>
      <c r="F101" t="s">
        <v>468</v>
      </c>
      <c r="I101" t="s">
        <v>34</v>
      </c>
      <c r="J101" t="s">
        <v>2981</v>
      </c>
      <c r="K101" t="s">
        <v>3119</v>
      </c>
      <c r="L101" t="s">
        <v>3120</v>
      </c>
      <c r="M101" s="3" t="str">
        <f>HYPERLINK(СторонТрансп[[#This Row],[RelativePath]])</f>
        <v>1 Ангар Склад 2 въезд\E33149364_6_20251111T104437Z.jpg</v>
      </c>
    </row>
    <row r="102" spans="1:13" x14ac:dyDescent="0.25">
      <c r="A102" t="s">
        <v>14</v>
      </c>
      <c r="B102" s="4">
        <v>45972</v>
      </c>
      <c r="C102" s="6">
        <v>0.44944444444444442</v>
      </c>
      <c r="D102" s="8" t="s">
        <v>91</v>
      </c>
      <c r="E102" t="s">
        <v>63</v>
      </c>
      <c r="F102" t="s">
        <v>51</v>
      </c>
      <c r="I102" t="s">
        <v>35</v>
      </c>
      <c r="J102" t="s">
        <v>2981</v>
      </c>
      <c r="K102" t="s">
        <v>3121</v>
      </c>
      <c r="L102" t="s">
        <v>3122</v>
      </c>
      <c r="M102" s="3" t="str">
        <f>HYPERLINK(СторонТрансп[[#This Row],[RelativePath]])</f>
        <v>1 Ангар Склад 2 въезд\E33149364_6_20251111T104712Z.jpg</v>
      </c>
    </row>
    <row r="103" spans="1:13" x14ac:dyDescent="0.25">
      <c r="A103" t="s">
        <v>14</v>
      </c>
      <c r="B103" s="4">
        <v>45972</v>
      </c>
      <c r="C103" s="6">
        <v>0.45118055555555553</v>
      </c>
      <c r="D103" s="8" t="s">
        <v>89</v>
      </c>
      <c r="E103" t="s">
        <v>63</v>
      </c>
      <c r="F103" t="s">
        <v>51</v>
      </c>
      <c r="I103" t="s">
        <v>36</v>
      </c>
      <c r="J103" t="s">
        <v>2981</v>
      </c>
      <c r="K103" t="s">
        <v>3123</v>
      </c>
      <c r="L103" t="s">
        <v>3124</v>
      </c>
      <c r="M103" s="3" t="str">
        <f>HYPERLINK(СторонТрансп[[#This Row],[RelativePath]])</f>
        <v>1 Ангар Склад 2 въезд\E33149364_6_20251111T104942Z.jpg</v>
      </c>
    </row>
    <row r="104" spans="1:13" x14ac:dyDescent="0.25">
      <c r="A104" t="s">
        <v>14</v>
      </c>
      <c r="B104" s="4">
        <v>45972</v>
      </c>
      <c r="C104" s="6">
        <v>0.45136574074074076</v>
      </c>
      <c r="D104" s="8" t="s">
        <v>64</v>
      </c>
      <c r="E104" t="s">
        <v>63</v>
      </c>
      <c r="F104" t="s">
        <v>51</v>
      </c>
      <c r="I104" t="s">
        <v>37</v>
      </c>
      <c r="J104" t="s">
        <v>2981</v>
      </c>
      <c r="K104" t="s">
        <v>3125</v>
      </c>
      <c r="L104" t="s">
        <v>3126</v>
      </c>
      <c r="M104" s="3" t="str">
        <f>HYPERLINK(СторонТрансп[[#This Row],[RelativePath]])</f>
        <v>1 Ангар Склад 2 въезд\E33149364_6_20251111T104958Z.jpg</v>
      </c>
    </row>
    <row r="105" spans="1:13" x14ac:dyDescent="0.25">
      <c r="A105" t="s">
        <v>14</v>
      </c>
      <c r="B105" s="4">
        <v>45972</v>
      </c>
      <c r="C105" s="6">
        <v>0.48476851851851854</v>
      </c>
      <c r="D105" s="8" t="s">
        <v>62</v>
      </c>
      <c r="E105" t="s">
        <v>63</v>
      </c>
      <c r="F105" t="s">
        <v>58</v>
      </c>
      <c r="I105" t="s">
        <v>38</v>
      </c>
      <c r="J105" t="s">
        <v>2981</v>
      </c>
      <c r="K105" t="s">
        <v>3127</v>
      </c>
      <c r="L105" t="s">
        <v>3128</v>
      </c>
      <c r="M105" s="3" t="str">
        <f>HYPERLINK(СторонТрансп[[#This Row],[RelativePath]])</f>
        <v>1 Ангар Склад 2 въезд\E33149364_6_20251111T113804Z.jpg</v>
      </c>
    </row>
    <row r="106" spans="1:13" x14ac:dyDescent="0.25">
      <c r="A106" t="s">
        <v>15</v>
      </c>
      <c r="B106" s="4">
        <v>45973</v>
      </c>
      <c r="C106" s="6">
        <v>0.67682870370370374</v>
      </c>
      <c r="D106" s="8" t="s">
        <v>91</v>
      </c>
      <c r="E106" t="s">
        <v>66</v>
      </c>
      <c r="F106" t="s">
        <v>68</v>
      </c>
      <c r="I106" t="s">
        <v>41</v>
      </c>
      <c r="J106" t="s">
        <v>2981</v>
      </c>
      <c r="K106" t="s">
        <v>3133</v>
      </c>
      <c r="L106" t="s">
        <v>3134</v>
      </c>
      <c r="M106" s="3" t="str">
        <f>HYPERLINK(СторонТрансп[[#This Row],[RelativePath]])</f>
        <v>1 Ангар Склад 2 въезд\E33149364_6_20251112T161438Z.jpg</v>
      </c>
    </row>
    <row r="107" spans="1:13" x14ac:dyDescent="0.25">
      <c r="A107" t="s">
        <v>15</v>
      </c>
      <c r="B107" s="4">
        <v>45973</v>
      </c>
      <c r="C107" s="6">
        <v>0.71020833333333333</v>
      </c>
      <c r="D107" s="8" t="s">
        <v>62</v>
      </c>
      <c r="E107" t="s">
        <v>66</v>
      </c>
      <c r="F107" t="s">
        <v>69</v>
      </c>
      <c r="I107" t="s">
        <v>42</v>
      </c>
      <c r="J107" t="s">
        <v>2981</v>
      </c>
      <c r="K107" t="s">
        <v>3135</v>
      </c>
      <c r="L107" t="s">
        <v>3136</v>
      </c>
      <c r="M107" s="3" t="str">
        <f>HYPERLINK(СторонТрансп[[#This Row],[RelativePath]])</f>
        <v>1 Ангар Склад 2 въезд\E33149364_6_20251112T170242Z.jpg</v>
      </c>
    </row>
    <row r="108" spans="1:13" x14ac:dyDescent="0.25">
      <c r="A108" t="s">
        <v>17</v>
      </c>
      <c r="B108" s="4">
        <v>45975</v>
      </c>
      <c r="C108" s="6">
        <v>0.53960648148148149</v>
      </c>
      <c r="D108" s="8" t="s">
        <v>89</v>
      </c>
      <c r="E108" t="s">
        <v>66</v>
      </c>
      <c r="F108" t="s">
        <v>88</v>
      </c>
      <c r="G108">
        <v>1</v>
      </c>
      <c r="I108" t="s">
        <v>75</v>
      </c>
      <c r="J108" t="s">
        <v>2981</v>
      </c>
      <c r="K108" t="s">
        <v>3159</v>
      </c>
      <c r="L108" t="s">
        <v>3160</v>
      </c>
      <c r="M108" s="3" t="str">
        <f>HYPERLINK(СторонТрансп[[#This Row],[RelativePath]])</f>
        <v>1 Ангар Склад 2 въезд\E33149364_6_20251114T125702Z.jpg</v>
      </c>
    </row>
    <row r="109" spans="1:13" x14ac:dyDescent="0.25">
      <c r="A109" t="s">
        <v>17</v>
      </c>
      <c r="B109" s="4">
        <v>45975</v>
      </c>
      <c r="C109" s="6">
        <v>0.54204861111111113</v>
      </c>
      <c r="D109" s="8" t="s">
        <v>62</v>
      </c>
      <c r="E109" t="s">
        <v>66</v>
      </c>
      <c r="F109" t="s">
        <v>51</v>
      </c>
      <c r="I109" t="s">
        <v>77</v>
      </c>
      <c r="J109" t="s">
        <v>2981</v>
      </c>
      <c r="K109" t="s">
        <v>3163</v>
      </c>
      <c r="L109" t="s">
        <v>3164</v>
      </c>
      <c r="M109" s="3" t="str">
        <f>HYPERLINK(СторонТрансп[[#This Row],[RelativePath]])</f>
        <v>1 Ангар Склад 2 въезд\E33149364_6_20251114T130033Z.jpg</v>
      </c>
    </row>
    <row r="110" spans="1:13" x14ac:dyDescent="0.25">
      <c r="A110" t="s">
        <v>17</v>
      </c>
      <c r="B110" s="4">
        <v>45975</v>
      </c>
      <c r="C110" s="6">
        <v>0.55090277777777774</v>
      </c>
      <c r="D110" s="8" t="s">
        <v>89</v>
      </c>
      <c r="E110" t="s">
        <v>66</v>
      </c>
      <c r="F110" t="s">
        <v>88</v>
      </c>
      <c r="G110">
        <v>1</v>
      </c>
      <c r="I110" t="s">
        <v>78</v>
      </c>
      <c r="J110" t="s">
        <v>2981</v>
      </c>
      <c r="K110" t="s">
        <v>3165</v>
      </c>
      <c r="L110" t="s">
        <v>3166</v>
      </c>
      <c r="M110" s="3" t="str">
        <f>HYPERLINK(СторонТрансп[[#This Row],[RelativePath]])</f>
        <v>1 Ангар Склад 2 въезд\E33149364_6_20251114T131318Z.jpg</v>
      </c>
    </row>
    <row r="111" spans="1:13" x14ac:dyDescent="0.25">
      <c r="A111" t="s">
        <v>17</v>
      </c>
      <c r="B111" s="4">
        <v>45975</v>
      </c>
      <c r="C111" s="6">
        <v>0.55299768518518522</v>
      </c>
      <c r="D111" s="8" t="s">
        <v>62</v>
      </c>
      <c r="E111" t="s">
        <v>66</v>
      </c>
      <c r="F111" t="s">
        <v>51</v>
      </c>
      <c r="I111" t="s">
        <v>79</v>
      </c>
      <c r="J111" t="s">
        <v>2981</v>
      </c>
      <c r="K111" t="s">
        <v>3167</v>
      </c>
      <c r="L111" t="s">
        <v>3168</v>
      </c>
      <c r="M111" s="3" t="str">
        <f>HYPERLINK(СторонТрансп[[#This Row],[RelativePath]])</f>
        <v>1 Ангар Склад 2 въезд\E33149364_6_20251114T131619Z.jpg</v>
      </c>
    </row>
    <row r="112" spans="1:13" x14ac:dyDescent="0.25">
      <c r="A112" t="s">
        <v>17</v>
      </c>
      <c r="B112" s="4">
        <v>45975</v>
      </c>
      <c r="C112" s="6">
        <v>0.56123842592592588</v>
      </c>
      <c r="D112" s="8" t="s">
        <v>89</v>
      </c>
      <c r="E112" t="s">
        <v>66</v>
      </c>
      <c r="F112" t="s">
        <v>88</v>
      </c>
      <c r="G112">
        <v>1</v>
      </c>
      <c r="I112" t="s">
        <v>80</v>
      </c>
      <c r="J112" t="s">
        <v>2981</v>
      </c>
      <c r="K112" t="s">
        <v>3169</v>
      </c>
      <c r="L112" t="s">
        <v>3170</v>
      </c>
      <c r="M112" s="3" t="str">
        <f>HYPERLINK(СторонТрансп[[#This Row],[RelativePath]])</f>
        <v>1 Ангар Склад 2 въезд\E33149364_6_20251114T132811Z.jpg</v>
      </c>
    </row>
    <row r="113" spans="1:13" x14ac:dyDescent="0.25">
      <c r="A113" t="s">
        <v>17</v>
      </c>
      <c r="B113" s="4">
        <v>45975</v>
      </c>
      <c r="C113" s="6">
        <v>0.56293981481481481</v>
      </c>
      <c r="D113" s="8" t="s">
        <v>62</v>
      </c>
      <c r="E113" t="s">
        <v>66</v>
      </c>
      <c r="F113" t="s">
        <v>51</v>
      </c>
      <c r="I113" t="s">
        <v>81</v>
      </c>
      <c r="J113" t="s">
        <v>2981</v>
      </c>
      <c r="K113" t="s">
        <v>3171</v>
      </c>
      <c r="L113" t="s">
        <v>3172</v>
      </c>
      <c r="M113" s="3" t="str">
        <f>HYPERLINK(СторонТрансп[[#This Row],[RelativePath]])</f>
        <v>1 Ангар Склад 2 въезд\E33149364_6_20251114T133038Z.jpg</v>
      </c>
    </row>
    <row r="114" spans="1:13" x14ac:dyDescent="0.25">
      <c r="A114" t="s">
        <v>17</v>
      </c>
      <c r="B114" s="4">
        <v>45975</v>
      </c>
      <c r="C114" s="6">
        <v>0.57114583333333335</v>
      </c>
      <c r="D114" s="8" t="s">
        <v>89</v>
      </c>
      <c r="E114" t="s">
        <v>66</v>
      </c>
      <c r="F114" t="s">
        <v>88</v>
      </c>
      <c r="G114">
        <v>1</v>
      </c>
      <c r="I114" t="s">
        <v>82</v>
      </c>
      <c r="J114" t="s">
        <v>2981</v>
      </c>
      <c r="K114" t="s">
        <v>3173</v>
      </c>
      <c r="L114" t="s">
        <v>3174</v>
      </c>
      <c r="M114" s="3" t="str">
        <f>HYPERLINK(СторонТрансп[[#This Row],[RelativePath]])</f>
        <v>1 Ангар Склад 2 въезд\E33149364_6_20251114T134227Z.jpg</v>
      </c>
    </row>
    <row r="115" spans="1:13" x14ac:dyDescent="0.25">
      <c r="A115" t="s">
        <v>17</v>
      </c>
      <c r="B115" s="4">
        <v>45975</v>
      </c>
      <c r="C115" s="6">
        <v>0.57406250000000003</v>
      </c>
      <c r="D115" s="8" t="s">
        <v>62</v>
      </c>
      <c r="E115" t="s">
        <v>66</v>
      </c>
      <c r="F115" t="s">
        <v>51</v>
      </c>
      <c r="I115" t="s">
        <v>83</v>
      </c>
      <c r="J115" t="s">
        <v>2981</v>
      </c>
      <c r="K115" t="s">
        <v>3175</v>
      </c>
      <c r="L115" t="s">
        <v>3176</v>
      </c>
      <c r="M115" s="3" t="str">
        <f>HYPERLINK(СторонТрансп[[#This Row],[RelativePath]])</f>
        <v>1 Ангар Склад 2 въезд\E33149364_6_20251114T134639Z.jpg</v>
      </c>
    </row>
    <row r="116" spans="1:13" x14ac:dyDescent="0.25">
      <c r="A116" t="s">
        <v>18</v>
      </c>
      <c r="B116" s="4">
        <v>45976</v>
      </c>
      <c r="C116" s="6">
        <v>0.46813657407407405</v>
      </c>
      <c r="D116" s="8" t="s">
        <v>91</v>
      </c>
      <c r="E116" t="s">
        <v>2001</v>
      </c>
      <c r="I116" t="s">
        <v>1110</v>
      </c>
      <c r="J116" t="s">
        <v>2981</v>
      </c>
      <c r="K116" t="s">
        <v>3183</v>
      </c>
      <c r="L116" t="s">
        <v>3184</v>
      </c>
      <c r="M116" s="3" t="str">
        <f>HYPERLINK(СторонТрансп[[#This Row],[RelativePath]])</f>
        <v>1 Ангар Склад 2 въезд\E33149364_6_20251115T111407Z.jpg</v>
      </c>
    </row>
    <row r="117" spans="1:13" x14ac:dyDescent="0.25">
      <c r="A117" t="s">
        <v>18</v>
      </c>
      <c r="B117" s="4">
        <v>45976</v>
      </c>
      <c r="C117" s="6">
        <v>0.49760416666666668</v>
      </c>
      <c r="D117" s="8" t="s">
        <v>62</v>
      </c>
      <c r="E117" t="s">
        <v>2001</v>
      </c>
      <c r="I117" t="s">
        <v>1111</v>
      </c>
      <c r="J117" t="s">
        <v>2981</v>
      </c>
      <c r="K117" t="s">
        <v>3185</v>
      </c>
      <c r="L117" t="s">
        <v>3186</v>
      </c>
      <c r="M117" s="3" t="str">
        <f>HYPERLINK(СторонТрансп[[#This Row],[RelativePath]])</f>
        <v>1 Ангар Склад 2 въезд\E33149364_6_20251115T115633Z.jpg</v>
      </c>
    </row>
    <row r="118" spans="1:13" x14ac:dyDescent="0.25">
      <c r="A118" t="s">
        <v>15</v>
      </c>
      <c r="B118" s="4">
        <v>45987</v>
      </c>
      <c r="C118" s="6">
        <v>0.43335648148148148</v>
      </c>
      <c r="D118" s="8" t="s">
        <v>4190</v>
      </c>
      <c r="E118" t="s">
        <v>4192</v>
      </c>
      <c r="F118" t="s">
        <v>51</v>
      </c>
      <c r="I118" t="s">
        <v>3225</v>
      </c>
      <c r="J118" t="s">
        <v>2981</v>
      </c>
      <c r="K118" t="s">
        <v>3226</v>
      </c>
      <c r="L118" t="s">
        <v>3227</v>
      </c>
      <c r="M118" s="3" t="str">
        <f>HYPERLINK(СторонТрансп[[#This Row],[RelativePath]])</f>
        <v>1 Ангар Склад 2 въезд\E33149364_6_20251126T102402Z.jpg</v>
      </c>
    </row>
    <row r="119" spans="1:13" x14ac:dyDescent="0.25">
      <c r="A119" t="s">
        <v>15</v>
      </c>
      <c r="B119" s="4">
        <v>45987</v>
      </c>
      <c r="C119" s="6">
        <v>0.45240740740740742</v>
      </c>
      <c r="D119" s="8" t="s">
        <v>85</v>
      </c>
      <c r="E119" t="s">
        <v>4192</v>
      </c>
      <c r="F119" t="s">
        <v>58</v>
      </c>
      <c r="I119" t="s">
        <v>3228</v>
      </c>
      <c r="J119" t="s">
        <v>2981</v>
      </c>
      <c r="K119" t="s">
        <v>3229</v>
      </c>
      <c r="L119" t="s">
        <v>3230</v>
      </c>
      <c r="M119" s="3" t="str">
        <f>HYPERLINK(СторонТрансп[[#This Row],[RelativePath]])</f>
        <v>1 Ангар Склад 2 въезд\E33149364_6_20251126T105128Z.jpg</v>
      </c>
    </row>
    <row r="120" spans="1:13" x14ac:dyDescent="0.25">
      <c r="A120" t="s">
        <v>15</v>
      </c>
      <c r="B120" s="4">
        <v>45987</v>
      </c>
      <c r="C120" s="6">
        <v>0.45245370370370369</v>
      </c>
      <c r="D120" s="8" t="s">
        <v>91</v>
      </c>
      <c r="E120" t="s">
        <v>4192</v>
      </c>
      <c r="F120" t="s">
        <v>58</v>
      </c>
      <c r="I120" t="s">
        <v>3231</v>
      </c>
      <c r="J120" t="s">
        <v>2981</v>
      </c>
      <c r="K120" t="s">
        <v>3232</v>
      </c>
      <c r="L120" t="s">
        <v>3233</v>
      </c>
      <c r="M120" s="3" t="str">
        <f>HYPERLINK(СторонТрансп[[#This Row],[RelativePath]])</f>
        <v>1 Ангар Склад 2 въезд\E33149364_6_20251126T105132Z.jpg</v>
      </c>
    </row>
    <row r="121" spans="1:13" x14ac:dyDescent="0.25">
      <c r="A121" t="s">
        <v>15</v>
      </c>
      <c r="B121" s="4">
        <v>45987</v>
      </c>
      <c r="C121" s="6">
        <v>0.45469907407407406</v>
      </c>
      <c r="D121" s="8" t="s">
        <v>62</v>
      </c>
      <c r="E121" t="s">
        <v>4192</v>
      </c>
      <c r="F121" t="s">
        <v>58</v>
      </c>
      <c r="I121" t="s">
        <v>3234</v>
      </c>
      <c r="J121" t="s">
        <v>2981</v>
      </c>
      <c r="K121" t="s">
        <v>3235</v>
      </c>
      <c r="L121" t="s">
        <v>3236</v>
      </c>
      <c r="M121" s="3" t="str">
        <f>HYPERLINK(СторонТрансп[[#This Row],[RelativePath]])</f>
        <v>1 Ангар Склад 2 въезд\E33149364_6_20251126T105446Z.jpg</v>
      </c>
    </row>
    <row r="122" spans="1:13" x14ac:dyDescent="0.25">
      <c r="A122" t="s">
        <v>17</v>
      </c>
      <c r="B122" s="4">
        <v>45989</v>
      </c>
      <c r="C122" s="6">
        <v>0.45510416666666664</v>
      </c>
      <c r="D122" s="8" t="s">
        <v>64</v>
      </c>
      <c r="E122" t="s">
        <v>4193</v>
      </c>
      <c r="I122" t="s">
        <v>3243</v>
      </c>
      <c r="J122" t="s">
        <v>2981</v>
      </c>
      <c r="K122" t="s">
        <v>3244</v>
      </c>
      <c r="L122" t="s">
        <v>3245</v>
      </c>
      <c r="M122" s="3" t="str">
        <f>HYPERLINK(СторонТрансп[[#This Row],[RelativePath]])</f>
        <v>1 Ангар Склад 2 въезд\E33149364_6_20251128T105521Z.jpg</v>
      </c>
    </row>
    <row r="123" spans="1:13" x14ac:dyDescent="0.25">
      <c r="A123" t="s">
        <v>17</v>
      </c>
      <c r="B123" s="4">
        <v>45989</v>
      </c>
      <c r="C123" s="6">
        <v>0.50700231481481484</v>
      </c>
      <c r="D123" s="8" t="s">
        <v>85</v>
      </c>
      <c r="E123" t="s">
        <v>4193</v>
      </c>
      <c r="I123" t="s">
        <v>3246</v>
      </c>
      <c r="J123" t="s">
        <v>2981</v>
      </c>
      <c r="K123" t="s">
        <v>3247</v>
      </c>
      <c r="L123" t="s">
        <v>3248</v>
      </c>
      <c r="M123" s="3" t="str">
        <f>HYPERLINK(СторонТрансп[[#This Row],[RelativePath]])</f>
        <v>1 Ангар Склад 2 въезд\E33149364_6_20251128T121005Z.jpg</v>
      </c>
    </row>
    <row r="124" spans="1:13" x14ac:dyDescent="0.25">
      <c r="A124" t="s">
        <v>18</v>
      </c>
      <c r="B124" s="4">
        <v>45990</v>
      </c>
      <c r="C124" s="6">
        <v>0.53762731481481485</v>
      </c>
      <c r="D124" s="8" t="s">
        <v>91</v>
      </c>
      <c r="E124" t="s">
        <v>4194</v>
      </c>
      <c r="F124" t="s">
        <v>51</v>
      </c>
      <c r="I124" t="s">
        <v>3249</v>
      </c>
      <c r="J124" t="s">
        <v>2981</v>
      </c>
      <c r="K124" t="s">
        <v>3250</v>
      </c>
      <c r="L124" t="s">
        <v>3251</v>
      </c>
      <c r="M124" s="3" t="str">
        <f>HYPERLINK(СторонТрансп[[#This Row],[RelativePath]])</f>
        <v>1 Ангар Склад 2 въезд\E33149364_6_20251129T125411Z.jpg</v>
      </c>
    </row>
    <row r="125" spans="1:13" x14ac:dyDescent="0.25">
      <c r="A125" t="s">
        <v>18</v>
      </c>
      <c r="B125" s="4">
        <v>45990</v>
      </c>
      <c r="C125" s="6">
        <v>0.64861111111111114</v>
      </c>
      <c r="D125" s="8" t="s">
        <v>91</v>
      </c>
      <c r="E125" t="s">
        <v>4195</v>
      </c>
      <c r="F125" t="s">
        <v>51</v>
      </c>
      <c r="I125" t="s">
        <v>3252</v>
      </c>
      <c r="J125" t="s">
        <v>2981</v>
      </c>
      <c r="K125" t="s">
        <v>3253</v>
      </c>
      <c r="L125" t="s">
        <v>3254</v>
      </c>
      <c r="M125" s="3" t="str">
        <f>HYPERLINK(СторонТрансп[[#This Row],[RelativePath]])</f>
        <v>1 Ангар Склад 2 въезд\E33149364_6_20251129T153400Z.jpg</v>
      </c>
    </row>
    <row r="126" spans="1:13" x14ac:dyDescent="0.25">
      <c r="A126" t="s">
        <v>18</v>
      </c>
      <c r="B126" s="4">
        <v>45990</v>
      </c>
      <c r="C126" s="6">
        <v>0.70343750000000005</v>
      </c>
      <c r="D126" s="8" t="s">
        <v>91</v>
      </c>
      <c r="E126" t="s">
        <v>4194</v>
      </c>
      <c r="F126" t="s">
        <v>4196</v>
      </c>
      <c r="H126" t="s">
        <v>4197</v>
      </c>
      <c r="I126" t="s">
        <v>3255</v>
      </c>
      <c r="J126" t="s">
        <v>2981</v>
      </c>
      <c r="K126" t="s">
        <v>3256</v>
      </c>
      <c r="L126" t="s">
        <v>3257</v>
      </c>
      <c r="M126" s="3" t="str">
        <f>HYPERLINK(СторонТрансп[[#This Row],[RelativePath]])</f>
        <v>1 Ангар Склад 2 въезд\E33149364_6_20251129T165257Z.jpg</v>
      </c>
    </row>
    <row r="127" spans="1:13" x14ac:dyDescent="0.25">
      <c r="A127" t="s">
        <v>18</v>
      </c>
      <c r="B127" s="4">
        <v>45990</v>
      </c>
      <c r="C127" s="6">
        <v>0.73475694444444439</v>
      </c>
      <c r="D127" s="8" t="s">
        <v>62</v>
      </c>
      <c r="E127" t="s">
        <v>4194</v>
      </c>
      <c r="F127" t="s">
        <v>4196</v>
      </c>
      <c r="I127" t="s">
        <v>3258</v>
      </c>
      <c r="J127" t="s">
        <v>2981</v>
      </c>
      <c r="K127" t="s">
        <v>3259</v>
      </c>
      <c r="L127" t="s">
        <v>3260</v>
      </c>
      <c r="M127" s="3" t="str">
        <f>HYPERLINK(СторонТрансп[[#This Row],[RelativePath]])</f>
        <v>1 Ангар Склад 2 въезд\E33149364_6_20251129T173803Z.jpg</v>
      </c>
    </row>
    <row r="128" spans="1:13" x14ac:dyDescent="0.25">
      <c r="A128" t="s">
        <v>13</v>
      </c>
      <c r="B128" s="4">
        <v>45992</v>
      </c>
      <c r="C128" s="6">
        <v>0.86784722222222221</v>
      </c>
      <c r="D128" s="8" t="s">
        <v>91</v>
      </c>
      <c r="E128" t="s">
        <v>4194</v>
      </c>
      <c r="F128" t="s">
        <v>1609</v>
      </c>
      <c r="H128" t="s">
        <v>5074</v>
      </c>
      <c r="I128" t="s">
        <v>4402</v>
      </c>
      <c r="J128" t="s">
        <v>2981</v>
      </c>
      <c r="K128" t="s">
        <v>4403</v>
      </c>
      <c r="L128" t="s">
        <v>4404</v>
      </c>
      <c r="M128" s="3" t="str">
        <f>HYPERLINK(СторонТрансп[[#This Row],[RelativePath]])</f>
        <v>1 Ангар Склад 2 въезд\E33149364_6_20251201T204942Z.jpg</v>
      </c>
    </row>
    <row r="129" spans="1:13" x14ac:dyDescent="0.25">
      <c r="A129" t="s">
        <v>13</v>
      </c>
      <c r="B129" s="4">
        <v>45992</v>
      </c>
      <c r="C129" s="6">
        <v>0.87302083333333336</v>
      </c>
      <c r="D129" s="8" t="s">
        <v>62</v>
      </c>
      <c r="E129" t="s">
        <v>4194</v>
      </c>
      <c r="F129" t="s">
        <v>51</v>
      </c>
      <c r="H129" t="s">
        <v>5075</v>
      </c>
      <c r="I129" t="s">
        <v>4405</v>
      </c>
      <c r="J129" t="s">
        <v>2981</v>
      </c>
      <c r="K129" t="s">
        <v>4406</v>
      </c>
      <c r="L129" t="s">
        <v>4407</v>
      </c>
      <c r="M129" s="3" t="str">
        <f>HYPERLINK(СторонТрансп[[#This Row],[RelativePath]])</f>
        <v>1 Ангар Склад 2 въезд\E33149364_6_20251201T205709Z.jpg</v>
      </c>
    </row>
    <row r="130" spans="1:13" x14ac:dyDescent="0.25">
      <c r="A130" t="s">
        <v>22</v>
      </c>
      <c r="B130" s="4">
        <v>45998</v>
      </c>
      <c r="C130" s="6">
        <v>0.57973379629629629</v>
      </c>
      <c r="D130" s="8" t="s">
        <v>91</v>
      </c>
      <c r="E130" t="s">
        <v>5259</v>
      </c>
      <c r="F130" t="s">
        <v>51</v>
      </c>
      <c r="I130" t="s">
        <v>5144</v>
      </c>
      <c r="J130" t="s">
        <v>2981</v>
      </c>
      <c r="K130" t="s">
        <v>5300</v>
      </c>
      <c r="L130" t="s">
        <v>5145</v>
      </c>
      <c r="M130" s="3" t="str">
        <f>HYPERLINK(СторонТрансп[[#This Row],[RelativePath]])</f>
        <v>1 Ангар Склад 2 въезд\E33149364_6_20251207T135449Z.jpg</v>
      </c>
    </row>
    <row r="131" spans="1:13" x14ac:dyDescent="0.25">
      <c r="A131" t="s">
        <v>22</v>
      </c>
      <c r="B131" s="4">
        <v>45998</v>
      </c>
      <c r="C131" s="6">
        <v>0.67327546296296292</v>
      </c>
      <c r="D131" s="8" t="s">
        <v>62</v>
      </c>
      <c r="E131" t="s">
        <v>5259</v>
      </c>
      <c r="F131" t="s">
        <v>5260</v>
      </c>
      <c r="H131" t="s">
        <v>5261</v>
      </c>
      <c r="I131" t="s">
        <v>5146</v>
      </c>
      <c r="J131" t="s">
        <v>2981</v>
      </c>
      <c r="K131" t="s">
        <v>5301</v>
      </c>
      <c r="L131" t="s">
        <v>5147</v>
      </c>
      <c r="M131" s="3" t="str">
        <f>HYPERLINK(СторонТрансп[[#This Row],[RelativePath]])</f>
        <v>1 Ангар Склад 2 въезд\E33149364_6_20251207T160931Z.jpg</v>
      </c>
    </row>
    <row r="132" spans="1:13" x14ac:dyDescent="0.25">
      <c r="A132" t="s">
        <v>13</v>
      </c>
      <c r="B132" s="4">
        <v>45999</v>
      </c>
      <c r="C132" s="6">
        <v>0.59879629629629627</v>
      </c>
      <c r="D132" s="8" t="s">
        <v>64</v>
      </c>
      <c r="E132" t="s">
        <v>4193</v>
      </c>
      <c r="F132" t="s">
        <v>5076</v>
      </c>
      <c r="I132" t="s">
        <v>5272</v>
      </c>
      <c r="J132" t="s">
        <v>2981</v>
      </c>
      <c r="K132" t="s">
        <v>5302</v>
      </c>
      <c r="L132" t="s">
        <v>5273</v>
      </c>
      <c r="M132" s="3" t="str">
        <f>HYPERLINK(СторонТрансп[[#This Row],[RelativePath]])</f>
        <v>1 Ангар Склад 2 въезд\E33149364_6_20251208T142216Z.jpg</v>
      </c>
    </row>
    <row r="133" spans="1:13" x14ac:dyDescent="0.25">
      <c r="A133" t="s">
        <v>13</v>
      </c>
      <c r="B133" s="4">
        <v>45999</v>
      </c>
      <c r="C133" s="6">
        <v>0.66584490740740743</v>
      </c>
      <c r="D133" s="8" t="s">
        <v>85</v>
      </c>
      <c r="E133" t="s">
        <v>4193</v>
      </c>
      <c r="F133" t="s">
        <v>5076</v>
      </c>
      <c r="I133" t="s">
        <v>5274</v>
      </c>
      <c r="J133" t="s">
        <v>2981</v>
      </c>
      <c r="K133" t="s">
        <v>5303</v>
      </c>
      <c r="L133" t="s">
        <v>5275</v>
      </c>
      <c r="M133" s="3" t="str">
        <f>HYPERLINK(СторонТрансп[[#This Row],[RelativePath]])</f>
        <v>1 Ангар Склад 2 въезд\E33149364_6_20251208T155849Z.jpg</v>
      </c>
    </row>
    <row r="134" spans="1:13" x14ac:dyDescent="0.25">
      <c r="A134" t="s">
        <v>14</v>
      </c>
      <c r="B134" s="4">
        <v>46000</v>
      </c>
      <c r="C134" s="6">
        <v>0.42645833333333333</v>
      </c>
      <c r="D134" s="8" t="s">
        <v>64</v>
      </c>
      <c r="E134" t="s">
        <v>4193</v>
      </c>
      <c r="F134" t="s">
        <v>5076</v>
      </c>
      <c r="I134" t="s">
        <v>5481</v>
      </c>
      <c r="J134" t="s">
        <v>2981</v>
      </c>
      <c r="K134" t="s">
        <v>5482</v>
      </c>
      <c r="L134" t="s">
        <v>5483</v>
      </c>
      <c r="M134" s="3" t="str">
        <f>HYPERLINK(СторонТрансп[[#This Row],[RelativePath]])</f>
        <v>1 Ангар Склад 2 въезд\E33149364_6_20251209T101406Z.jpg</v>
      </c>
    </row>
    <row r="135" spans="1:13" x14ac:dyDescent="0.25">
      <c r="A135" t="s">
        <v>14</v>
      </c>
      <c r="B135" s="4">
        <v>46000</v>
      </c>
      <c r="C135" s="6">
        <v>0.47930555555555554</v>
      </c>
      <c r="D135" s="8" t="s">
        <v>85</v>
      </c>
      <c r="E135" t="s">
        <v>4193</v>
      </c>
      <c r="F135" t="s">
        <v>5076</v>
      </c>
      <c r="I135" t="s">
        <v>5484</v>
      </c>
      <c r="J135" t="s">
        <v>2981</v>
      </c>
      <c r="K135" t="s">
        <v>5485</v>
      </c>
      <c r="L135" t="s">
        <v>5486</v>
      </c>
      <c r="M135" s="3" t="str">
        <f>HYPERLINK(СторонТрансп[[#This Row],[RelativePath]])</f>
        <v>1 Ангар Склад 2 въезд\E33149364_6_20251209T113012Z.jpg</v>
      </c>
    </row>
    <row r="136" spans="1:13" x14ac:dyDescent="0.25">
      <c r="A136" t="s">
        <v>14</v>
      </c>
      <c r="B136" s="4">
        <v>46000</v>
      </c>
      <c r="C136" s="6">
        <v>0.510625</v>
      </c>
      <c r="D136" s="8" t="s">
        <v>91</v>
      </c>
      <c r="E136" t="s">
        <v>5505</v>
      </c>
      <c r="F136" t="s">
        <v>51</v>
      </c>
      <c r="I136" t="s">
        <v>5487</v>
      </c>
      <c r="J136" t="s">
        <v>2981</v>
      </c>
      <c r="K136" t="s">
        <v>5488</v>
      </c>
      <c r="L136" t="s">
        <v>5489</v>
      </c>
      <c r="M136" s="3" t="str">
        <f>HYPERLINK(СторонТрансп[[#This Row],[RelativePath]])</f>
        <v>1 Ангар Склад 2 въезд\E33149364_6_20251209T121518Z.jpg</v>
      </c>
    </row>
    <row r="137" spans="1:13" x14ac:dyDescent="0.25">
      <c r="A137" t="s">
        <v>14</v>
      </c>
      <c r="B137" s="4">
        <v>46000</v>
      </c>
      <c r="C137" s="6">
        <v>0.51658564814814811</v>
      </c>
      <c r="D137" s="8" t="s">
        <v>3019</v>
      </c>
      <c r="E137" t="s">
        <v>5505</v>
      </c>
      <c r="F137" t="s">
        <v>51</v>
      </c>
      <c r="I137" t="s">
        <v>5490</v>
      </c>
      <c r="J137" t="s">
        <v>2981</v>
      </c>
      <c r="K137" t="s">
        <v>5491</v>
      </c>
      <c r="L137" t="s">
        <v>5492</v>
      </c>
      <c r="M137" s="3" t="str">
        <f>HYPERLINK(СторонТрансп[[#This Row],[RelativePath]])</f>
        <v>1 Ангар Склад 2 въезд\E33149364_6_20251209T122353Z.jpg</v>
      </c>
    </row>
    <row r="138" spans="1:13" x14ac:dyDescent="0.25">
      <c r="A138" t="s">
        <v>14</v>
      </c>
      <c r="B138" s="4">
        <v>46000</v>
      </c>
      <c r="C138" s="6">
        <v>0.6348611111111111</v>
      </c>
      <c r="D138" s="8" t="s">
        <v>64</v>
      </c>
      <c r="E138" t="s">
        <v>4193</v>
      </c>
      <c r="F138" t="s">
        <v>5076</v>
      </c>
      <c r="I138" t="s">
        <v>5493</v>
      </c>
      <c r="J138" t="s">
        <v>2981</v>
      </c>
      <c r="K138" t="s">
        <v>5494</v>
      </c>
      <c r="L138" t="s">
        <v>5495</v>
      </c>
      <c r="M138" s="3" t="str">
        <f>HYPERLINK(СторонТрансп[[#This Row],[RelativePath]])</f>
        <v>1 Ангар Склад 2 въезд\E33149364_6_20251209T151412Z.jpg</v>
      </c>
    </row>
    <row r="139" spans="1:13" x14ac:dyDescent="0.25">
      <c r="A139" t="s">
        <v>14</v>
      </c>
      <c r="B139" s="4">
        <v>46000</v>
      </c>
      <c r="C139" s="6">
        <v>0.69473379629629628</v>
      </c>
      <c r="D139" s="8" t="s">
        <v>85</v>
      </c>
      <c r="E139" t="s">
        <v>4193</v>
      </c>
      <c r="F139" t="s">
        <v>5076</v>
      </c>
      <c r="I139" t="s">
        <v>5496</v>
      </c>
      <c r="J139" t="s">
        <v>2981</v>
      </c>
      <c r="K139" t="s">
        <v>5497</v>
      </c>
      <c r="L139" t="s">
        <v>5498</v>
      </c>
      <c r="M139" s="3" t="str">
        <f>HYPERLINK(СторонТрансп[[#This Row],[RelativePath]])</f>
        <v>1 Ангар Склад 2 въезд\E33149364_6_20251209T164025Z.jpg</v>
      </c>
    </row>
    <row r="140" spans="1:13" x14ac:dyDescent="0.25">
      <c r="A140" t="s">
        <v>15</v>
      </c>
      <c r="B140" s="4">
        <v>46001</v>
      </c>
      <c r="C140" s="6">
        <v>0.53234953703703702</v>
      </c>
      <c r="D140" s="8" t="s">
        <v>64</v>
      </c>
      <c r="E140" t="s">
        <v>4193</v>
      </c>
      <c r="F140" t="s">
        <v>5076</v>
      </c>
      <c r="I140" t="s">
        <v>5499</v>
      </c>
      <c r="J140" t="s">
        <v>2981</v>
      </c>
      <c r="K140" t="s">
        <v>5500</v>
      </c>
      <c r="L140" t="s">
        <v>5501</v>
      </c>
      <c r="M140" s="3" t="str">
        <f>HYPERLINK(СторонТрансп[[#This Row],[RelativePath]])</f>
        <v>1 Ангар Склад 2 въезд\E33149364_6_20251210T124635Z.jpg</v>
      </c>
    </row>
    <row r="141" spans="1:13" x14ac:dyDescent="0.25">
      <c r="A141" t="s">
        <v>15</v>
      </c>
      <c r="B141" s="4">
        <v>46001</v>
      </c>
      <c r="C141" s="6">
        <v>0.63895833333333329</v>
      </c>
      <c r="D141" s="8" t="s">
        <v>85</v>
      </c>
      <c r="E141" t="s">
        <v>4193</v>
      </c>
      <c r="F141" t="s">
        <v>5076</v>
      </c>
      <c r="I141" t="s">
        <v>5502</v>
      </c>
      <c r="J141" t="s">
        <v>2981</v>
      </c>
      <c r="K141" t="s">
        <v>5503</v>
      </c>
      <c r="L141" t="s">
        <v>5504</v>
      </c>
      <c r="M141" s="3" t="str">
        <f>HYPERLINK(СторонТрансп[[#This Row],[RelativePath]])</f>
        <v>1 Ангар Склад 2 въезд\E33149364_6_20251210T152006Z.jpg</v>
      </c>
    </row>
    <row r="142" spans="1:13" x14ac:dyDescent="0.25">
      <c r="A142" t="s">
        <v>18</v>
      </c>
      <c r="B142" s="4">
        <v>46004</v>
      </c>
      <c r="C142" s="6">
        <v>0.41039351851851852</v>
      </c>
      <c r="D142" s="8" t="s">
        <v>62</v>
      </c>
      <c r="E142" t="s">
        <v>6169</v>
      </c>
      <c r="F142" t="s">
        <v>58</v>
      </c>
      <c r="H142" t="s">
        <v>6166</v>
      </c>
      <c r="I142" t="s">
        <v>6025</v>
      </c>
      <c r="J142" t="s">
        <v>2981</v>
      </c>
      <c r="K142" t="s">
        <v>6026</v>
      </c>
      <c r="L142" t="s">
        <v>6027</v>
      </c>
      <c r="M142" s="3" t="str">
        <f>HYPERLINK(СторонТрансп[[#This Row],[RelativePath]])</f>
        <v>1 Ангар Склад 2 въезд\E33149364_6_20251213T095058Z.jpg</v>
      </c>
    </row>
    <row r="143" spans="1:13" x14ac:dyDescent="0.25">
      <c r="A143" t="s">
        <v>18</v>
      </c>
      <c r="B143" s="4">
        <v>46004</v>
      </c>
      <c r="C143" s="6">
        <v>0.52951388888888884</v>
      </c>
      <c r="D143" s="8" t="s">
        <v>91</v>
      </c>
      <c r="E143" t="s">
        <v>6168</v>
      </c>
      <c r="F143" t="s">
        <v>51</v>
      </c>
      <c r="I143" t="s">
        <v>6028</v>
      </c>
      <c r="J143" t="s">
        <v>2981</v>
      </c>
      <c r="K143" t="s">
        <v>6029</v>
      </c>
      <c r="L143" t="s">
        <v>6030</v>
      </c>
      <c r="M143" s="3" t="str">
        <f>HYPERLINK(СторонТрансп[[#This Row],[RelativePath]])</f>
        <v>1 Ангар Склад 2 въезд\E33149364_6_20251213T124230Z.jpg</v>
      </c>
    </row>
    <row r="144" spans="1:13" x14ac:dyDescent="0.25">
      <c r="A144" t="s">
        <v>18</v>
      </c>
      <c r="B144" s="4">
        <v>46004</v>
      </c>
      <c r="C144" s="6">
        <v>0.52979166666666666</v>
      </c>
      <c r="D144" s="8" t="s">
        <v>91</v>
      </c>
      <c r="E144" t="s">
        <v>6167</v>
      </c>
      <c r="F144" t="s">
        <v>51</v>
      </c>
      <c r="I144" t="s">
        <v>6031</v>
      </c>
      <c r="J144" t="s">
        <v>2981</v>
      </c>
      <c r="K144" t="s">
        <v>6032</v>
      </c>
      <c r="L144" t="s">
        <v>6033</v>
      </c>
      <c r="M144" s="3" t="str">
        <f>HYPERLINK(СторонТрансп[[#This Row],[RelativePath]])</f>
        <v>1 Ангар Склад 2 въезд\E33149364_6_20251213T124254Z.jpg</v>
      </c>
    </row>
    <row r="145" spans="1:13" x14ac:dyDescent="0.25">
      <c r="A145" t="s">
        <v>18</v>
      </c>
      <c r="B145" s="4">
        <v>46004</v>
      </c>
      <c r="C145" s="6">
        <v>0.53692129629629626</v>
      </c>
      <c r="D145" s="8" t="s">
        <v>62</v>
      </c>
      <c r="E145" t="s">
        <v>6168</v>
      </c>
      <c r="F145" t="s">
        <v>51</v>
      </c>
      <c r="I145" t="s">
        <v>6034</v>
      </c>
      <c r="J145" t="s">
        <v>2981</v>
      </c>
      <c r="K145" t="s">
        <v>6035</v>
      </c>
      <c r="L145" t="s">
        <v>6036</v>
      </c>
      <c r="M145" s="3" t="str">
        <f>HYPERLINK(СторонТрансп[[#This Row],[RelativePath]])</f>
        <v>1 Ангар Склад 2 въезд\E33149364_6_20251213T125310Z.jpg</v>
      </c>
    </row>
    <row r="146" spans="1:13" x14ac:dyDescent="0.25">
      <c r="A146" t="s">
        <v>18</v>
      </c>
      <c r="B146" s="4">
        <v>46004</v>
      </c>
      <c r="C146" s="6">
        <v>0.53726851851851853</v>
      </c>
      <c r="D146" s="8" t="s">
        <v>3019</v>
      </c>
      <c r="E146" t="s">
        <v>6167</v>
      </c>
      <c r="F146" t="s">
        <v>51</v>
      </c>
      <c r="I146" t="s">
        <v>6037</v>
      </c>
      <c r="J146" t="s">
        <v>2981</v>
      </c>
      <c r="K146" t="s">
        <v>6038</v>
      </c>
      <c r="L146" t="s">
        <v>6039</v>
      </c>
      <c r="M146" s="3" t="str">
        <f>HYPERLINK(СторонТрансп[[#This Row],[RelativePath]])</f>
        <v>1 Ангар Склад 2 въезд\E33149364_6_20251213T125340Z.jpg</v>
      </c>
    </row>
    <row r="147" spans="1:13" x14ac:dyDescent="0.25">
      <c r="A147" t="s">
        <v>18</v>
      </c>
      <c r="B147" s="4">
        <v>46004</v>
      </c>
      <c r="C147" s="6">
        <v>0.53954861111111108</v>
      </c>
      <c r="D147" s="8" t="s">
        <v>91</v>
      </c>
      <c r="E147" t="s">
        <v>6169</v>
      </c>
      <c r="F147" t="s">
        <v>58</v>
      </c>
      <c r="I147" t="s">
        <v>6040</v>
      </c>
      <c r="J147" t="s">
        <v>2981</v>
      </c>
      <c r="K147" t="s">
        <v>6041</v>
      </c>
      <c r="L147" t="s">
        <v>6042</v>
      </c>
      <c r="M147" s="3" t="str">
        <f>HYPERLINK(СторонТрансп[[#This Row],[RelativePath]])</f>
        <v>1 Ангар Склад 2 въезд\E33149364_6_20251213T125657Z.jpg</v>
      </c>
    </row>
    <row r="148" spans="1:13" x14ac:dyDescent="0.25">
      <c r="A148" t="s">
        <v>18</v>
      </c>
      <c r="B148" s="4">
        <v>46004</v>
      </c>
      <c r="C148" s="6">
        <v>0.56135416666666671</v>
      </c>
      <c r="D148" s="8" t="s">
        <v>62</v>
      </c>
      <c r="E148" t="s">
        <v>6169</v>
      </c>
      <c r="F148" t="s">
        <v>6170</v>
      </c>
      <c r="H148" t="s">
        <v>6171</v>
      </c>
      <c r="I148" t="s">
        <v>6043</v>
      </c>
      <c r="J148" t="s">
        <v>2981</v>
      </c>
      <c r="K148" t="s">
        <v>6044</v>
      </c>
      <c r="L148" t="s">
        <v>6045</v>
      </c>
      <c r="M148" s="3" t="str">
        <f>HYPERLINK(СторонТрансп[[#This Row],[RelativePath]])</f>
        <v>1 Ангар Склад 2 въезд\E33149364_6_20251213T132821Z.jpg</v>
      </c>
    </row>
    <row r="149" spans="1:13" x14ac:dyDescent="0.25">
      <c r="A149" t="s">
        <v>14</v>
      </c>
      <c r="B149" s="4">
        <v>45972</v>
      </c>
      <c r="C149" s="6">
        <v>0.45701388888888889</v>
      </c>
      <c r="D149" s="8" t="s">
        <v>159</v>
      </c>
      <c r="E149" t="s">
        <v>63</v>
      </c>
      <c r="F149" t="s">
        <v>51</v>
      </c>
      <c r="I149" t="s">
        <v>112</v>
      </c>
      <c r="J149" t="s">
        <v>2989</v>
      </c>
      <c r="K149" t="s">
        <v>146</v>
      </c>
      <c r="L149" t="s">
        <v>113</v>
      </c>
      <c r="M149" s="3" t="str">
        <f>HYPERLINK(СторонТрансп[[#This Row],[RelativePath]])</f>
        <v>2 Пилорама поката\E33149364_7_20251111T105806Z.jpg</v>
      </c>
    </row>
    <row r="150" spans="1:13" x14ac:dyDescent="0.25">
      <c r="A150" t="s">
        <v>15</v>
      </c>
      <c r="B150" s="4">
        <v>45987</v>
      </c>
      <c r="C150" s="6">
        <v>0.43495370370370373</v>
      </c>
      <c r="D150" s="8" t="s">
        <v>4198</v>
      </c>
      <c r="E150" t="s">
        <v>4192</v>
      </c>
      <c r="F150" t="s">
        <v>51</v>
      </c>
      <c r="I150" t="s">
        <v>3261</v>
      </c>
      <c r="J150" t="s">
        <v>2989</v>
      </c>
      <c r="K150" t="s">
        <v>3262</v>
      </c>
      <c r="L150" t="s">
        <v>3263</v>
      </c>
      <c r="M150" s="3" t="str">
        <f>HYPERLINK(СторонТрансп[[#This Row],[RelativePath]])</f>
        <v>2 Пилорама поката\E33149364_7_20251126T102620Z.jpg</v>
      </c>
    </row>
    <row r="151" spans="1:13" x14ac:dyDescent="0.25">
      <c r="A151" t="s">
        <v>17</v>
      </c>
      <c r="B151" s="4">
        <v>45989</v>
      </c>
      <c r="C151" s="6">
        <v>0.45557870370370368</v>
      </c>
      <c r="D151" s="8" t="s">
        <v>4202</v>
      </c>
      <c r="E151" t="s">
        <v>4193</v>
      </c>
      <c r="F151" t="s">
        <v>51</v>
      </c>
      <c r="I151" t="s">
        <v>3321</v>
      </c>
      <c r="J151" t="s">
        <v>2989</v>
      </c>
      <c r="K151" t="s">
        <v>3322</v>
      </c>
      <c r="L151" t="s">
        <v>3323</v>
      </c>
      <c r="M151" s="3" t="str">
        <f>HYPERLINK(СторонТрансп[[#This Row],[RelativePath]])</f>
        <v>2 Пилорама поката\E33149364_7_20251128T105602Z.jpg</v>
      </c>
    </row>
    <row r="152" spans="1:13" x14ac:dyDescent="0.25">
      <c r="A152" t="s">
        <v>17</v>
      </c>
      <c r="B152" s="4">
        <v>45989</v>
      </c>
      <c r="C152" s="6">
        <v>0.45584490740740741</v>
      </c>
      <c r="D152" s="8" t="s">
        <v>4202</v>
      </c>
      <c r="E152" t="s">
        <v>4193</v>
      </c>
      <c r="F152" t="s">
        <v>51</v>
      </c>
      <c r="H152" t="s">
        <v>2936</v>
      </c>
      <c r="I152" t="s">
        <v>3324</v>
      </c>
      <c r="J152" t="s">
        <v>2989</v>
      </c>
      <c r="K152" t="s">
        <v>3325</v>
      </c>
      <c r="L152" t="s">
        <v>3326</v>
      </c>
      <c r="M152" s="3" t="str">
        <f>HYPERLINK(СторонТрансп[[#This Row],[RelativePath]])</f>
        <v>2 Пилорама поката\E33149364_7_20251128T105625Z.jpg</v>
      </c>
    </row>
    <row r="153" spans="1:13" x14ac:dyDescent="0.25">
      <c r="A153" t="s">
        <v>17</v>
      </c>
      <c r="B153" s="4">
        <v>45989</v>
      </c>
      <c r="C153" s="6">
        <v>0.49850694444444443</v>
      </c>
      <c r="D153" s="8" t="s">
        <v>4202</v>
      </c>
      <c r="E153" t="s">
        <v>4193</v>
      </c>
      <c r="F153" t="s">
        <v>51</v>
      </c>
      <c r="H153" t="s">
        <v>2936</v>
      </c>
      <c r="I153" t="s">
        <v>3327</v>
      </c>
      <c r="J153" t="s">
        <v>2989</v>
      </c>
      <c r="K153" t="s">
        <v>3328</v>
      </c>
      <c r="L153" t="s">
        <v>3329</v>
      </c>
      <c r="M153" s="3" t="str">
        <f>HYPERLINK(СторонТрансп[[#This Row],[RelativePath]])</f>
        <v>2 Пилорама поката\E33149364_7_20251128T115751Z.jpg</v>
      </c>
    </row>
    <row r="154" spans="1:13" x14ac:dyDescent="0.25">
      <c r="A154" t="s">
        <v>17</v>
      </c>
      <c r="B154" s="4">
        <v>45989</v>
      </c>
      <c r="C154" s="6">
        <v>0.50651620370370365</v>
      </c>
      <c r="D154" s="8" t="s">
        <v>4201</v>
      </c>
      <c r="E154" t="s">
        <v>4193</v>
      </c>
      <c r="I154" t="s">
        <v>3330</v>
      </c>
      <c r="J154" t="s">
        <v>2989</v>
      </c>
      <c r="K154" t="s">
        <v>3331</v>
      </c>
      <c r="L154" t="s">
        <v>3332</v>
      </c>
      <c r="M154" s="3" t="str">
        <f>HYPERLINK(СторонТрансп[[#This Row],[RelativePath]])</f>
        <v>2 Пилорама поката\E33149364_7_20251128T120923Z.jpg</v>
      </c>
    </row>
    <row r="155" spans="1:13" x14ac:dyDescent="0.25">
      <c r="A155" t="s">
        <v>13</v>
      </c>
      <c r="B155" s="4">
        <v>45999</v>
      </c>
      <c r="C155" s="6">
        <v>0.59916666666666663</v>
      </c>
      <c r="D155" s="8" t="s">
        <v>4</v>
      </c>
      <c r="E155" t="s">
        <v>4193</v>
      </c>
      <c r="F155" t="s">
        <v>5076</v>
      </c>
      <c r="I155" t="s">
        <v>5282</v>
      </c>
      <c r="J155" t="s">
        <v>2989</v>
      </c>
      <c r="K155" t="s">
        <v>5283</v>
      </c>
      <c r="L155" t="s">
        <v>5284</v>
      </c>
      <c r="M155" s="3" t="str">
        <f>HYPERLINK(СторонТрансп[[#This Row],[RelativePath]])</f>
        <v>2 Пилорама поката\E33149364_7_20251208T142248Z.jpg</v>
      </c>
    </row>
    <row r="156" spans="1:13" x14ac:dyDescent="0.25">
      <c r="A156" t="s">
        <v>13</v>
      </c>
      <c r="B156" s="4">
        <v>45999</v>
      </c>
      <c r="C156" s="6">
        <v>0.6244791666666667</v>
      </c>
      <c r="D156" s="8" t="s">
        <v>4</v>
      </c>
      <c r="E156" t="s">
        <v>4193</v>
      </c>
      <c r="F156" t="s">
        <v>5076</v>
      </c>
      <c r="H156" t="s">
        <v>5474</v>
      </c>
      <c r="I156" t="s">
        <v>5269</v>
      </c>
      <c r="J156" t="s">
        <v>2989</v>
      </c>
      <c r="K156" t="s">
        <v>5270</v>
      </c>
      <c r="L156" t="s">
        <v>5271</v>
      </c>
      <c r="M156" s="3" t="str">
        <f>HYPERLINK(СторонТрансп[[#This Row],[RelativePath]])</f>
        <v>2 Пилорама поката\E33149364_7_20251208T145915Z.jpg</v>
      </c>
    </row>
    <row r="157" spans="1:13" x14ac:dyDescent="0.25">
      <c r="A157" t="s">
        <v>13</v>
      </c>
      <c r="B157" s="4">
        <v>45999</v>
      </c>
      <c r="C157" s="6">
        <v>0.66174768518518523</v>
      </c>
      <c r="D157" s="8" t="s">
        <v>4</v>
      </c>
      <c r="E157" t="s">
        <v>5475</v>
      </c>
      <c r="F157" t="s">
        <v>5076</v>
      </c>
      <c r="H157" t="s">
        <v>5474</v>
      </c>
      <c r="I157" t="s">
        <v>5291</v>
      </c>
      <c r="J157" t="s">
        <v>2989</v>
      </c>
      <c r="K157" t="s">
        <v>5292</v>
      </c>
      <c r="L157" t="s">
        <v>5293</v>
      </c>
      <c r="M157" s="3" t="str">
        <f>HYPERLINK(СторонТрансп[[#This Row],[RelativePath]])</f>
        <v>2 Пилорама поката\E33149364_7_20251208T155255Z.jpg</v>
      </c>
    </row>
    <row r="158" spans="1:13" x14ac:dyDescent="0.25">
      <c r="A158" t="s">
        <v>14</v>
      </c>
      <c r="B158" s="4">
        <v>46000</v>
      </c>
      <c r="C158" s="6">
        <v>0.43395833333333333</v>
      </c>
      <c r="D158" s="8" t="s">
        <v>1606</v>
      </c>
      <c r="E158" t="s">
        <v>4193</v>
      </c>
      <c r="F158" t="s">
        <v>5076</v>
      </c>
      <c r="I158" t="s">
        <v>5509</v>
      </c>
      <c r="J158" t="s">
        <v>2989</v>
      </c>
      <c r="K158" t="s">
        <v>5510</v>
      </c>
      <c r="L158" t="s">
        <v>5511</v>
      </c>
      <c r="M158" s="3" t="str">
        <f>HYPERLINK(СторонТрансп[[#This Row],[RelativePath]])</f>
        <v>2 Пилорама поката\E33149364_7_20251209T102454Z.jpg</v>
      </c>
    </row>
    <row r="159" spans="1:13" x14ac:dyDescent="0.25">
      <c r="A159" t="s">
        <v>14</v>
      </c>
      <c r="B159" s="4">
        <v>46000</v>
      </c>
      <c r="C159" s="6">
        <v>0.43410879629629628</v>
      </c>
      <c r="D159" s="8" t="s">
        <v>6173</v>
      </c>
      <c r="E159" t="s">
        <v>4193</v>
      </c>
      <c r="F159" t="s">
        <v>5076</v>
      </c>
      <c r="H159" t="s">
        <v>5474</v>
      </c>
      <c r="I159" t="s">
        <v>5512</v>
      </c>
      <c r="J159" t="s">
        <v>2989</v>
      </c>
      <c r="K159" t="s">
        <v>5513</v>
      </c>
      <c r="L159" t="s">
        <v>5514</v>
      </c>
      <c r="M159" s="3" t="str">
        <f>HYPERLINK(СторонТрансп[[#This Row],[RelativePath]])</f>
        <v>2 Пилорама поката\E33149364_7_20251209T102507Z.jpg</v>
      </c>
    </row>
    <row r="160" spans="1:13" x14ac:dyDescent="0.25">
      <c r="A160" t="s">
        <v>14</v>
      </c>
      <c r="B160" s="4">
        <v>46000</v>
      </c>
      <c r="C160" s="6">
        <v>0.63540509259259259</v>
      </c>
      <c r="D160" s="8" t="s">
        <v>1606</v>
      </c>
      <c r="E160" t="s">
        <v>4193</v>
      </c>
      <c r="F160" t="s">
        <v>5076</v>
      </c>
      <c r="I160" t="s">
        <v>5515</v>
      </c>
      <c r="J160" t="s">
        <v>2989</v>
      </c>
      <c r="K160" t="s">
        <v>5516</v>
      </c>
      <c r="L160" t="s">
        <v>5517</v>
      </c>
      <c r="M160" s="3" t="str">
        <f>HYPERLINK(СторонТрансп[[#This Row],[RelativePath]])</f>
        <v>2 Пилорама поката\E33149364_7_20251209T151459Z.jpg</v>
      </c>
    </row>
    <row r="161" spans="1:13" x14ac:dyDescent="0.25">
      <c r="A161" t="s">
        <v>14</v>
      </c>
      <c r="B161" s="4">
        <v>46000</v>
      </c>
      <c r="C161" s="6">
        <v>0.6868171296296296</v>
      </c>
      <c r="D161" s="8" t="s">
        <v>6173</v>
      </c>
      <c r="E161" t="s">
        <v>4193</v>
      </c>
      <c r="F161" t="s">
        <v>5076</v>
      </c>
      <c r="H161" t="s">
        <v>5474</v>
      </c>
      <c r="I161" t="s">
        <v>5518</v>
      </c>
      <c r="J161" t="s">
        <v>2989</v>
      </c>
      <c r="K161" t="s">
        <v>5519</v>
      </c>
      <c r="L161" t="s">
        <v>5520</v>
      </c>
      <c r="M161" s="3" t="str">
        <f>HYPERLINK(СторонТрансп[[#This Row],[RelativePath]])</f>
        <v>2 Пилорама поката\E33149364_7_20251209T162901Z.jpg</v>
      </c>
    </row>
    <row r="162" spans="1:13" x14ac:dyDescent="0.25">
      <c r="A162" t="s">
        <v>15</v>
      </c>
      <c r="B162" s="4">
        <v>46001</v>
      </c>
      <c r="C162" s="6">
        <v>0.53289351851851852</v>
      </c>
      <c r="D162" s="8" t="s">
        <v>1606</v>
      </c>
      <c r="E162" t="s">
        <v>4193</v>
      </c>
      <c r="F162" t="s">
        <v>5076</v>
      </c>
      <c r="I162" t="s">
        <v>5533</v>
      </c>
      <c r="J162" t="s">
        <v>2989</v>
      </c>
      <c r="K162" t="s">
        <v>5534</v>
      </c>
      <c r="L162" t="s">
        <v>5535</v>
      </c>
      <c r="M162" s="3" t="str">
        <f>HYPERLINK(СторонТрансп[[#This Row],[RelativePath]])</f>
        <v>2 Пилорама поката\E33149364_7_20251210T124722Z.jpg</v>
      </c>
    </row>
    <row r="163" spans="1:13" x14ac:dyDescent="0.25">
      <c r="A163" t="s">
        <v>15</v>
      </c>
      <c r="B163" s="4">
        <v>46001</v>
      </c>
      <c r="C163" s="6">
        <v>0.57746527777777779</v>
      </c>
      <c r="D163" s="8" t="s">
        <v>6173</v>
      </c>
      <c r="E163" t="s">
        <v>4193</v>
      </c>
      <c r="F163" t="s">
        <v>5076</v>
      </c>
      <c r="H163" t="s">
        <v>5474</v>
      </c>
      <c r="I163" t="s">
        <v>5536</v>
      </c>
      <c r="J163" t="s">
        <v>2989</v>
      </c>
      <c r="K163" t="s">
        <v>5537</v>
      </c>
      <c r="L163" t="s">
        <v>5538</v>
      </c>
      <c r="M163" s="3" t="str">
        <f>HYPERLINK(СторонТрансп[[#This Row],[RelativePath]])</f>
        <v>2 Пилорама поката\E33149364_7_20251210T135133Z.jpg</v>
      </c>
    </row>
    <row r="164" spans="1:13" x14ac:dyDescent="0.25">
      <c r="A164" t="s">
        <v>15</v>
      </c>
      <c r="B164" s="4">
        <v>45973</v>
      </c>
      <c r="C164" s="6">
        <v>0.6857523148148148</v>
      </c>
      <c r="D164" s="8" t="s">
        <v>289</v>
      </c>
      <c r="E164" t="s">
        <v>66</v>
      </c>
      <c r="F164" t="s">
        <v>288</v>
      </c>
      <c r="I164" t="s">
        <v>249</v>
      </c>
      <c r="J164" t="s">
        <v>2990</v>
      </c>
      <c r="K164" t="s">
        <v>250</v>
      </c>
      <c r="L164" t="s">
        <v>251</v>
      </c>
      <c r="M164" s="3" t="str">
        <f>HYPERLINK(СторонТрансп[[#This Row],[RelativePath]])</f>
        <v>3 Въезд на базу\E33149364_8_20251112T162729Z.jpg</v>
      </c>
    </row>
    <row r="165" spans="1:13" x14ac:dyDescent="0.25">
      <c r="A165" t="s">
        <v>17</v>
      </c>
      <c r="B165" s="4">
        <v>45975</v>
      </c>
      <c r="C165" s="6">
        <v>0.5526388888888889</v>
      </c>
      <c r="D165" s="8" t="s">
        <v>290</v>
      </c>
      <c r="E165" t="s">
        <v>66</v>
      </c>
      <c r="F165" t="s">
        <v>88</v>
      </c>
      <c r="I165" t="s">
        <v>279</v>
      </c>
      <c r="J165" t="s">
        <v>2990</v>
      </c>
      <c r="K165" t="s">
        <v>280</v>
      </c>
      <c r="L165" t="s">
        <v>281</v>
      </c>
      <c r="M165" s="3" t="str">
        <f>HYPERLINK(СторонТрансп[[#This Row],[RelativePath]])</f>
        <v>3 Въезд на базу\E33149364_8_20251114T131548Z.jpg</v>
      </c>
    </row>
    <row r="166" spans="1:13" x14ac:dyDescent="0.25">
      <c r="A166" t="s">
        <v>15</v>
      </c>
      <c r="B166" s="4">
        <v>45987</v>
      </c>
      <c r="C166" s="6">
        <v>0.45251157407407405</v>
      </c>
      <c r="D166" s="8" t="s">
        <v>4</v>
      </c>
      <c r="E166" t="s">
        <v>4192</v>
      </c>
      <c r="F166" t="s">
        <v>58</v>
      </c>
      <c r="I166" t="s">
        <v>3354</v>
      </c>
      <c r="J166" t="s">
        <v>2990</v>
      </c>
      <c r="K166" t="s">
        <v>3355</v>
      </c>
      <c r="L166" t="s">
        <v>3356</v>
      </c>
      <c r="M166" s="3" t="str">
        <f>HYPERLINK(СторонТрансп[[#This Row],[RelativePath]])</f>
        <v>3 Въезд на базу\E33149364_8_20251126T105137Z.jpg</v>
      </c>
    </row>
    <row r="167" spans="1:13" x14ac:dyDescent="0.25">
      <c r="A167" t="s">
        <v>18</v>
      </c>
      <c r="B167" s="4">
        <v>45990</v>
      </c>
      <c r="C167" s="6">
        <v>0.71567129629629633</v>
      </c>
      <c r="D167" s="8" t="s">
        <v>4</v>
      </c>
      <c r="E167" t="s">
        <v>4194</v>
      </c>
      <c r="F167" t="s">
        <v>4196</v>
      </c>
      <c r="I167" t="s">
        <v>3378</v>
      </c>
      <c r="J167" t="s">
        <v>2990</v>
      </c>
      <c r="K167" t="s">
        <v>3379</v>
      </c>
      <c r="L167" t="s">
        <v>3380</v>
      </c>
      <c r="M167" s="3" t="str">
        <f>HYPERLINK(СторонТрансп[[#This Row],[RelativePath]])</f>
        <v>3 Въезд на базу\E33149364_8_20251129T171034Z.jpg</v>
      </c>
    </row>
    <row r="168" spans="1:13" x14ac:dyDescent="0.25">
      <c r="A168" t="s">
        <v>13</v>
      </c>
      <c r="B168" s="4">
        <v>45992</v>
      </c>
      <c r="C168" s="6">
        <v>0.86937500000000001</v>
      </c>
      <c r="D168" s="8" t="s">
        <v>4</v>
      </c>
      <c r="E168" t="s">
        <v>4194</v>
      </c>
      <c r="H168" t="s">
        <v>5089</v>
      </c>
      <c r="I168" t="s">
        <v>4561</v>
      </c>
      <c r="J168" t="s">
        <v>2990</v>
      </c>
      <c r="K168" t="s">
        <v>4562</v>
      </c>
      <c r="L168" t="s">
        <v>4563</v>
      </c>
      <c r="M168" s="3" t="str">
        <f>HYPERLINK(СторонТрансп[[#This Row],[RelativePath]])</f>
        <v>3 Въезд на базу\E33149364_8_20251201T205154Z.jpg</v>
      </c>
    </row>
    <row r="169" spans="1:13" x14ac:dyDescent="0.25">
      <c r="A169" t="s">
        <v>22</v>
      </c>
      <c r="B169" s="4">
        <v>45998</v>
      </c>
      <c r="C169" s="6">
        <v>0.6731597222222222</v>
      </c>
      <c r="D169" s="8" t="s">
        <v>4</v>
      </c>
      <c r="E169" t="s">
        <v>5262</v>
      </c>
      <c r="F169" t="s">
        <v>1609</v>
      </c>
      <c r="I169" t="s">
        <v>5141</v>
      </c>
      <c r="J169" t="s">
        <v>2990</v>
      </c>
      <c r="K169" t="s">
        <v>5142</v>
      </c>
      <c r="L169" t="s">
        <v>5143</v>
      </c>
      <c r="M169" s="3" t="str">
        <f>HYPERLINK(СторонТрансп[[#This Row],[RelativePath]])</f>
        <v>3 Въезд на базу\E33149364_8_20251207T160921Z.jpg</v>
      </c>
    </row>
    <row r="170" spans="1:13" x14ac:dyDescent="0.25">
      <c r="A170" t="s">
        <v>18</v>
      </c>
      <c r="B170" s="4">
        <v>45976</v>
      </c>
      <c r="C170" s="6">
        <v>0.46825231481481483</v>
      </c>
      <c r="D170" s="8" t="s">
        <v>1606</v>
      </c>
      <c r="E170" t="s">
        <v>2001</v>
      </c>
      <c r="I170" t="s">
        <v>1253</v>
      </c>
      <c r="J170" t="s">
        <v>2991</v>
      </c>
      <c r="K170" t="s">
        <v>1254</v>
      </c>
      <c r="L170" t="s">
        <v>1255</v>
      </c>
      <c r="M170" s="3" t="str">
        <f>HYPERLINK(СторонТрансп[[#This Row],[RelativePath]])</f>
        <v>4 Крыльцо офиса\K07156189_21_20251115T111417Z.jpg</v>
      </c>
    </row>
    <row r="171" spans="1:13" x14ac:dyDescent="0.25">
      <c r="A171" t="s">
        <v>18</v>
      </c>
      <c r="B171" s="4">
        <v>45976</v>
      </c>
      <c r="C171" s="6">
        <v>0.49733796296296295</v>
      </c>
      <c r="D171" s="8" t="s">
        <v>650</v>
      </c>
      <c r="E171" t="s">
        <v>2001</v>
      </c>
      <c r="I171" t="s">
        <v>1256</v>
      </c>
      <c r="J171" t="s">
        <v>2991</v>
      </c>
      <c r="K171" t="s">
        <v>1257</v>
      </c>
      <c r="L171" t="s">
        <v>1258</v>
      </c>
      <c r="M171" s="3" t="str">
        <f>HYPERLINK(СторонТрансп[[#This Row],[RelativePath]])</f>
        <v>4 Крыльцо офиса\K07156189_21_20251115T115610Z.jpg</v>
      </c>
    </row>
    <row r="172" spans="1:13" x14ac:dyDescent="0.25">
      <c r="A172" t="s">
        <v>18</v>
      </c>
      <c r="B172" s="4">
        <v>45990</v>
      </c>
      <c r="C172" s="6">
        <v>0.71454861111111112</v>
      </c>
      <c r="D172" s="8" t="s">
        <v>4</v>
      </c>
      <c r="E172" t="s">
        <v>4194</v>
      </c>
      <c r="F172" t="s">
        <v>4196</v>
      </c>
      <c r="H172" t="s">
        <v>4205</v>
      </c>
      <c r="I172" t="s">
        <v>3402</v>
      </c>
      <c r="J172" t="s">
        <v>2991</v>
      </c>
      <c r="K172" t="s">
        <v>3403</v>
      </c>
      <c r="L172" t="s">
        <v>3404</v>
      </c>
      <c r="M172" s="3" t="str">
        <f>HYPERLINK(СторонТрансп[[#This Row],[RelativePath]])</f>
        <v>4 Крыльцо офиса\K07156189_21_20251129T170857Z.jpg</v>
      </c>
    </row>
    <row r="173" spans="1:13" x14ac:dyDescent="0.25">
      <c r="A173" t="s">
        <v>13</v>
      </c>
      <c r="B173" s="4">
        <v>45992</v>
      </c>
      <c r="C173" s="6">
        <v>0.86984953703703705</v>
      </c>
      <c r="D173" s="8" t="s">
        <v>290</v>
      </c>
      <c r="E173" t="s">
        <v>4194</v>
      </c>
      <c r="F173" t="s">
        <v>5093</v>
      </c>
      <c r="I173" t="s">
        <v>4450</v>
      </c>
      <c r="J173" t="s">
        <v>2991</v>
      </c>
      <c r="K173" t="s">
        <v>4451</v>
      </c>
      <c r="L173" t="s">
        <v>4452</v>
      </c>
      <c r="M173" s="3" t="str">
        <f>HYPERLINK(СторонТрансп[[#This Row],[RelativePath]])</f>
        <v>4 Крыльцо офиса\K07156189_21_20251201T205235Z.jpg</v>
      </c>
    </row>
    <row r="174" spans="1:13" x14ac:dyDescent="0.25">
      <c r="A174" t="s">
        <v>13</v>
      </c>
      <c r="B174" s="4">
        <v>45992</v>
      </c>
      <c r="C174" s="6">
        <v>0.87006944444444445</v>
      </c>
      <c r="D174" s="8" t="s">
        <v>290</v>
      </c>
      <c r="E174" t="s">
        <v>4194</v>
      </c>
      <c r="F174" t="s">
        <v>5093</v>
      </c>
      <c r="I174" t="s">
        <v>4453</v>
      </c>
      <c r="J174" t="s">
        <v>2991</v>
      </c>
      <c r="K174" t="s">
        <v>4454</v>
      </c>
      <c r="L174" t="s">
        <v>4455</v>
      </c>
      <c r="M174" s="3" t="str">
        <f>HYPERLINK(СторонТрансп[[#This Row],[RelativePath]])</f>
        <v>4 Крыльцо офиса\K07156189_21_20251201T205254Z.jpg</v>
      </c>
    </row>
    <row r="175" spans="1:13" x14ac:dyDescent="0.25">
      <c r="A175" t="s">
        <v>13</v>
      </c>
      <c r="B175" s="4">
        <v>45992</v>
      </c>
      <c r="C175" s="6">
        <v>0.87283564814814818</v>
      </c>
      <c r="D175" s="8" t="s">
        <v>650</v>
      </c>
      <c r="E175" t="s">
        <v>4194</v>
      </c>
      <c r="I175" t="s">
        <v>4456</v>
      </c>
      <c r="J175" t="s">
        <v>2991</v>
      </c>
      <c r="K175" t="s">
        <v>4457</v>
      </c>
      <c r="L175" t="s">
        <v>4458</v>
      </c>
      <c r="M175" s="3" t="str">
        <f>HYPERLINK(СторонТрансп[[#This Row],[RelativePath]])</f>
        <v>4 Крыльцо офиса\K07156189_21_20251201T205653Z.jpg</v>
      </c>
    </row>
    <row r="176" spans="1:13" x14ac:dyDescent="0.25">
      <c r="A176" t="s">
        <v>14</v>
      </c>
      <c r="B176" s="4">
        <v>46000</v>
      </c>
      <c r="C176" s="6">
        <v>0.51223379629629628</v>
      </c>
      <c r="D176" s="8" t="s">
        <v>290</v>
      </c>
      <c r="E176" t="s">
        <v>5505</v>
      </c>
      <c r="F176" t="s">
        <v>6175</v>
      </c>
      <c r="I176" t="s">
        <v>5697</v>
      </c>
      <c r="J176" t="s">
        <v>2991</v>
      </c>
      <c r="K176" t="s">
        <v>5699</v>
      </c>
      <c r="L176" t="s">
        <v>5700</v>
      </c>
      <c r="M176" s="3" t="str">
        <f>HYPERLINK(СторонТрансп[[#This Row],[RelativePath]])</f>
        <v>4 Крыльцо офиса\K07156189_21_20251209T121737Z.jpg</v>
      </c>
    </row>
    <row r="177" spans="1:13" x14ac:dyDescent="0.25">
      <c r="A177" t="s">
        <v>14</v>
      </c>
      <c r="B177" s="4">
        <v>46000</v>
      </c>
      <c r="C177" s="6">
        <v>0.51223379629629628</v>
      </c>
      <c r="D177" s="8" t="s">
        <v>290</v>
      </c>
      <c r="E177" t="s">
        <v>5505</v>
      </c>
      <c r="F177" t="s">
        <v>6175</v>
      </c>
      <c r="I177" t="s">
        <v>5697</v>
      </c>
      <c r="J177" t="s">
        <v>5698</v>
      </c>
      <c r="K177" t="s">
        <v>5699</v>
      </c>
      <c r="L177" t="s">
        <v>5700</v>
      </c>
      <c r="M177" s="3" t="str">
        <f>HYPERLINK(СторонТрансп[[#This Row],[RelativePath]])</f>
        <v>4 Крыльцо офиса\K07156189_21_20251209T121737Z.jpg</v>
      </c>
    </row>
    <row r="178" spans="1:13" x14ac:dyDescent="0.25">
      <c r="A178" t="s">
        <v>14</v>
      </c>
      <c r="B178" s="4">
        <v>46000</v>
      </c>
      <c r="C178" s="6">
        <v>0.51232638888888893</v>
      </c>
      <c r="D178" s="8" t="s">
        <v>290</v>
      </c>
      <c r="E178" t="s">
        <v>5505</v>
      </c>
      <c r="F178" t="s">
        <v>6175</v>
      </c>
      <c r="H178" t="s">
        <v>2936</v>
      </c>
      <c r="I178" t="s">
        <v>5701</v>
      </c>
      <c r="J178" t="s">
        <v>2991</v>
      </c>
      <c r="K178" t="s">
        <v>5702</v>
      </c>
      <c r="L178" t="s">
        <v>5703</v>
      </c>
      <c r="M178" s="3" t="str">
        <f>HYPERLINK(СторонТрансп[[#This Row],[RelativePath]])</f>
        <v>4 Крыльцо офиса\K07156189_21_20251209T121745Z.jpg</v>
      </c>
    </row>
    <row r="179" spans="1:13" x14ac:dyDescent="0.25">
      <c r="A179" t="s">
        <v>14</v>
      </c>
      <c r="B179" s="4">
        <v>46000</v>
      </c>
      <c r="C179" s="6">
        <v>0.51232638888888893</v>
      </c>
      <c r="D179" s="8" t="s">
        <v>290</v>
      </c>
      <c r="E179" t="s">
        <v>5505</v>
      </c>
      <c r="F179" t="s">
        <v>6175</v>
      </c>
      <c r="H179" t="s">
        <v>2936</v>
      </c>
      <c r="I179" t="s">
        <v>5701</v>
      </c>
      <c r="J179" t="s">
        <v>5698</v>
      </c>
      <c r="K179" t="s">
        <v>5702</v>
      </c>
      <c r="L179" t="s">
        <v>5703</v>
      </c>
      <c r="M179" s="3" t="str">
        <f>HYPERLINK(СторонТрансп[[#This Row],[RelativePath]])</f>
        <v>4 Крыльцо офиса\K07156189_21_20251209T121745Z.jpg</v>
      </c>
    </row>
    <row r="180" spans="1:13" x14ac:dyDescent="0.25">
      <c r="A180" t="s">
        <v>14</v>
      </c>
      <c r="B180" s="4">
        <v>46000</v>
      </c>
      <c r="C180" s="6">
        <v>0.51336805555555554</v>
      </c>
      <c r="D180" s="8" t="s">
        <v>290</v>
      </c>
      <c r="E180" t="s">
        <v>5505</v>
      </c>
      <c r="F180" t="s">
        <v>6175</v>
      </c>
      <c r="H180" t="s">
        <v>2936</v>
      </c>
      <c r="I180" t="s">
        <v>5704</v>
      </c>
      <c r="J180" t="s">
        <v>2991</v>
      </c>
      <c r="K180" t="s">
        <v>5705</v>
      </c>
      <c r="L180" t="s">
        <v>5706</v>
      </c>
      <c r="M180" s="3" t="str">
        <f>HYPERLINK(СторонТрансп[[#This Row],[RelativePath]])</f>
        <v>4 Крыльцо офиса\K07156189_21_20251209T121915Z.jpg</v>
      </c>
    </row>
    <row r="181" spans="1:13" x14ac:dyDescent="0.25">
      <c r="A181" t="s">
        <v>14</v>
      </c>
      <c r="B181" s="4">
        <v>46000</v>
      </c>
      <c r="C181" s="6">
        <v>0.51336805555555554</v>
      </c>
      <c r="D181" s="8" t="s">
        <v>290</v>
      </c>
      <c r="E181" t="s">
        <v>5505</v>
      </c>
      <c r="F181" t="s">
        <v>6175</v>
      </c>
      <c r="H181" t="s">
        <v>2936</v>
      </c>
      <c r="I181" t="s">
        <v>5704</v>
      </c>
      <c r="J181" t="s">
        <v>5698</v>
      </c>
      <c r="K181" t="s">
        <v>5705</v>
      </c>
      <c r="L181" t="s">
        <v>5706</v>
      </c>
      <c r="M181" s="3" t="str">
        <f>HYPERLINK(СторонТрансп[[#This Row],[RelativePath]])</f>
        <v>4 Крыльцо офиса\K07156189_21_20251209T121915Z.jpg</v>
      </c>
    </row>
    <row r="182" spans="1:13" x14ac:dyDescent="0.25">
      <c r="A182" t="s">
        <v>18</v>
      </c>
      <c r="B182" s="4">
        <v>46004</v>
      </c>
      <c r="C182" s="6">
        <v>0.40708333333333335</v>
      </c>
      <c r="D182" s="8" t="s">
        <v>4</v>
      </c>
      <c r="E182" t="s">
        <v>6169</v>
      </c>
      <c r="F182" t="s">
        <v>58</v>
      </c>
      <c r="I182" t="s">
        <v>6046</v>
      </c>
      <c r="J182" t="s">
        <v>2991</v>
      </c>
      <c r="K182" t="s">
        <v>6047</v>
      </c>
      <c r="L182" t="s">
        <v>6048</v>
      </c>
      <c r="M182" s="3" t="str">
        <f>HYPERLINK(СторонТрансп[[#This Row],[RelativePath]])</f>
        <v>4 Крыльцо офиса\K07156189_21_20251213T094612Z.jpg</v>
      </c>
    </row>
    <row r="183" spans="1:13" x14ac:dyDescent="0.25">
      <c r="A183" t="s">
        <v>18</v>
      </c>
      <c r="B183" s="4">
        <v>46004</v>
      </c>
      <c r="C183" s="6">
        <v>0.40708333333333335</v>
      </c>
      <c r="D183" s="8" t="s">
        <v>4</v>
      </c>
      <c r="E183" t="s">
        <v>6169</v>
      </c>
      <c r="F183" t="s">
        <v>58</v>
      </c>
      <c r="I183" t="s">
        <v>6046</v>
      </c>
      <c r="J183" t="s">
        <v>5698</v>
      </c>
      <c r="K183" t="s">
        <v>6047</v>
      </c>
      <c r="L183" t="s">
        <v>6048</v>
      </c>
      <c r="M183" s="3" t="str">
        <f>HYPERLINK(СторонТрансп[[#This Row],[RelativePath]])</f>
        <v>4 Крыльцо офиса\K07156189_21_20251213T094612Z.jpg</v>
      </c>
    </row>
    <row r="184" spans="1:13" x14ac:dyDescent="0.25">
      <c r="A184" t="s">
        <v>18</v>
      </c>
      <c r="B184" s="4">
        <v>46004</v>
      </c>
      <c r="C184" s="6">
        <v>0.40886574074074072</v>
      </c>
      <c r="D184" s="8" t="s">
        <v>4</v>
      </c>
      <c r="E184" t="s">
        <v>6169</v>
      </c>
      <c r="F184" t="s">
        <v>58</v>
      </c>
      <c r="H184" t="s">
        <v>4205</v>
      </c>
      <c r="I184" t="s">
        <v>6049</v>
      </c>
      <c r="J184" t="s">
        <v>2991</v>
      </c>
      <c r="K184" t="s">
        <v>6050</v>
      </c>
      <c r="L184" t="s">
        <v>6051</v>
      </c>
      <c r="M184" s="3" t="str">
        <f>HYPERLINK(СторонТрансп[[#This Row],[RelativePath]])</f>
        <v>4 Крыльцо офиса\K07156189_21_20251213T094846Z.jpg</v>
      </c>
    </row>
    <row r="185" spans="1:13" x14ac:dyDescent="0.25">
      <c r="A185" t="s">
        <v>18</v>
      </c>
      <c r="B185" s="4">
        <v>46004</v>
      </c>
      <c r="C185" s="6">
        <v>0.40886574074074072</v>
      </c>
      <c r="D185" s="8" t="s">
        <v>4</v>
      </c>
      <c r="E185" t="s">
        <v>6169</v>
      </c>
      <c r="F185" t="s">
        <v>58</v>
      </c>
      <c r="H185" t="s">
        <v>4205</v>
      </c>
      <c r="I185" t="s">
        <v>6049</v>
      </c>
      <c r="J185" t="s">
        <v>5698</v>
      </c>
      <c r="K185" t="s">
        <v>6050</v>
      </c>
      <c r="L185" t="s">
        <v>6051</v>
      </c>
      <c r="M185" s="3" t="str">
        <f>HYPERLINK(СторонТрансп[[#This Row],[RelativePath]])</f>
        <v>4 Крыльцо офиса\K07156189_21_20251213T094846Z.jpg</v>
      </c>
    </row>
    <row r="186" spans="1:13" x14ac:dyDescent="0.25">
      <c r="A186" t="s">
        <v>18</v>
      </c>
      <c r="B186" s="4">
        <v>46004</v>
      </c>
      <c r="C186" s="6">
        <v>0.52965277777777775</v>
      </c>
      <c r="D186" s="8" t="s">
        <v>1606</v>
      </c>
      <c r="E186" t="s">
        <v>6168</v>
      </c>
      <c r="F186" t="s">
        <v>51</v>
      </c>
      <c r="I186" t="s">
        <v>6052</v>
      </c>
      <c r="J186" t="s">
        <v>2991</v>
      </c>
      <c r="K186" t="s">
        <v>6053</v>
      </c>
      <c r="L186" t="s">
        <v>6054</v>
      </c>
      <c r="M186" s="3" t="str">
        <f>HYPERLINK(СторонТрансп[[#This Row],[RelativePath]])</f>
        <v>4 Крыльцо офиса\K07156189_21_20251213T124242Z.jpg</v>
      </c>
    </row>
    <row r="187" spans="1:13" x14ac:dyDescent="0.25">
      <c r="A187" t="s">
        <v>18</v>
      </c>
      <c r="B187" s="4">
        <v>46004</v>
      </c>
      <c r="C187" s="6">
        <v>0.52965277777777775</v>
      </c>
      <c r="D187" s="8" t="s">
        <v>1606</v>
      </c>
      <c r="E187" t="s">
        <v>6168</v>
      </c>
      <c r="F187" t="s">
        <v>51</v>
      </c>
      <c r="I187" t="s">
        <v>6052</v>
      </c>
      <c r="J187" t="s">
        <v>5698</v>
      </c>
      <c r="K187" t="s">
        <v>6053</v>
      </c>
      <c r="L187" t="s">
        <v>6054</v>
      </c>
      <c r="M187" s="3" t="str">
        <f>HYPERLINK(СторонТрансп[[#This Row],[RelativePath]])</f>
        <v>4 Крыльцо офиса\K07156189_21_20251213T124242Z.jpg</v>
      </c>
    </row>
    <row r="188" spans="1:13" x14ac:dyDescent="0.25">
      <c r="A188" t="s">
        <v>18</v>
      </c>
      <c r="B188" s="4">
        <v>46004</v>
      </c>
      <c r="C188" s="6">
        <v>0.52991898148148153</v>
      </c>
      <c r="D188" s="8" t="s">
        <v>1606</v>
      </c>
      <c r="E188" t="s">
        <v>6167</v>
      </c>
      <c r="F188" t="s">
        <v>51</v>
      </c>
      <c r="I188" t="s">
        <v>6055</v>
      </c>
      <c r="J188" t="s">
        <v>2991</v>
      </c>
      <c r="K188" t="s">
        <v>6056</v>
      </c>
      <c r="L188" t="s">
        <v>6057</v>
      </c>
      <c r="M188" s="3" t="str">
        <f>HYPERLINK(СторонТрансп[[#This Row],[RelativePath]])</f>
        <v>4 Крыльцо офиса\K07156189_21_20251213T124305Z.jpg</v>
      </c>
    </row>
    <row r="189" spans="1:13" x14ac:dyDescent="0.25">
      <c r="A189" t="s">
        <v>18</v>
      </c>
      <c r="B189" s="4">
        <v>46004</v>
      </c>
      <c r="C189" s="6">
        <v>0.52991898148148153</v>
      </c>
      <c r="D189" s="8" t="s">
        <v>1606</v>
      </c>
      <c r="E189" t="s">
        <v>6167</v>
      </c>
      <c r="F189" t="s">
        <v>51</v>
      </c>
      <c r="I189" t="s">
        <v>6055</v>
      </c>
      <c r="J189" t="s">
        <v>5698</v>
      </c>
      <c r="K189" t="s">
        <v>6056</v>
      </c>
      <c r="L189" t="s">
        <v>6057</v>
      </c>
      <c r="M189" s="3" t="str">
        <f>HYPERLINK(СторонТрансп[[#This Row],[RelativePath]])</f>
        <v>4 Крыльцо офиса\K07156189_21_20251213T124305Z.jpg</v>
      </c>
    </row>
    <row r="190" spans="1:13" x14ac:dyDescent="0.25">
      <c r="A190" t="s">
        <v>18</v>
      </c>
      <c r="B190" s="4">
        <v>46004</v>
      </c>
      <c r="C190" s="6">
        <v>0.53687499999999999</v>
      </c>
      <c r="D190" s="8" t="s">
        <v>650</v>
      </c>
      <c r="E190" t="s">
        <v>6168</v>
      </c>
      <c r="F190" t="s">
        <v>51</v>
      </c>
      <c r="I190" t="s">
        <v>6058</v>
      </c>
      <c r="J190" t="s">
        <v>2991</v>
      </c>
      <c r="K190" t="s">
        <v>6059</v>
      </c>
      <c r="L190" t="s">
        <v>6060</v>
      </c>
      <c r="M190" s="3" t="str">
        <f>HYPERLINK(СторонТрансп[[#This Row],[RelativePath]])</f>
        <v>4 Крыльцо офиса\K07156189_21_20251213T125306Z.jpg</v>
      </c>
    </row>
    <row r="191" spans="1:13" x14ac:dyDescent="0.25">
      <c r="A191" t="s">
        <v>18</v>
      </c>
      <c r="B191" s="4">
        <v>46004</v>
      </c>
      <c r="C191" s="6">
        <v>0.53687499999999999</v>
      </c>
      <c r="D191" s="8" t="s">
        <v>650</v>
      </c>
      <c r="E191" t="s">
        <v>6168</v>
      </c>
      <c r="F191" t="s">
        <v>51</v>
      </c>
      <c r="I191" t="s">
        <v>6058</v>
      </c>
      <c r="J191" t="s">
        <v>5698</v>
      </c>
      <c r="K191" t="s">
        <v>6059</v>
      </c>
      <c r="L191" t="s">
        <v>6060</v>
      </c>
      <c r="M191" s="3" t="str">
        <f>HYPERLINK(СторонТрансп[[#This Row],[RelativePath]])</f>
        <v>4 Крыльцо офиса\K07156189_21_20251213T125306Z.jpg</v>
      </c>
    </row>
    <row r="192" spans="1:13" x14ac:dyDescent="0.25">
      <c r="A192" t="s">
        <v>18</v>
      </c>
      <c r="B192" s="4">
        <v>46004</v>
      </c>
      <c r="C192" s="6">
        <v>0.5370949074074074</v>
      </c>
      <c r="D192" s="8" t="s">
        <v>650</v>
      </c>
      <c r="E192" t="s">
        <v>6167</v>
      </c>
      <c r="F192" t="s">
        <v>51</v>
      </c>
      <c r="I192" t="s">
        <v>6061</v>
      </c>
      <c r="J192" t="s">
        <v>2991</v>
      </c>
      <c r="K192" t="s">
        <v>6062</v>
      </c>
      <c r="L192" t="s">
        <v>6063</v>
      </c>
      <c r="M192" s="3" t="str">
        <f>HYPERLINK(СторонТрансп[[#This Row],[RelativePath]])</f>
        <v>4 Крыльцо офиса\K07156189_21_20251213T125325Z.jpg</v>
      </c>
    </row>
    <row r="193" spans="1:13" x14ac:dyDescent="0.25">
      <c r="A193" t="s">
        <v>18</v>
      </c>
      <c r="B193" s="4">
        <v>46004</v>
      </c>
      <c r="C193" s="6">
        <v>0.5370949074074074</v>
      </c>
      <c r="D193" s="8" t="s">
        <v>650</v>
      </c>
      <c r="E193" t="s">
        <v>6167</v>
      </c>
      <c r="F193" t="s">
        <v>51</v>
      </c>
      <c r="I193" t="s">
        <v>6061</v>
      </c>
      <c r="J193" t="s">
        <v>5698</v>
      </c>
      <c r="K193" t="s">
        <v>6062</v>
      </c>
      <c r="L193" t="s">
        <v>6063</v>
      </c>
      <c r="M193" s="3" t="str">
        <f>HYPERLINK(СторонТрансп[[#This Row],[RelativePath]])</f>
        <v>4 Крыльцо офиса\K07156189_21_20251213T125325Z.jpg</v>
      </c>
    </row>
    <row r="194" spans="1:13" x14ac:dyDescent="0.25">
      <c r="A194" t="s">
        <v>18</v>
      </c>
      <c r="B194" s="4">
        <v>46004</v>
      </c>
      <c r="C194" s="6">
        <v>0.5397453703703704</v>
      </c>
      <c r="D194" s="8" t="s">
        <v>1606</v>
      </c>
      <c r="E194" t="s">
        <v>6169</v>
      </c>
      <c r="F194" t="s">
        <v>58</v>
      </c>
      <c r="I194" t="s">
        <v>6064</v>
      </c>
      <c r="J194" t="s">
        <v>2991</v>
      </c>
      <c r="K194" t="s">
        <v>6065</v>
      </c>
      <c r="L194" t="s">
        <v>6066</v>
      </c>
      <c r="M194" s="3" t="str">
        <f>HYPERLINK(СторонТрансп[[#This Row],[RelativePath]])</f>
        <v>4 Крыльцо офиса\K07156189_21_20251213T125714Z.jpg</v>
      </c>
    </row>
    <row r="195" spans="1:13" x14ac:dyDescent="0.25">
      <c r="A195" t="s">
        <v>18</v>
      </c>
      <c r="B195" s="4">
        <v>46004</v>
      </c>
      <c r="C195" s="6">
        <v>0.5397453703703704</v>
      </c>
      <c r="D195" s="8" t="s">
        <v>1606</v>
      </c>
      <c r="E195" t="s">
        <v>6169</v>
      </c>
      <c r="F195" t="s">
        <v>58</v>
      </c>
      <c r="I195" t="s">
        <v>6064</v>
      </c>
      <c r="J195" t="s">
        <v>5698</v>
      </c>
      <c r="K195" t="s">
        <v>6065</v>
      </c>
      <c r="L195" t="s">
        <v>6066</v>
      </c>
      <c r="M195" s="3" t="str">
        <f>HYPERLINK(СторонТрансп[[#This Row],[RelativePath]])</f>
        <v>4 Крыльцо офиса\K07156189_21_20251213T125714Z.jpg</v>
      </c>
    </row>
    <row r="196" spans="1:13" x14ac:dyDescent="0.25">
      <c r="A196" t="s">
        <v>18</v>
      </c>
      <c r="B196" s="4">
        <v>46004</v>
      </c>
      <c r="C196" s="6">
        <v>0.54593749999999996</v>
      </c>
      <c r="D196" s="8" t="s">
        <v>6176</v>
      </c>
      <c r="E196" t="s">
        <v>6169</v>
      </c>
      <c r="F196" t="s">
        <v>58</v>
      </c>
      <c r="I196" t="s">
        <v>6163</v>
      </c>
      <c r="J196" t="s">
        <v>2991</v>
      </c>
      <c r="K196" t="s">
        <v>6164</v>
      </c>
      <c r="L196" t="s">
        <v>6165</v>
      </c>
      <c r="M196" s="3" t="str">
        <f>HYPERLINK(СторонТрансп[[#This Row],[RelativePath]])</f>
        <v>4 Крыльцо офиса\K07156189_21_20251213T130609Z.jpg</v>
      </c>
    </row>
    <row r="197" spans="1:13" x14ac:dyDescent="0.25">
      <c r="A197" t="s">
        <v>18</v>
      </c>
      <c r="B197" s="4">
        <v>46004</v>
      </c>
      <c r="C197" s="6">
        <v>0.54593749999999996</v>
      </c>
      <c r="D197" s="8" t="s">
        <v>6176</v>
      </c>
      <c r="E197" t="s">
        <v>6169</v>
      </c>
      <c r="F197" t="s">
        <v>58</v>
      </c>
      <c r="I197" t="s">
        <v>6163</v>
      </c>
      <c r="J197" t="s">
        <v>5698</v>
      </c>
      <c r="K197" t="s">
        <v>6164</v>
      </c>
      <c r="L197" t="s">
        <v>6165</v>
      </c>
      <c r="M197" s="3" t="str">
        <f>HYPERLINK(СторонТрансп[[#This Row],[RelativePath]])</f>
        <v>4 Крыльцо офиса\K07156189_21_20251213T130609Z.jpg</v>
      </c>
    </row>
    <row r="198" spans="1:13" x14ac:dyDescent="0.25">
      <c r="A198" t="s">
        <v>14</v>
      </c>
      <c r="B198" s="4">
        <v>45972</v>
      </c>
      <c r="C198" s="6">
        <v>0.39533564814814814</v>
      </c>
      <c r="D198" s="8" t="s">
        <v>467</v>
      </c>
      <c r="E198" t="s">
        <v>67</v>
      </c>
      <c r="I198" t="s">
        <v>364</v>
      </c>
      <c r="J198" t="s">
        <v>2982</v>
      </c>
      <c r="K198" t="s">
        <v>365</v>
      </c>
      <c r="L198" t="s">
        <v>366</v>
      </c>
      <c r="M198" s="3" t="str">
        <f>HYPERLINK(СторонТрансп[[#This Row],[RelativePath]])</f>
        <v>5 Крыльцо общага\K07156189_22_20251111T092917Z.jpg</v>
      </c>
    </row>
    <row r="199" spans="1:13" x14ac:dyDescent="0.25">
      <c r="A199" t="s">
        <v>14</v>
      </c>
      <c r="B199" s="4">
        <v>45972</v>
      </c>
      <c r="C199" s="6">
        <v>0.39787037037037037</v>
      </c>
      <c r="D199" s="8" t="s">
        <v>289</v>
      </c>
      <c r="E199" t="s">
        <v>67</v>
      </c>
      <c r="F199" t="s">
        <v>468</v>
      </c>
      <c r="I199" t="s">
        <v>367</v>
      </c>
      <c r="J199" t="s">
        <v>2982</v>
      </c>
      <c r="K199" t="s">
        <v>368</v>
      </c>
      <c r="L199" t="s">
        <v>369</v>
      </c>
      <c r="M199" s="3" t="str">
        <f>HYPERLINK(СторонТрансп[[#This Row],[RelativePath]])</f>
        <v>5 Крыльцо общага\K07156189_22_20251111T093256Z.jpg</v>
      </c>
    </row>
    <row r="200" spans="1:13" x14ac:dyDescent="0.25">
      <c r="A200" t="s">
        <v>14</v>
      </c>
      <c r="B200" s="4">
        <v>45972</v>
      </c>
      <c r="C200" s="6">
        <v>0.40370370370370373</v>
      </c>
      <c r="D200" s="8" t="s">
        <v>289</v>
      </c>
      <c r="E200" t="s">
        <v>67</v>
      </c>
      <c r="F200" t="s">
        <v>468</v>
      </c>
      <c r="I200" t="s">
        <v>370</v>
      </c>
      <c r="J200" t="s">
        <v>2982</v>
      </c>
      <c r="K200" t="s">
        <v>371</v>
      </c>
      <c r="L200" t="s">
        <v>372</v>
      </c>
      <c r="M200" s="3" t="str">
        <f>HYPERLINK(СторонТрансп[[#This Row],[RelativePath]])</f>
        <v>5 Крыльцо общага\K07156189_22_20251111T094120Z.jpg</v>
      </c>
    </row>
    <row r="201" spans="1:13" x14ac:dyDescent="0.25">
      <c r="A201" t="s">
        <v>14</v>
      </c>
      <c r="B201" s="4">
        <v>45972</v>
      </c>
      <c r="C201" s="6">
        <v>0.40377314814814813</v>
      </c>
      <c r="D201" s="8" t="s">
        <v>289</v>
      </c>
      <c r="E201" t="s">
        <v>67</v>
      </c>
      <c r="F201" t="s">
        <v>468</v>
      </c>
      <c r="I201" t="s">
        <v>373</v>
      </c>
      <c r="J201" t="s">
        <v>2982</v>
      </c>
      <c r="K201" t="s">
        <v>374</v>
      </c>
      <c r="L201" t="s">
        <v>375</v>
      </c>
      <c r="M201" s="3" t="str">
        <f>HYPERLINK(СторонТрансп[[#This Row],[RelativePath]])</f>
        <v>5 Крыльцо общага\K07156189_22_20251111T094126Z.jpg</v>
      </c>
    </row>
    <row r="202" spans="1:13" x14ac:dyDescent="0.25">
      <c r="A202" t="s">
        <v>14</v>
      </c>
      <c r="B202" s="4">
        <v>45972</v>
      </c>
      <c r="C202" s="6">
        <v>0.40597222222222223</v>
      </c>
      <c r="D202" s="8" t="s">
        <v>289</v>
      </c>
      <c r="E202" t="s">
        <v>67</v>
      </c>
      <c r="F202" t="s">
        <v>468</v>
      </c>
      <c r="I202" t="s">
        <v>376</v>
      </c>
      <c r="J202" t="s">
        <v>2982</v>
      </c>
      <c r="K202" t="s">
        <v>377</v>
      </c>
      <c r="L202" t="s">
        <v>378</v>
      </c>
      <c r="M202" s="3" t="str">
        <f>HYPERLINK(СторонТрансп[[#This Row],[RelativePath]])</f>
        <v>5 Крыльцо общага\K07156189_22_20251111T094436Z.jpg</v>
      </c>
    </row>
    <row r="203" spans="1:13" x14ac:dyDescent="0.25">
      <c r="A203" t="s">
        <v>14</v>
      </c>
      <c r="B203" s="4">
        <v>45972</v>
      </c>
      <c r="C203" s="6">
        <v>0.40881944444444446</v>
      </c>
      <c r="D203" s="8" t="s">
        <v>289</v>
      </c>
      <c r="E203" t="s">
        <v>67</v>
      </c>
      <c r="F203" t="s">
        <v>468</v>
      </c>
      <c r="I203" t="s">
        <v>379</v>
      </c>
      <c r="J203" t="s">
        <v>2982</v>
      </c>
      <c r="K203" t="s">
        <v>380</v>
      </c>
      <c r="L203" t="s">
        <v>381</v>
      </c>
      <c r="M203" s="3" t="str">
        <f>HYPERLINK(СторонТрансп[[#This Row],[RelativePath]])</f>
        <v>5 Крыльцо общага\K07156189_22_20251111T094842Z.jpg</v>
      </c>
    </row>
    <row r="204" spans="1:13" x14ac:dyDescent="0.25">
      <c r="A204" t="s">
        <v>14</v>
      </c>
      <c r="B204" s="4">
        <v>45972</v>
      </c>
      <c r="C204" s="6">
        <v>0.4105787037037037</v>
      </c>
      <c r="D204" s="8" t="s">
        <v>289</v>
      </c>
      <c r="E204" t="s">
        <v>67</v>
      </c>
      <c r="F204" t="s">
        <v>468</v>
      </c>
      <c r="I204" t="s">
        <v>382</v>
      </c>
      <c r="J204" t="s">
        <v>2982</v>
      </c>
      <c r="K204" t="s">
        <v>383</v>
      </c>
      <c r="L204" t="s">
        <v>384</v>
      </c>
      <c r="M204" s="3" t="str">
        <f>HYPERLINK(СторонТрансп[[#This Row],[RelativePath]])</f>
        <v>5 Крыльцо общага\K07156189_22_20251111T095114Z.jpg</v>
      </c>
    </row>
    <row r="205" spans="1:13" x14ac:dyDescent="0.25">
      <c r="A205" t="s">
        <v>14</v>
      </c>
      <c r="B205" s="4">
        <v>45972</v>
      </c>
      <c r="C205" s="6">
        <v>0.41136574074074073</v>
      </c>
      <c r="D205" s="8" t="s">
        <v>289</v>
      </c>
      <c r="E205" t="s">
        <v>67</v>
      </c>
      <c r="F205" t="s">
        <v>468</v>
      </c>
      <c r="I205" t="s">
        <v>385</v>
      </c>
      <c r="J205" t="s">
        <v>2982</v>
      </c>
      <c r="K205" t="s">
        <v>386</v>
      </c>
      <c r="L205" t="s">
        <v>387</v>
      </c>
      <c r="M205" s="3" t="str">
        <f>HYPERLINK(СторонТрансп[[#This Row],[RelativePath]])</f>
        <v>5 Крыльцо общага\K07156189_22_20251111T095222Z.jpg</v>
      </c>
    </row>
    <row r="206" spans="1:13" x14ac:dyDescent="0.25">
      <c r="A206" t="s">
        <v>14</v>
      </c>
      <c r="B206" s="4">
        <v>45972</v>
      </c>
      <c r="C206" s="6">
        <v>0.41312500000000002</v>
      </c>
      <c r="D206" s="8" t="s">
        <v>289</v>
      </c>
      <c r="E206" t="s">
        <v>67</v>
      </c>
      <c r="F206" t="s">
        <v>468</v>
      </c>
      <c r="I206" t="s">
        <v>388</v>
      </c>
      <c r="J206" t="s">
        <v>2982</v>
      </c>
      <c r="K206" t="s">
        <v>389</v>
      </c>
      <c r="L206" t="s">
        <v>390</v>
      </c>
      <c r="M206" s="3" t="str">
        <f>HYPERLINK(СторонТрансп[[#This Row],[RelativePath]])</f>
        <v>5 Крыльцо общага\K07156189_22_20251111T095454Z.jpg</v>
      </c>
    </row>
    <row r="207" spans="1:13" x14ac:dyDescent="0.25">
      <c r="A207" t="s">
        <v>14</v>
      </c>
      <c r="B207" s="4">
        <v>45972</v>
      </c>
      <c r="C207" s="6">
        <v>0.41627314814814814</v>
      </c>
      <c r="D207" s="8" t="s">
        <v>289</v>
      </c>
      <c r="E207" t="s">
        <v>67</v>
      </c>
      <c r="F207" t="s">
        <v>468</v>
      </c>
      <c r="I207" t="s">
        <v>391</v>
      </c>
      <c r="J207" t="s">
        <v>2982</v>
      </c>
      <c r="K207" t="s">
        <v>392</v>
      </c>
      <c r="L207" t="s">
        <v>393</v>
      </c>
      <c r="M207" s="3" t="str">
        <f>HYPERLINK(СторонТрансп[[#This Row],[RelativePath]])</f>
        <v>5 Крыльцо общага\K07156189_22_20251111T095926Z.jpg</v>
      </c>
    </row>
    <row r="208" spans="1:13" x14ac:dyDescent="0.25">
      <c r="A208" t="s">
        <v>14</v>
      </c>
      <c r="B208" s="4">
        <v>45972</v>
      </c>
      <c r="C208" s="6">
        <v>0.4226273148148148</v>
      </c>
      <c r="D208" s="8" t="s">
        <v>289</v>
      </c>
      <c r="E208" t="s">
        <v>67</v>
      </c>
      <c r="F208" t="s">
        <v>468</v>
      </c>
      <c r="I208" t="s">
        <v>394</v>
      </c>
      <c r="J208" t="s">
        <v>2982</v>
      </c>
      <c r="K208" t="s">
        <v>395</v>
      </c>
      <c r="L208" t="s">
        <v>396</v>
      </c>
      <c r="M208" s="3" t="str">
        <f>HYPERLINK(СторонТрансп[[#This Row],[RelativePath]])</f>
        <v>5 Крыльцо общага\K07156189_22_20251111T100835Z.jpg</v>
      </c>
    </row>
    <row r="209" spans="1:13" x14ac:dyDescent="0.25">
      <c r="A209" t="s">
        <v>14</v>
      </c>
      <c r="B209" s="4">
        <v>45972</v>
      </c>
      <c r="C209" s="6">
        <v>0.42736111111111114</v>
      </c>
      <c r="D209" s="8" t="s">
        <v>289</v>
      </c>
      <c r="E209" t="s">
        <v>67</v>
      </c>
      <c r="F209" t="s">
        <v>468</v>
      </c>
      <c r="I209" t="s">
        <v>397</v>
      </c>
      <c r="J209" t="s">
        <v>2982</v>
      </c>
      <c r="K209" t="s">
        <v>398</v>
      </c>
      <c r="L209" t="s">
        <v>399</v>
      </c>
      <c r="M209" s="3" t="str">
        <f>HYPERLINK(СторонТрансп[[#This Row],[RelativePath]])</f>
        <v>5 Крыльцо общага\K07156189_22_20251111T101524Z.jpg</v>
      </c>
    </row>
    <row r="210" spans="1:13" x14ac:dyDescent="0.25">
      <c r="A210" t="s">
        <v>14</v>
      </c>
      <c r="B210" s="4">
        <v>45972</v>
      </c>
      <c r="C210" s="6">
        <v>0.42944444444444446</v>
      </c>
      <c r="D210" s="8" t="s">
        <v>289</v>
      </c>
      <c r="E210" t="s">
        <v>67</v>
      </c>
      <c r="F210" t="s">
        <v>468</v>
      </c>
      <c r="I210" t="s">
        <v>400</v>
      </c>
      <c r="J210" t="s">
        <v>2982</v>
      </c>
      <c r="K210" t="s">
        <v>401</v>
      </c>
      <c r="L210" t="s">
        <v>402</v>
      </c>
      <c r="M210" s="3" t="str">
        <f>HYPERLINK(СторонТрансп[[#This Row],[RelativePath]])</f>
        <v>5 Крыльцо общага\K07156189_22_20251111T101824Z.jpg</v>
      </c>
    </row>
    <row r="211" spans="1:13" x14ac:dyDescent="0.25">
      <c r="A211" t="s">
        <v>14</v>
      </c>
      <c r="B211" s="4">
        <v>45972</v>
      </c>
      <c r="C211" s="6">
        <v>0.4316550925925926</v>
      </c>
      <c r="D211" s="8" t="s">
        <v>289</v>
      </c>
      <c r="E211" t="s">
        <v>67</v>
      </c>
      <c r="F211" t="s">
        <v>468</v>
      </c>
      <c r="I211" t="s">
        <v>403</v>
      </c>
      <c r="J211" t="s">
        <v>2982</v>
      </c>
      <c r="K211" t="s">
        <v>404</v>
      </c>
      <c r="L211" t="s">
        <v>405</v>
      </c>
      <c r="M211" s="3" t="str">
        <f>HYPERLINK(СторонТрансп[[#This Row],[RelativePath]])</f>
        <v>5 Крыльцо общага\K07156189_22_20251111T102135Z.jpg</v>
      </c>
    </row>
    <row r="212" spans="1:13" x14ac:dyDescent="0.25">
      <c r="A212" t="s">
        <v>14</v>
      </c>
      <c r="B212" s="4">
        <v>45972</v>
      </c>
      <c r="C212" s="6">
        <v>0.43408564814814815</v>
      </c>
      <c r="D212" s="8" t="s">
        <v>289</v>
      </c>
      <c r="E212" t="s">
        <v>67</v>
      </c>
      <c r="F212" t="s">
        <v>468</v>
      </c>
      <c r="I212" t="s">
        <v>406</v>
      </c>
      <c r="J212" t="s">
        <v>2982</v>
      </c>
      <c r="K212" t="s">
        <v>407</v>
      </c>
      <c r="L212" t="s">
        <v>408</v>
      </c>
      <c r="M212" s="3" t="str">
        <f>HYPERLINK(СторонТрансп[[#This Row],[RelativePath]])</f>
        <v>5 Крыльцо общага\K07156189_22_20251111T102505Z.jpg</v>
      </c>
    </row>
    <row r="213" spans="1:13" x14ac:dyDescent="0.25">
      <c r="A213" t="s">
        <v>14</v>
      </c>
      <c r="B213" s="4">
        <v>45972</v>
      </c>
      <c r="C213" s="6">
        <v>0.43606481481481479</v>
      </c>
      <c r="D213" s="8" t="s">
        <v>289</v>
      </c>
      <c r="E213" t="s">
        <v>67</v>
      </c>
      <c r="F213" t="s">
        <v>469</v>
      </c>
      <c r="H213" t="s">
        <v>470</v>
      </c>
      <c r="I213" t="s">
        <v>409</v>
      </c>
      <c r="J213" t="s">
        <v>2982</v>
      </c>
      <c r="K213" t="s">
        <v>410</v>
      </c>
      <c r="L213" t="s">
        <v>411</v>
      </c>
      <c r="M213" s="3" t="str">
        <f>HYPERLINK(СторонТрансп[[#This Row],[RelativePath]])</f>
        <v>5 Крыльцо общага\K07156189_22_20251111T102756Z.jpg</v>
      </c>
    </row>
    <row r="214" spans="1:13" x14ac:dyDescent="0.25">
      <c r="A214" t="s">
        <v>14</v>
      </c>
      <c r="B214" s="4">
        <v>45972</v>
      </c>
      <c r="C214" s="6">
        <v>0.4387847222222222</v>
      </c>
      <c r="D214" s="8" t="s">
        <v>471</v>
      </c>
      <c r="E214" t="s">
        <v>67</v>
      </c>
      <c r="F214" t="s">
        <v>468</v>
      </c>
      <c r="I214" t="s">
        <v>412</v>
      </c>
      <c r="J214" t="s">
        <v>2982</v>
      </c>
      <c r="K214" t="s">
        <v>413</v>
      </c>
      <c r="L214" t="s">
        <v>414</v>
      </c>
      <c r="M214" s="3" t="str">
        <f>HYPERLINK(СторонТрансп[[#This Row],[RelativePath]])</f>
        <v>5 Крыльцо общага\K07156189_22_20251111T103151Z.jpg</v>
      </c>
    </row>
    <row r="215" spans="1:13" x14ac:dyDescent="0.25">
      <c r="A215" t="s">
        <v>14</v>
      </c>
      <c r="B215" s="4">
        <v>45972</v>
      </c>
      <c r="C215" s="6">
        <v>0.44353009259259257</v>
      </c>
      <c r="D215" s="8" t="s">
        <v>472</v>
      </c>
      <c r="E215" t="s">
        <v>67</v>
      </c>
      <c r="F215" t="s">
        <v>468</v>
      </c>
      <c r="I215" t="s">
        <v>415</v>
      </c>
      <c r="J215" t="s">
        <v>2982</v>
      </c>
      <c r="K215" t="s">
        <v>416</v>
      </c>
      <c r="L215" t="s">
        <v>417</v>
      </c>
      <c r="M215" s="3" t="str">
        <f>HYPERLINK(СторонТрансп[[#This Row],[RelativePath]])</f>
        <v>5 Крыльцо общага\K07156189_22_20251111T103841Z.jpg</v>
      </c>
    </row>
    <row r="216" spans="1:13" x14ac:dyDescent="0.25">
      <c r="A216" t="s">
        <v>15</v>
      </c>
      <c r="B216" s="4">
        <v>45973</v>
      </c>
      <c r="C216" s="6">
        <v>0.69714120370370369</v>
      </c>
      <c r="D216" s="8" t="s">
        <v>4</v>
      </c>
      <c r="E216" t="s">
        <v>477</v>
      </c>
      <c r="H216" t="s">
        <v>478</v>
      </c>
      <c r="I216" t="s">
        <v>427</v>
      </c>
      <c r="J216" t="s">
        <v>2982</v>
      </c>
      <c r="K216" t="s">
        <v>428</v>
      </c>
      <c r="L216" t="s">
        <v>429</v>
      </c>
      <c r="M216" s="3" t="str">
        <f>HYPERLINK(СторонТрансп[[#This Row],[RelativePath]])</f>
        <v>5 Крыльцо общага\K07156189_22_20251112T164353Z.jpg</v>
      </c>
    </row>
    <row r="217" spans="1:13" x14ac:dyDescent="0.25">
      <c r="A217" t="s">
        <v>22</v>
      </c>
      <c r="B217" s="4">
        <v>45998</v>
      </c>
      <c r="C217" s="6">
        <v>0.61542824074074076</v>
      </c>
      <c r="D217" s="8" t="s">
        <v>1606</v>
      </c>
      <c r="E217" t="s">
        <v>5263</v>
      </c>
      <c r="F217" t="s">
        <v>4233</v>
      </c>
      <c r="I217" t="s">
        <v>5148</v>
      </c>
      <c r="J217" t="s">
        <v>2982</v>
      </c>
      <c r="K217" t="s">
        <v>5149</v>
      </c>
      <c r="L217" t="s">
        <v>5150</v>
      </c>
      <c r="M217" s="3" t="str">
        <f>HYPERLINK(СторонТрансп[[#This Row],[RelativePath]])</f>
        <v>5 Крыльцо общага\K07156189_22_20251207T144613Z.jpg</v>
      </c>
    </row>
    <row r="218" spans="1:13" x14ac:dyDescent="0.25">
      <c r="A218" t="s">
        <v>22</v>
      </c>
      <c r="B218" s="4">
        <v>45998</v>
      </c>
      <c r="C218" s="6">
        <v>0.61756944444444439</v>
      </c>
      <c r="D218" s="8" t="s">
        <v>289</v>
      </c>
      <c r="E218" t="s">
        <v>5263</v>
      </c>
      <c r="F218" t="s">
        <v>5093</v>
      </c>
      <c r="I218" t="s">
        <v>5151</v>
      </c>
      <c r="J218" t="s">
        <v>2982</v>
      </c>
      <c r="K218" t="s">
        <v>5152</v>
      </c>
      <c r="L218" t="s">
        <v>5153</v>
      </c>
      <c r="M218" s="3" t="str">
        <f>HYPERLINK(СторонТрансп[[#This Row],[RelativePath]])</f>
        <v>5 Крыльцо общага\K07156189_22_20251207T144918Z.jpg</v>
      </c>
    </row>
    <row r="219" spans="1:13" x14ac:dyDescent="0.25">
      <c r="A219" t="s">
        <v>22</v>
      </c>
      <c r="B219" s="4">
        <v>45998</v>
      </c>
      <c r="C219" s="6">
        <v>0.62070601851851848</v>
      </c>
      <c r="D219" s="8" t="s">
        <v>289</v>
      </c>
      <c r="E219" t="s">
        <v>5263</v>
      </c>
      <c r="F219" t="s">
        <v>5093</v>
      </c>
      <c r="H219" t="s">
        <v>2936</v>
      </c>
      <c r="I219" t="s">
        <v>5154</v>
      </c>
      <c r="J219" t="s">
        <v>2982</v>
      </c>
      <c r="K219" t="s">
        <v>5155</v>
      </c>
      <c r="L219" t="s">
        <v>5156</v>
      </c>
      <c r="M219" s="3" t="str">
        <f>HYPERLINK(СторонТрансп[[#This Row],[RelativePath]])</f>
        <v>5 Крыльцо общага\K07156189_22_20251207T145349Z.jpg</v>
      </c>
    </row>
    <row r="220" spans="1:13" x14ac:dyDescent="0.25">
      <c r="A220" t="s">
        <v>22</v>
      </c>
      <c r="B220" s="4">
        <v>45998</v>
      </c>
      <c r="C220" s="6">
        <v>0.62306712962962962</v>
      </c>
      <c r="D220" s="8" t="s">
        <v>289</v>
      </c>
      <c r="E220" t="s">
        <v>5263</v>
      </c>
      <c r="F220" t="s">
        <v>5093</v>
      </c>
      <c r="H220" t="s">
        <v>2936</v>
      </c>
      <c r="I220" t="s">
        <v>5157</v>
      </c>
      <c r="J220" t="s">
        <v>2982</v>
      </c>
      <c r="K220" t="s">
        <v>5158</v>
      </c>
      <c r="L220" t="s">
        <v>5159</v>
      </c>
      <c r="M220" s="3" t="str">
        <f>HYPERLINK(СторонТрансп[[#This Row],[RelativePath]])</f>
        <v>5 Крыльцо общага\K07156189_22_20251207T145713Z.jpg</v>
      </c>
    </row>
    <row r="221" spans="1:13" x14ac:dyDescent="0.25">
      <c r="A221" t="s">
        <v>22</v>
      </c>
      <c r="B221" s="4">
        <v>45998</v>
      </c>
      <c r="C221" s="6">
        <v>0.62668981481481478</v>
      </c>
      <c r="D221" s="8" t="s">
        <v>289</v>
      </c>
      <c r="E221" t="s">
        <v>5263</v>
      </c>
      <c r="F221" t="s">
        <v>5093</v>
      </c>
      <c r="H221" t="s">
        <v>2936</v>
      </c>
      <c r="I221" t="s">
        <v>5160</v>
      </c>
      <c r="J221" t="s">
        <v>2982</v>
      </c>
      <c r="K221" t="s">
        <v>5161</v>
      </c>
      <c r="L221" t="s">
        <v>5162</v>
      </c>
      <c r="M221" s="3" t="str">
        <f>HYPERLINK(СторонТрансп[[#This Row],[RelativePath]])</f>
        <v>5 Крыльцо общага\K07156189_22_20251207T150226Z.jpg</v>
      </c>
    </row>
    <row r="222" spans="1:13" x14ac:dyDescent="0.25">
      <c r="A222" t="s">
        <v>22</v>
      </c>
      <c r="B222" s="4">
        <v>45998</v>
      </c>
      <c r="C222" s="6">
        <v>0.62921296296296292</v>
      </c>
      <c r="D222" s="8" t="s">
        <v>289</v>
      </c>
      <c r="E222" t="s">
        <v>5263</v>
      </c>
      <c r="F222" t="s">
        <v>5093</v>
      </c>
      <c r="H222" t="s">
        <v>2936</v>
      </c>
      <c r="I222" t="s">
        <v>5163</v>
      </c>
      <c r="J222" t="s">
        <v>2982</v>
      </c>
      <c r="K222" t="s">
        <v>5164</v>
      </c>
      <c r="L222" t="s">
        <v>5165</v>
      </c>
      <c r="M222" s="3" t="str">
        <f>HYPERLINK(СторонТрансп[[#This Row],[RelativePath]])</f>
        <v>5 Крыльцо общага\K07156189_22_20251207T150604Z.jpg</v>
      </c>
    </row>
    <row r="223" spans="1:13" x14ac:dyDescent="0.25">
      <c r="A223" t="s">
        <v>22</v>
      </c>
      <c r="B223" s="4">
        <v>45998</v>
      </c>
      <c r="C223" s="6">
        <v>0.63689814814814816</v>
      </c>
      <c r="D223" s="8" t="s">
        <v>289</v>
      </c>
      <c r="E223" t="s">
        <v>5263</v>
      </c>
      <c r="F223" t="s">
        <v>5093</v>
      </c>
      <c r="H223" t="s">
        <v>2936</v>
      </c>
      <c r="I223" t="s">
        <v>5166</v>
      </c>
      <c r="J223" t="s">
        <v>2982</v>
      </c>
      <c r="K223" t="s">
        <v>5167</v>
      </c>
      <c r="L223" t="s">
        <v>5168</v>
      </c>
      <c r="M223" s="3" t="str">
        <f>HYPERLINK(СторонТрансп[[#This Row],[RelativePath]])</f>
        <v>5 Крыльцо общага\K07156189_22_20251207T151708Z.jpg</v>
      </c>
    </row>
    <row r="224" spans="1:13" x14ac:dyDescent="0.25">
      <c r="A224" t="s">
        <v>22</v>
      </c>
      <c r="B224" s="4">
        <v>45998</v>
      </c>
      <c r="C224" s="6">
        <v>0.6521527777777778</v>
      </c>
      <c r="D224" s="8" t="s">
        <v>4232</v>
      </c>
      <c r="E224" t="s">
        <v>5263</v>
      </c>
      <c r="F224" t="s">
        <v>1609</v>
      </c>
      <c r="I224" t="s">
        <v>5169</v>
      </c>
      <c r="J224" t="s">
        <v>2982</v>
      </c>
      <c r="K224" t="s">
        <v>5170</v>
      </c>
      <c r="L224" t="s">
        <v>5171</v>
      </c>
      <c r="M224" s="3" t="str">
        <f>HYPERLINK(СторонТрансп[[#This Row],[RelativePath]])</f>
        <v>5 Крыльцо общага\K07156189_22_20251207T153906Z.jpg</v>
      </c>
    </row>
    <row r="225" spans="1:13" x14ac:dyDescent="0.25">
      <c r="A225" t="s">
        <v>22</v>
      </c>
      <c r="B225" s="4">
        <v>45998</v>
      </c>
      <c r="C225" s="6">
        <v>0.67266203703703709</v>
      </c>
      <c r="D225" s="8" t="s">
        <v>650</v>
      </c>
      <c r="E225" t="s">
        <v>5263</v>
      </c>
      <c r="F225" t="s">
        <v>1609</v>
      </c>
      <c r="I225" t="s">
        <v>5172</v>
      </c>
      <c r="J225" t="s">
        <v>2982</v>
      </c>
      <c r="K225" t="s">
        <v>5173</v>
      </c>
      <c r="L225" t="s">
        <v>5174</v>
      </c>
      <c r="M225" s="3" t="str">
        <f>HYPERLINK(СторонТрансп[[#This Row],[RelativePath]])</f>
        <v>5 Крыльцо общага\K07156189_22_20251207T160838Z.jpg</v>
      </c>
    </row>
    <row r="226" spans="1:13" x14ac:dyDescent="0.25">
      <c r="A226" t="s">
        <v>18</v>
      </c>
      <c r="B226" s="4">
        <v>45990</v>
      </c>
      <c r="C226" s="6">
        <v>0.54023148148148148</v>
      </c>
      <c r="D226" s="8" t="s">
        <v>1606</v>
      </c>
      <c r="E226" t="s">
        <v>4194</v>
      </c>
      <c r="I226" t="s">
        <v>3561</v>
      </c>
      <c r="J226" t="s">
        <v>2984</v>
      </c>
      <c r="K226" t="s">
        <v>3562</v>
      </c>
      <c r="L226" t="s">
        <v>3563</v>
      </c>
      <c r="M226" s="3" t="str">
        <f>HYPERLINK(СторонТрансп[[#This Row],[RelativePath]])</f>
        <v>7 Площадка 2 бетонщики\K07156189_18_20251129T125756Z.jpg</v>
      </c>
    </row>
    <row r="227" spans="1:13" x14ac:dyDescent="0.25">
      <c r="A227" t="s">
        <v>18</v>
      </c>
      <c r="B227" s="4">
        <v>45990</v>
      </c>
      <c r="C227" s="6">
        <v>0.54586805555555551</v>
      </c>
      <c r="D227" s="8" t="s">
        <v>1606</v>
      </c>
      <c r="E227" t="s">
        <v>4217</v>
      </c>
      <c r="I227" t="s">
        <v>3564</v>
      </c>
      <c r="J227" t="s">
        <v>2984</v>
      </c>
      <c r="K227" t="s">
        <v>3565</v>
      </c>
      <c r="L227" t="s">
        <v>3566</v>
      </c>
      <c r="M227" s="3" t="str">
        <f>HYPERLINK(СторонТрансп[[#This Row],[RelativePath]])</f>
        <v>7 Площадка 2 бетонщики\K07156189_18_20251129T130603Z.jpg</v>
      </c>
    </row>
    <row r="228" spans="1:13" x14ac:dyDescent="0.25">
      <c r="A228" t="s">
        <v>18</v>
      </c>
      <c r="B228" s="4">
        <v>45990</v>
      </c>
      <c r="C228" s="6">
        <v>0.55248842592592595</v>
      </c>
      <c r="D228" s="8" t="s">
        <v>289</v>
      </c>
      <c r="E228" t="s">
        <v>4217</v>
      </c>
      <c r="F228" t="s">
        <v>4211</v>
      </c>
      <c r="I228" t="s">
        <v>3567</v>
      </c>
      <c r="J228" t="s">
        <v>2984</v>
      </c>
      <c r="K228" t="s">
        <v>3568</v>
      </c>
      <c r="L228" t="s">
        <v>3569</v>
      </c>
      <c r="M228" s="3" t="str">
        <f>HYPERLINK(СторонТрансп[[#This Row],[RelativePath]])</f>
        <v>7 Площадка 2 бетонщики\K07156189_18_20251129T131535Z.jpg</v>
      </c>
    </row>
    <row r="229" spans="1:13" x14ac:dyDescent="0.25">
      <c r="A229" t="s">
        <v>18</v>
      </c>
      <c r="B229" s="4">
        <v>45990</v>
      </c>
      <c r="C229" s="6">
        <v>0.55314814814814817</v>
      </c>
      <c r="D229" s="8" t="s">
        <v>289</v>
      </c>
      <c r="E229" t="s">
        <v>4217</v>
      </c>
      <c r="F229" t="s">
        <v>4211</v>
      </c>
      <c r="H229" t="s">
        <v>2936</v>
      </c>
      <c r="I229" t="s">
        <v>3570</v>
      </c>
      <c r="J229" t="s">
        <v>2984</v>
      </c>
      <c r="K229" t="s">
        <v>3571</v>
      </c>
      <c r="L229" t="s">
        <v>3572</v>
      </c>
      <c r="M229" s="3" t="str">
        <f>HYPERLINK(СторонТрансп[[#This Row],[RelativePath]])</f>
        <v>7 Площадка 2 бетонщики\K07156189_18_20251129T131632Z.jpg</v>
      </c>
    </row>
    <row r="230" spans="1:13" x14ac:dyDescent="0.25">
      <c r="A230" t="s">
        <v>18</v>
      </c>
      <c r="B230" s="4">
        <v>45990</v>
      </c>
      <c r="C230" s="6">
        <v>0.55888888888888888</v>
      </c>
      <c r="D230" s="8" t="s">
        <v>289</v>
      </c>
      <c r="E230" t="s">
        <v>4217</v>
      </c>
      <c r="F230" t="s">
        <v>4211</v>
      </c>
      <c r="H230" t="s">
        <v>2936</v>
      </c>
      <c r="I230" t="s">
        <v>3573</v>
      </c>
      <c r="J230" t="s">
        <v>2984</v>
      </c>
      <c r="K230" t="s">
        <v>3574</v>
      </c>
      <c r="L230" t="s">
        <v>3575</v>
      </c>
      <c r="M230" s="3" t="str">
        <f>HYPERLINK(СторонТрансп[[#This Row],[RelativePath]])</f>
        <v>7 Площадка 2 бетонщики\K07156189_18_20251129T132448Z.jpg</v>
      </c>
    </row>
    <row r="231" spans="1:13" x14ac:dyDescent="0.25">
      <c r="A231" t="s">
        <v>18</v>
      </c>
      <c r="B231" s="4">
        <v>45990</v>
      </c>
      <c r="C231" s="6">
        <v>0.5607523148148148</v>
      </c>
      <c r="D231" s="8" t="s">
        <v>289</v>
      </c>
      <c r="E231" t="s">
        <v>4217</v>
      </c>
      <c r="F231" t="s">
        <v>4211</v>
      </c>
      <c r="H231" t="s">
        <v>2936</v>
      </c>
      <c r="I231" t="s">
        <v>3576</v>
      </c>
      <c r="J231" t="s">
        <v>2984</v>
      </c>
      <c r="K231" t="s">
        <v>3577</v>
      </c>
      <c r="L231" t="s">
        <v>3578</v>
      </c>
      <c r="M231" s="3" t="str">
        <f>HYPERLINK(СторонТрансп[[#This Row],[RelativePath]])</f>
        <v>7 Площадка 2 бетонщики\K07156189_18_20251129T132729Z.jpg</v>
      </c>
    </row>
    <row r="232" spans="1:13" x14ac:dyDescent="0.25">
      <c r="A232" t="s">
        <v>18</v>
      </c>
      <c r="B232" s="4">
        <v>45990</v>
      </c>
      <c r="C232" s="6">
        <v>0.56593749999999998</v>
      </c>
      <c r="D232" s="8" t="s">
        <v>289</v>
      </c>
      <c r="E232" t="s">
        <v>4217</v>
      </c>
      <c r="F232" t="s">
        <v>4211</v>
      </c>
      <c r="H232" t="s">
        <v>2936</v>
      </c>
      <c r="I232" t="s">
        <v>3579</v>
      </c>
      <c r="J232" t="s">
        <v>2984</v>
      </c>
      <c r="K232" t="s">
        <v>3580</v>
      </c>
      <c r="L232" t="s">
        <v>3581</v>
      </c>
      <c r="M232" s="3" t="str">
        <f>HYPERLINK(СторонТрансп[[#This Row],[RelativePath]])</f>
        <v>7 Площадка 2 бетонщики\K07156189_18_20251129T133457Z.jpg</v>
      </c>
    </row>
    <row r="233" spans="1:13" x14ac:dyDescent="0.25">
      <c r="A233" t="s">
        <v>18</v>
      </c>
      <c r="B233" s="4">
        <v>45990</v>
      </c>
      <c r="C233" s="6">
        <v>0.56846064814814812</v>
      </c>
      <c r="D233" s="8" t="s">
        <v>289</v>
      </c>
      <c r="E233" t="s">
        <v>4217</v>
      </c>
      <c r="F233" t="s">
        <v>4211</v>
      </c>
      <c r="H233" t="s">
        <v>2936</v>
      </c>
      <c r="I233" t="s">
        <v>3582</v>
      </c>
      <c r="J233" t="s">
        <v>2984</v>
      </c>
      <c r="K233" t="s">
        <v>3583</v>
      </c>
      <c r="L233" t="s">
        <v>3584</v>
      </c>
      <c r="M233" s="3" t="str">
        <f>HYPERLINK(СторонТрансп[[#This Row],[RelativePath]])</f>
        <v>7 Площадка 2 бетонщики\K07156189_18_20251129T133835Z.jpg</v>
      </c>
    </row>
    <row r="234" spans="1:13" x14ac:dyDescent="0.25">
      <c r="A234" t="s">
        <v>18</v>
      </c>
      <c r="B234" s="4">
        <v>45990</v>
      </c>
      <c r="C234" s="6">
        <v>0.57168981481481485</v>
      </c>
      <c r="D234" s="8" t="s">
        <v>289</v>
      </c>
      <c r="E234" t="s">
        <v>4217</v>
      </c>
      <c r="F234" t="s">
        <v>4211</v>
      </c>
      <c r="H234" t="s">
        <v>2936</v>
      </c>
      <c r="I234" t="s">
        <v>3585</v>
      </c>
      <c r="J234" t="s">
        <v>2984</v>
      </c>
      <c r="K234" t="s">
        <v>3586</v>
      </c>
      <c r="L234" t="s">
        <v>3587</v>
      </c>
      <c r="M234" s="3" t="str">
        <f>HYPERLINK(СторонТрансп[[#This Row],[RelativePath]])</f>
        <v>7 Площадка 2 бетонщики\K07156189_18_20251129T134314Z.jpg</v>
      </c>
    </row>
    <row r="235" spans="1:13" x14ac:dyDescent="0.25">
      <c r="A235" t="s">
        <v>18</v>
      </c>
      <c r="B235" s="4">
        <v>45990</v>
      </c>
      <c r="C235" s="6">
        <v>0.57275462962962964</v>
      </c>
      <c r="D235" s="8" t="s">
        <v>289</v>
      </c>
      <c r="E235" t="s">
        <v>4217</v>
      </c>
      <c r="F235" t="s">
        <v>4211</v>
      </c>
      <c r="H235" t="s">
        <v>2936</v>
      </c>
      <c r="I235" t="s">
        <v>3588</v>
      </c>
      <c r="J235" t="s">
        <v>2984</v>
      </c>
      <c r="K235" t="s">
        <v>3589</v>
      </c>
      <c r="L235" t="s">
        <v>3590</v>
      </c>
      <c r="M235" s="3" t="str">
        <f>HYPERLINK(СторонТрансп[[#This Row],[RelativePath]])</f>
        <v>7 Площадка 2 бетонщики\K07156189_18_20251129T134446Z.jpg</v>
      </c>
    </row>
    <row r="236" spans="1:13" x14ac:dyDescent="0.25">
      <c r="A236" t="s">
        <v>18</v>
      </c>
      <c r="B236" s="4">
        <v>45990</v>
      </c>
      <c r="C236" s="6">
        <v>0.57449074074074069</v>
      </c>
      <c r="D236" s="8" t="s">
        <v>289</v>
      </c>
      <c r="E236" t="s">
        <v>4217</v>
      </c>
      <c r="F236" t="s">
        <v>4211</v>
      </c>
      <c r="H236" t="s">
        <v>2936</v>
      </c>
      <c r="I236" t="s">
        <v>3591</v>
      </c>
      <c r="J236" t="s">
        <v>2984</v>
      </c>
      <c r="K236" t="s">
        <v>3592</v>
      </c>
      <c r="L236" t="s">
        <v>3593</v>
      </c>
      <c r="M236" s="3" t="str">
        <f>HYPERLINK(СторонТрансп[[#This Row],[RelativePath]])</f>
        <v>7 Площадка 2 бетонщики\K07156189_18_20251129T134716Z.jpg</v>
      </c>
    </row>
    <row r="237" spans="1:13" x14ac:dyDescent="0.25">
      <c r="A237" t="s">
        <v>18</v>
      </c>
      <c r="B237" s="4">
        <v>45990</v>
      </c>
      <c r="C237" s="6">
        <v>0.57677083333333334</v>
      </c>
      <c r="D237" s="8" t="s">
        <v>289</v>
      </c>
      <c r="E237" t="s">
        <v>4217</v>
      </c>
      <c r="F237" t="s">
        <v>4211</v>
      </c>
      <c r="H237" t="s">
        <v>2936</v>
      </c>
      <c r="I237" t="s">
        <v>3594</v>
      </c>
      <c r="J237" t="s">
        <v>2984</v>
      </c>
      <c r="K237" t="s">
        <v>3595</v>
      </c>
      <c r="L237" t="s">
        <v>3596</v>
      </c>
      <c r="M237" s="3" t="str">
        <f>HYPERLINK(СторонТрансп[[#This Row],[RelativePath]])</f>
        <v>7 Площадка 2 бетонщики\K07156189_18_20251129T135033Z.jpg</v>
      </c>
    </row>
    <row r="238" spans="1:13" x14ac:dyDescent="0.25">
      <c r="A238" t="s">
        <v>18</v>
      </c>
      <c r="B238" s="4">
        <v>45990</v>
      </c>
      <c r="C238" s="6">
        <v>0.57995370370370369</v>
      </c>
      <c r="D238" s="8" t="s">
        <v>289</v>
      </c>
      <c r="E238" t="s">
        <v>4217</v>
      </c>
      <c r="F238" t="s">
        <v>4211</v>
      </c>
      <c r="H238" t="s">
        <v>2936</v>
      </c>
      <c r="I238" t="s">
        <v>3597</v>
      </c>
      <c r="J238" t="s">
        <v>2984</v>
      </c>
      <c r="K238" t="s">
        <v>3598</v>
      </c>
      <c r="L238" t="s">
        <v>3599</v>
      </c>
      <c r="M238" s="3" t="str">
        <f>HYPERLINK(СторонТрансп[[#This Row],[RelativePath]])</f>
        <v>7 Площадка 2 бетонщики\K07156189_18_20251129T135508Z.jpg</v>
      </c>
    </row>
    <row r="239" spans="1:13" x14ac:dyDescent="0.25">
      <c r="A239" t="s">
        <v>18</v>
      </c>
      <c r="B239" s="4">
        <v>45990</v>
      </c>
      <c r="C239" s="6">
        <v>0.58212962962962966</v>
      </c>
      <c r="D239" s="8" t="s">
        <v>289</v>
      </c>
      <c r="E239" t="s">
        <v>4217</v>
      </c>
      <c r="F239" t="s">
        <v>4211</v>
      </c>
      <c r="H239" t="s">
        <v>2936</v>
      </c>
      <c r="I239" t="s">
        <v>3600</v>
      </c>
      <c r="J239" t="s">
        <v>2984</v>
      </c>
      <c r="K239" t="s">
        <v>3601</v>
      </c>
      <c r="L239" t="s">
        <v>3602</v>
      </c>
      <c r="M239" s="3" t="str">
        <f>HYPERLINK(СторонТрансп[[#This Row],[RelativePath]])</f>
        <v>7 Площадка 2 бетонщики\K07156189_18_20251129T135816Z.jpg</v>
      </c>
    </row>
    <row r="240" spans="1:13" x14ac:dyDescent="0.25">
      <c r="A240" t="s">
        <v>18</v>
      </c>
      <c r="B240" s="4">
        <v>45990</v>
      </c>
      <c r="C240" s="6">
        <v>0.58278935185185188</v>
      </c>
      <c r="D240" s="8" t="s">
        <v>289</v>
      </c>
      <c r="E240" t="s">
        <v>4217</v>
      </c>
      <c r="F240" t="s">
        <v>4211</v>
      </c>
      <c r="H240" t="s">
        <v>2936</v>
      </c>
      <c r="I240" t="s">
        <v>3603</v>
      </c>
      <c r="J240" t="s">
        <v>2984</v>
      </c>
      <c r="K240" t="s">
        <v>3604</v>
      </c>
      <c r="L240" t="s">
        <v>3605</v>
      </c>
      <c r="M240" s="3" t="str">
        <f>HYPERLINK(СторонТрансп[[#This Row],[RelativePath]])</f>
        <v>7 Площадка 2 бетонщики\K07156189_18_20251129T135913Z.jpg</v>
      </c>
    </row>
    <row r="241" spans="1:13" x14ac:dyDescent="0.25">
      <c r="A241" t="s">
        <v>18</v>
      </c>
      <c r="B241" s="4">
        <v>45990</v>
      </c>
      <c r="C241" s="6">
        <v>0.58450231481481485</v>
      </c>
      <c r="D241" s="8" t="s">
        <v>289</v>
      </c>
      <c r="E241" t="s">
        <v>4217</v>
      </c>
      <c r="F241" t="s">
        <v>4211</v>
      </c>
      <c r="H241" t="s">
        <v>2936</v>
      </c>
      <c r="I241" t="s">
        <v>3606</v>
      </c>
      <c r="J241" t="s">
        <v>2984</v>
      </c>
      <c r="K241" t="s">
        <v>3607</v>
      </c>
      <c r="L241" t="s">
        <v>3608</v>
      </c>
      <c r="M241" s="3" t="str">
        <f>HYPERLINK(СторонТрансп[[#This Row],[RelativePath]])</f>
        <v>7 Площадка 2 бетонщики\K07156189_18_20251129T140141Z.jpg</v>
      </c>
    </row>
    <row r="242" spans="1:13" x14ac:dyDescent="0.25">
      <c r="A242" t="s">
        <v>18</v>
      </c>
      <c r="B242" s="4">
        <v>45990</v>
      </c>
      <c r="C242" s="6">
        <v>0.59234953703703708</v>
      </c>
      <c r="D242" s="8" t="s">
        <v>650</v>
      </c>
      <c r="E242" t="s">
        <v>4217</v>
      </c>
      <c r="F242" t="s">
        <v>4211</v>
      </c>
      <c r="H242" t="s">
        <v>4218</v>
      </c>
      <c r="I242" t="s">
        <v>3609</v>
      </c>
      <c r="J242" t="s">
        <v>2984</v>
      </c>
      <c r="K242" t="s">
        <v>3610</v>
      </c>
      <c r="L242" t="s">
        <v>3611</v>
      </c>
      <c r="M242" s="3" t="str">
        <f>HYPERLINK(СторонТрансп[[#This Row],[RelativePath]])</f>
        <v>7 Площадка 2 бетонщики\K07156189_18_20251129T141259Z.jpg</v>
      </c>
    </row>
    <row r="243" spans="1:13" x14ac:dyDescent="0.25">
      <c r="A243" t="s">
        <v>18</v>
      </c>
      <c r="B243" s="4">
        <v>45990</v>
      </c>
      <c r="C243" s="6">
        <v>0.61375000000000002</v>
      </c>
      <c r="D243" s="8" t="s">
        <v>289</v>
      </c>
      <c r="E243" t="s">
        <v>4194</v>
      </c>
      <c r="F243" t="s">
        <v>4211</v>
      </c>
      <c r="I243" t="s">
        <v>3612</v>
      </c>
      <c r="J243" t="s">
        <v>2984</v>
      </c>
      <c r="K243" t="s">
        <v>3613</v>
      </c>
      <c r="L243" t="s">
        <v>3614</v>
      </c>
      <c r="M243" s="3" t="str">
        <f>HYPERLINK(СторонТрансп[[#This Row],[RelativePath]])</f>
        <v>7 Площадка 2 бетонщики\K07156189_18_20251129T144348Z.jpg</v>
      </c>
    </row>
    <row r="244" spans="1:13" x14ac:dyDescent="0.25">
      <c r="A244" t="s">
        <v>18</v>
      </c>
      <c r="B244" s="4">
        <v>45990</v>
      </c>
      <c r="C244" s="6">
        <v>0.61790509259259263</v>
      </c>
      <c r="D244" s="8" t="s">
        <v>289</v>
      </c>
      <c r="E244" t="s">
        <v>4194</v>
      </c>
      <c r="F244" t="s">
        <v>4211</v>
      </c>
      <c r="H244" t="s">
        <v>2936</v>
      </c>
      <c r="I244" t="s">
        <v>3615</v>
      </c>
      <c r="J244" t="s">
        <v>2984</v>
      </c>
      <c r="K244" t="s">
        <v>3616</v>
      </c>
      <c r="L244" t="s">
        <v>3617</v>
      </c>
      <c r="M244" s="3" t="str">
        <f>HYPERLINK(СторонТрансп[[#This Row],[RelativePath]])</f>
        <v>7 Площадка 2 бетонщики\K07156189_18_20251129T144947Z.jpg</v>
      </c>
    </row>
    <row r="245" spans="1:13" x14ac:dyDescent="0.25">
      <c r="A245" t="s">
        <v>18</v>
      </c>
      <c r="B245" s="4">
        <v>45990</v>
      </c>
      <c r="C245" s="6">
        <v>0.61982638888888886</v>
      </c>
      <c r="D245" s="8" t="s">
        <v>289</v>
      </c>
      <c r="E245" t="s">
        <v>4194</v>
      </c>
      <c r="F245" t="s">
        <v>4211</v>
      </c>
      <c r="H245" t="s">
        <v>2936</v>
      </c>
      <c r="I245" t="s">
        <v>3618</v>
      </c>
      <c r="J245" t="s">
        <v>2984</v>
      </c>
      <c r="K245" t="s">
        <v>3619</v>
      </c>
      <c r="L245" t="s">
        <v>3620</v>
      </c>
      <c r="M245" s="3" t="str">
        <f>HYPERLINK(СторонТрансп[[#This Row],[RelativePath]])</f>
        <v>7 Площадка 2 бетонщики\K07156189_18_20251129T145233Z.jpg</v>
      </c>
    </row>
    <row r="246" spans="1:13" x14ac:dyDescent="0.25">
      <c r="A246" t="s">
        <v>18</v>
      </c>
      <c r="B246" s="4">
        <v>45990</v>
      </c>
      <c r="C246" s="6">
        <v>0.6216666666666667</v>
      </c>
      <c r="D246" s="8" t="s">
        <v>289</v>
      </c>
      <c r="E246" t="s">
        <v>4194</v>
      </c>
      <c r="F246" t="s">
        <v>4211</v>
      </c>
      <c r="H246" t="s">
        <v>2936</v>
      </c>
      <c r="I246" t="s">
        <v>3621</v>
      </c>
      <c r="J246" t="s">
        <v>2984</v>
      </c>
      <c r="K246" t="s">
        <v>3622</v>
      </c>
      <c r="L246" t="s">
        <v>3623</v>
      </c>
      <c r="M246" s="3" t="str">
        <f>HYPERLINK(СторонТрансп[[#This Row],[RelativePath]])</f>
        <v>7 Площадка 2 бетонщики\K07156189_18_20251129T145512Z.jpg</v>
      </c>
    </row>
    <row r="247" spans="1:13" x14ac:dyDescent="0.25">
      <c r="A247" t="s">
        <v>18</v>
      </c>
      <c r="B247" s="4">
        <v>45990</v>
      </c>
      <c r="C247" s="6">
        <v>0.62410879629629634</v>
      </c>
      <c r="D247" s="8" t="s">
        <v>289</v>
      </c>
      <c r="E247" t="s">
        <v>4194</v>
      </c>
      <c r="F247" t="s">
        <v>4211</v>
      </c>
      <c r="H247" t="s">
        <v>2936</v>
      </c>
      <c r="I247" t="s">
        <v>3624</v>
      </c>
      <c r="J247" t="s">
        <v>2984</v>
      </c>
      <c r="K247" t="s">
        <v>3625</v>
      </c>
      <c r="L247" t="s">
        <v>3626</v>
      </c>
      <c r="M247" s="3" t="str">
        <f>HYPERLINK(СторонТрансп[[#This Row],[RelativePath]])</f>
        <v>7 Площадка 2 бетонщики\K07156189_18_20251129T145843Z.jpg</v>
      </c>
    </row>
    <row r="248" spans="1:13" x14ac:dyDescent="0.25">
      <c r="A248" t="s">
        <v>18</v>
      </c>
      <c r="B248" s="4">
        <v>45990</v>
      </c>
      <c r="C248" s="6">
        <v>0.62604166666666672</v>
      </c>
      <c r="D248" s="8" t="s">
        <v>289</v>
      </c>
      <c r="E248" t="s">
        <v>4194</v>
      </c>
      <c r="F248" t="s">
        <v>4211</v>
      </c>
      <c r="H248" t="s">
        <v>2936</v>
      </c>
      <c r="I248" t="s">
        <v>3627</v>
      </c>
      <c r="J248" t="s">
        <v>2984</v>
      </c>
      <c r="K248" t="s">
        <v>3628</v>
      </c>
      <c r="L248" t="s">
        <v>3629</v>
      </c>
      <c r="M248" s="3" t="str">
        <f>HYPERLINK(СторонТрансп[[#This Row],[RelativePath]])</f>
        <v>7 Площадка 2 бетонщики\K07156189_18_20251129T150130Z.jpg</v>
      </c>
    </row>
    <row r="249" spans="1:13" x14ac:dyDescent="0.25">
      <c r="A249" t="s">
        <v>18</v>
      </c>
      <c r="B249" s="4">
        <v>45990</v>
      </c>
      <c r="C249" s="6">
        <v>0.63124999999999998</v>
      </c>
      <c r="D249" s="8" t="s">
        <v>289</v>
      </c>
      <c r="E249" t="s">
        <v>4194</v>
      </c>
      <c r="F249" t="s">
        <v>4211</v>
      </c>
      <c r="H249" t="s">
        <v>2936</v>
      </c>
      <c r="I249" t="s">
        <v>3630</v>
      </c>
      <c r="J249" t="s">
        <v>2984</v>
      </c>
      <c r="K249" t="s">
        <v>3631</v>
      </c>
      <c r="L249" t="s">
        <v>3632</v>
      </c>
      <c r="M249" s="3" t="str">
        <f>HYPERLINK(СторонТрансп[[#This Row],[RelativePath]])</f>
        <v>7 Площадка 2 бетонщики\K07156189_18_20251129T150900Z.jpg</v>
      </c>
    </row>
    <row r="250" spans="1:13" x14ac:dyDescent="0.25">
      <c r="A250" t="s">
        <v>18</v>
      </c>
      <c r="B250" s="4">
        <v>45990</v>
      </c>
      <c r="C250" s="6">
        <v>0.6338773148148148</v>
      </c>
      <c r="D250" s="8" t="s">
        <v>289</v>
      </c>
      <c r="E250" t="s">
        <v>4194</v>
      </c>
      <c r="F250" t="s">
        <v>4211</v>
      </c>
      <c r="H250" t="s">
        <v>2936</v>
      </c>
      <c r="I250" t="s">
        <v>3633</v>
      </c>
      <c r="J250" t="s">
        <v>2984</v>
      </c>
      <c r="K250" t="s">
        <v>3634</v>
      </c>
      <c r="L250" t="s">
        <v>3635</v>
      </c>
      <c r="M250" s="3" t="str">
        <f>HYPERLINK(СторонТрансп[[#This Row],[RelativePath]])</f>
        <v>7 Площадка 2 бетонщики\K07156189_18_20251129T151247Z.jpg</v>
      </c>
    </row>
    <row r="251" spans="1:13" x14ac:dyDescent="0.25">
      <c r="A251" t="s">
        <v>18</v>
      </c>
      <c r="B251" s="4">
        <v>45990</v>
      </c>
      <c r="C251" s="6">
        <v>0.63736111111111116</v>
      </c>
      <c r="D251" s="8" t="s">
        <v>289</v>
      </c>
      <c r="E251" t="s">
        <v>4194</v>
      </c>
      <c r="F251" t="s">
        <v>4211</v>
      </c>
      <c r="H251" t="s">
        <v>2936</v>
      </c>
      <c r="I251" t="s">
        <v>3636</v>
      </c>
      <c r="J251" t="s">
        <v>2984</v>
      </c>
      <c r="K251" t="s">
        <v>3637</v>
      </c>
      <c r="L251" t="s">
        <v>3638</v>
      </c>
      <c r="M251" s="3" t="str">
        <f>HYPERLINK(СторонТрансп[[#This Row],[RelativePath]])</f>
        <v>7 Площадка 2 бетонщики\K07156189_18_20251129T151748Z.jpg</v>
      </c>
    </row>
    <row r="252" spans="1:13" x14ac:dyDescent="0.25">
      <c r="A252" t="s">
        <v>18</v>
      </c>
      <c r="B252" s="4">
        <v>45990</v>
      </c>
      <c r="C252" s="6">
        <v>0.63914351851851847</v>
      </c>
      <c r="D252" s="8" t="s">
        <v>289</v>
      </c>
      <c r="E252" t="s">
        <v>4194</v>
      </c>
      <c r="F252" t="s">
        <v>4211</v>
      </c>
      <c r="H252" t="s">
        <v>2936</v>
      </c>
      <c r="I252" t="s">
        <v>3639</v>
      </c>
      <c r="J252" t="s">
        <v>2984</v>
      </c>
      <c r="K252" t="s">
        <v>3640</v>
      </c>
      <c r="L252" t="s">
        <v>3641</v>
      </c>
      <c r="M252" s="3" t="str">
        <f>HYPERLINK(СторонТрансп[[#This Row],[RelativePath]])</f>
        <v>7 Площадка 2 бетонщики\K07156189_18_20251129T152022Z.jpg</v>
      </c>
    </row>
    <row r="253" spans="1:13" x14ac:dyDescent="0.25">
      <c r="A253" t="s">
        <v>18</v>
      </c>
      <c r="B253" s="4">
        <v>45990</v>
      </c>
      <c r="C253" s="6">
        <v>0.64195601851851847</v>
      </c>
      <c r="D253" s="8" t="s">
        <v>289</v>
      </c>
      <c r="E253" t="s">
        <v>4194</v>
      </c>
      <c r="F253" t="s">
        <v>4211</v>
      </c>
      <c r="H253" t="s">
        <v>2936</v>
      </c>
      <c r="I253" t="s">
        <v>3642</v>
      </c>
      <c r="J253" t="s">
        <v>2984</v>
      </c>
      <c r="K253" t="s">
        <v>3643</v>
      </c>
      <c r="L253" t="s">
        <v>3644</v>
      </c>
      <c r="M253" s="3" t="str">
        <f>HYPERLINK(СторонТрансп[[#This Row],[RelativePath]])</f>
        <v>7 Площадка 2 бетонщики\K07156189_18_20251129T152425Z.jpg</v>
      </c>
    </row>
    <row r="254" spans="1:13" x14ac:dyDescent="0.25">
      <c r="A254" t="s">
        <v>18</v>
      </c>
      <c r="B254" s="4">
        <v>45990</v>
      </c>
      <c r="C254" s="6">
        <v>0.64386574074074077</v>
      </c>
      <c r="D254" s="8" t="s">
        <v>289</v>
      </c>
      <c r="E254" t="s">
        <v>4194</v>
      </c>
      <c r="F254" t="s">
        <v>87</v>
      </c>
      <c r="I254" t="s">
        <v>3645</v>
      </c>
      <c r="J254" t="s">
        <v>2984</v>
      </c>
      <c r="K254" t="s">
        <v>3646</v>
      </c>
      <c r="L254" t="s">
        <v>3647</v>
      </c>
      <c r="M254" s="3" t="str">
        <f>HYPERLINK(СторонТрансп[[#This Row],[RelativePath]])</f>
        <v>7 Площадка 2 бетонщики\K07156189_18_20251129T152710Z.jpg</v>
      </c>
    </row>
    <row r="255" spans="1:13" x14ac:dyDescent="0.25">
      <c r="A255" t="s">
        <v>18</v>
      </c>
      <c r="B255" s="4">
        <v>45990</v>
      </c>
      <c r="C255" s="6">
        <v>0.64961805555555552</v>
      </c>
      <c r="D255" s="8" t="s">
        <v>1606</v>
      </c>
      <c r="E255" t="s">
        <v>4195</v>
      </c>
      <c r="I255" t="s">
        <v>3648</v>
      </c>
      <c r="J255" t="s">
        <v>2984</v>
      </c>
      <c r="K255" t="s">
        <v>3649</v>
      </c>
      <c r="L255" t="s">
        <v>3377</v>
      </c>
      <c r="M255" s="3" t="str">
        <f>HYPERLINK(СторонТрансп[[#This Row],[RelativePath]])</f>
        <v>7 Площадка 2 бетонщики\K07156189_18_20251129T153527Z.jpg</v>
      </c>
    </row>
    <row r="256" spans="1:13" x14ac:dyDescent="0.25">
      <c r="A256" t="s">
        <v>18</v>
      </c>
      <c r="B256" s="4">
        <v>45990</v>
      </c>
      <c r="C256" s="6">
        <v>0.64981481481481485</v>
      </c>
      <c r="D256" s="8" t="s">
        <v>1606</v>
      </c>
      <c r="E256" t="s">
        <v>4195</v>
      </c>
      <c r="H256" t="s">
        <v>2936</v>
      </c>
      <c r="I256" t="s">
        <v>3650</v>
      </c>
      <c r="J256" t="s">
        <v>2984</v>
      </c>
      <c r="K256" t="s">
        <v>3651</v>
      </c>
      <c r="L256" t="s">
        <v>3652</v>
      </c>
      <c r="M256" s="3" t="str">
        <f>HYPERLINK(СторонТрансп[[#This Row],[RelativePath]])</f>
        <v>7 Площадка 2 бетонщики\K07156189_18_20251129T153544Z.jpg</v>
      </c>
    </row>
    <row r="257" spans="1:13" x14ac:dyDescent="0.25">
      <c r="A257" t="s">
        <v>18</v>
      </c>
      <c r="B257" s="4">
        <v>45990</v>
      </c>
      <c r="C257" s="6">
        <v>0.65312499999999996</v>
      </c>
      <c r="D257" s="8" t="s">
        <v>289</v>
      </c>
      <c r="E257" t="s">
        <v>4195</v>
      </c>
      <c r="F257" t="s">
        <v>4211</v>
      </c>
      <c r="I257" t="s">
        <v>3653</v>
      </c>
      <c r="J257" t="s">
        <v>2984</v>
      </c>
      <c r="K257" t="s">
        <v>3654</v>
      </c>
      <c r="L257" t="s">
        <v>3655</v>
      </c>
      <c r="M257" s="3" t="str">
        <f>HYPERLINK(СторонТрансп[[#This Row],[RelativePath]])</f>
        <v>7 Площадка 2 бетонщики\K07156189_18_20251129T154030Z.jpg</v>
      </c>
    </row>
    <row r="258" spans="1:13" x14ac:dyDescent="0.25">
      <c r="A258" t="s">
        <v>18</v>
      </c>
      <c r="B258" s="4">
        <v>45990</v>
      </c>
      <c r="C258" s="6">
        <v>0.65543981481481484</v>
      </c>
      <c r="D258" s="8" t="s">
        <v>289</v>
      </c>
      <c r="E258" t="s">
        <v>4195</v>
      </c>
      <c r="F258" t="s">
        <v>4211</v>
      </c>
      <c r="H258" t="s">
        <v>2936</v>
      </c>
      <c r="I258" t="s">
        <v>3656</v>
      </c>
      <c r="J258" t="s">
        <v>2984</v>
      </c>
      <c r="K258" t="s">
        <v>3657</v>
      </c>
      <c r="L258" t="s">
        <v>3658</v>
      </c>
      <c r="M258" s="3" t="str">
        <f>HYPERLINK(СторонТрансп[[#This Row],[RelativePath]])</f>
        <v>7 Площадка 2 бетонщики\K07156189_18_20251129T154350Z.jpg</v>
      </c>
    </row>
    <row r="259" spans="1:13" x14ac:dyDescent="0.25">
      <c r="A259" t="s">
        <v>18</v>
      </c>
      <c r="B259" s="4">
        <v>45990</v>
      </c>
      <c r="C259" s="6">
        <v>0.65699074074074071</v>
      </c>
      <c r="D259" s="8" t="s">
        <v>289</v>
      </c>
      <c r="E259" t="s">
        <v>4195</v>
      </c>
      <c r="F259" t="s">
        <v>4211</v>
      </c>
      <c r="H259" t="s">
        <v>2936</v>
      </c>
      <c r="I259" t="s">
        <v>3659</v>
      </c>
      <c r="J259" t="s">
        <v>2984</v>
      </c>
      <c r="K259" t="s">
        <v>3660</v>
      </c>
      <c r="L259" t="s">
        <v>3661</v>
      </c>
      <c r="M259" s="3" t="str">
        <f>HYPERLINK(СторонТрансп[[#This Row],[RelativePath]])</f>
        <v>7 Площадка 2 бетонщики\K07156189_18_20251129T154604Z.jpg</v>
      </c>
    </row>
    <row r="260" spans="1:13" x14ac:dyDescent="0.25">
      <c r="A260" t="s">
        <v>18</v>
      </c>
      <c r="B260" s="4">
        <v>45990</v>
      </c>
      <c r="C260" s="6">
        <v>0.65927083333333336</v>
      </c>
      <c r="D260" s="8" t="s">
        <v>289</v>
      </c>
      <c r="E260" t="s">
        <v>4195</v>
      </c>
      <c r="F260" t="s">
        <v>4211</v>
      </c>
      <c r="H260" t="s">
        <v>2936</v>
      </c>
      <c r="I260" t="s">
        <v>3662</v>
      </c>
      <c r="J260" t="s">
        <v>2984</v>
      </c>
      <c r="K260" t="s">
        <v>3663</v>
      </c>
      <c r="L260" t="s">
        <v>3664</v>
      </c>
      <c r="M260" s="3" t="str">
        <f>HYPERLINK(СторонТрансп[[#This Row],[RelativePath]])</f>
        <v>7 Площадка 2 бетонщики\K07156189_18_20251129T154921Z.jpg</v>
      </c>
    </row>
    <row r="261" spans="1:13" x14ac:dyDescent="0.25">
      <c r="A261" t="s">
        <v>18</v>
      </c>
      <c r="B261" s="4">
        <v>45990</v>
      </c>
      <c r="C261" s="6">
        <v>0.66106481481481483</v>
      </c>
      <c r="D261" s="8" t="s">
        <v>289</v>
      </c>
      <c r="E261" t="s">
        <v>4195</v>
      </c>
      <c r="F261" t="s">
        <v>4211</v>
      </c>
      <c r="H261" t="s">
        <v>2936</v>
      </c>
      <c r="I261" t="s">
        <v>3665</v>
      </c>
      <c r="J261" t="s">
        <v>2984</v>
      </c>
      <c r="K261" t="s">
        <v>3666</v>
      </c>
      <c r="L261" t="s">
        <v>3667</v>
      </c>
      <c r="M261" s="3" t="str">
        <f>HYPERLINK(СторонТрансп[[#This Row],[RelativePath]])</f>
        <v>7 Площадка 2 бетонщики\K07156189_18_20251129T155156Z.jpg</v>
      </c>
    </row>
    <row r="262" spans="1:13" x14ac:dyDescent="0.25">
      <c r="A262" t="s">
        <v>18</v>
      </c>
      <c r="B262" s="4">
        <v>45990</v>
      </c>
      <c r="C262" s="6">
        <v>0.66378472222222218</v>
      </c>
      <c r="D262" s="8" t="s">
        <v>289</v>
      </c>
      <c r="E262" t="s">
        <v>4195</v>
      </c>
      <c r="F262" t="s">
        <v>4211</v>
      </c>
      <c r="H262" t="s">
        <v>2936</v>
      </c>
      <c r="I262" t="s">
        <v>3668</v>
      </c>
      <c r="J262" t="s">
        <v>2984</v>
      </c>
      <c r="K262" t="s">
        <v>3669</v>
      </c>
      <c r="L262" t="s">
        <v>3670</v>
      </c>
      <c r="M262" s="3" t="str">
        <f>HYPERLINK(СторонТрансп[[#This Row],[RelativePath]])</f>
        <v>7 Площадка 2 бетонщики\K07156189_18_20251129T155551Z.jpg</v>
      </c>
    </row>
    <row r="263" spans="1:13" x14ac:dyDescent="0.25">
      <c r="A263" t="s">
        <v>18</v>
      </c>
      <c r="B263" s="4">
        <v>45990</v>
      </c>
      <c r="C263" s="6">
        <v>0.66733796296296299</v>
      </c>
      <c r="D263" s="8" t="s">
        <v>289</v>
      </c>
      <c r="E263" t="s">
        <v>4195</v>
      </c>
      <c r="F263" t="s">
        <v>4211</v>
      </c>
      <c r="H263" t="s">
        <v>2936</v>
      </c>
      <c r="I263" t="s">
        <v>3671</v>
      </c>
      <c r="J263" t="s">
        <v>2984</v>
      </c>
      <c r="K263" t="s">
        <v>3672</v>
      </c>
      <c r="L263" t="s">
        <v>3673</v>
      </c>
      <c r="M263" s="3" t="str">
        <f>HYPERLINK(СторонТрансп[[#This Row],[RelativePath]])</f>
        <v>7 Площадка 2 бетонщики\K07156189_18_20251129T160058Z.jpg</v>
      </c>
    </row>
    <row r="264" spans="1:13" x14ac:dyDescent="0.25">
      <c r="A264" t="s">
        <v>18</v>
      </c>
      <c r="B264" s="4">
        <v>45990</v>
      </c>
      <c r="C264" s="6">
        <v>0.66971064814814818</v>
      </c>
      <c r="D264" s="8" t="s">
        <v>289</v>
      </c>
      <c r="E264" t="s">
        <v>4195</v>
      </c>
      <c r="F264" t="s">
        <v>4211</v>
      </c>
      <c r="H264" t="s">
        <v>2936</v>
      </c>
      <c r="I264" t="s">
        <v>3674</v>
      </c>
      <c r="J264" t="s">
        <v>2984</v>
      </c>
      <c r="K264" t="s">
        <v>3675</v>
      </c>
      <c r="L264" t="s">
        <v>3676</v>
      </c>
      <c r="M264" s="3" t="str">
        <f>HYPERLINK(СторонТрансп[[#This Row],[RelativePath]])</f>
        <v>7 Площадка 2 бетонщики\K07156189_18_20251129T160423Z.jpg</v>
      </c>
    </row>
    <row r="265" spans="1:13" x14ac:dyDescent="0.25">
      <c r="A265" t="s">
        <v>18</v>
      </c>
      <c r="B265" s="4">
        <v>45990</v>
      </c>
      <c r="C265" s="6">
        <v>0.67155092592592591</v>
      </c>
      <c r="D265" s="8" t="s">
        <v>289</v>
      </c>
      <c r="E265" t="s">
        <v>4195</v>
      </c>
      <c r="F265" t="s">
        <v>4211</v>
      </c>
      <c r="H265" t="s">
        <v>2936</v>
      </c>
      <c r="I265" t="s">
        <v>3677</v>
      </c>
      <c r="J265" t="s">
        <v>2984</v>
      </c>
      <c r="K265" t="s">
        <v>3678</v>
      </c>
      <c r="L265" t="s">
        <v>3679</v>
      </c>
      <c r="M265" s="3" t="str">
        <f>HYPERLINK(СторонТрансп[[#This Row],[RelativePath]])</f>
        <v>7 Площадка 2 бетонщики\K07156189_18_20251129T160702Z.jpg</v>
      </c>
    </row>
    <row r="266" spans="1:13" x14ac:dyDescent="0.25">
      <c r="A266" t="s">
        <v>18</v>
      </c>
      <c r="B266" s="4">
        <v>45990</v>
      </c>
      <c r="C266" s="6">
        <v>0.67405092592592597</v>
      </c>
      <c r="D266" s="8" t="s">
        <v>289</v>
      </c>
      <c r="E266" t="s">
        <v>4195</v>
      </c>
      <c r="F266" t="s">
        <v>4211</v>
      </c>
      <c r="H266" t="s">
        <v>2936</v>
      </c>
      <c r="I266" t="s">
        <v>3680</v>
      </c>
      <c r="J266" t="s">
        <v>2984</v>
      </c>
      <c r="K266" t="s">
        <v>3681</v>
      </c>
      <c r="L266" t="s">
        <v>3682</v>
      </c>
      <c r="M266" s="3" t="str">
        <f>HYPERLINK(СторонТрансп[[#This Row],[RelativePath]])</f>
        <v>7 Площадка 2 бетонщики\K07156189_18_20251129T161038Z.jpg</v>
      </c>
    </row>
    <row r="267" spans="1:13" x14ac:dyDescent="0.25">
      <c r="A267" t="s">
        <v>18</v>
      </c>
      <c r="B267" s="4">
        <v>45990</v>
      </c>
      <c r="C267" s="6">
        <v>0.67570601851851853</v>
      </c>
      <c r="D267" s="8" t="s">
        <v>289</v>
      </c>
      <c r="E267" t="s">
        <v>4195</v>
      </c>
      <c r="F267" t="s">
        <v>4211</v>
      </c>
      <c r="H267" t="s">
        <v>2936</v>
      </c>
      <c r="I267" t="s">
        <v>3683</v>
      </c>
      <c r="J267" t="s">
        <v>2984</v>
      </c>
      <c r="K267" t="s">
        <v>3684</v>
      </c>
      <c r="L267" t="s">
        <v>3685</v>
      </c>
      <c r="M267" s="3" t="str">
        <f>HYPERLINK(СторонТрансп[[#This Row],[RelativePath]])</f>
        <v>7 Площадка 2 бетонщики\K07156189_18_20251129T161301Z.jpg</v>
      </c>
    </row>
    <row r="268" spans="1:13" x14ac:dyDescent="0.25">
      <c r="A268" t="s">
        <v>18</v>
      </c>
      <c r="B268" s="4">
        <v>45990</v>
      </c>
      <c r="C268" s="6">
        <v>0.67623842592592598</v>
      </c>
      <c r="D268" s="8" t="s">
        <v>289</v>
      </c>
      <c r="E268" t="s">
        <v>4195</v>
      </c>
      <c r="F268" t="s">
        <v>4211</v>
      </c>
      <c r="H268" t="s">
        <v>2936</v>
      </c>
      <c r="I268" t="s">
        <v>3686</v>
      </c>
      <c r="J268" t="s">
        <v>2984</v>
      </c>
      <c r="K268" t="s">
        <v>3687</v>
      </c>
      <c r="L268" t="s">
        <v>3688</v>
      </c>
      <c r="M268" s="3" t="str">
        <f>HYPERLINK(СторонТрансп[[#This Row],[RelativePath]])</f>
        <v>7 Площадка 2 бетонщики\K07156189_18_20251129T161347Z.jpg</v>
      </c>
    </row>
    <row r="269" spans="1:13" x14ac:dyDescent="0.25">
      <c r="A269" t="s">
        <v>18</v>
      </c>
      <c r="B269" s="4">
        <v>45990</v>
      </c>
      <c r="C269" s="6">
        <v>0.67753472222222222</v>
      </c>
      <c r="D269" s="8" t="s">
        <v>289</v>
      </c>
      <c r="E269" t="s">
        <v>4195</v>
      </c>
      <c r="F269" t="s">
        <v>4211</v>
      </c>
      <c r="H269" t="s">
        <v>2936</v>
      </c>
      <c r="I269" t="s">
        <v>3689</v>
      </c>
      <c r="J269" t="s">
        <v>2984</v>
      </c>
      <c r="K269" t="s">
        <v>3690</v>
      </c>
      <c r="L269" t="s">
        <v>3691</v>
      </c>
      <c r="M269" s="3" t="str">
        <f>HYPERLINK(СторонТрансп[[#This Row],[RelativePath]])</f>
        <v>7 Площадка 2 бетонщики\K07156189_18_20251129T161539Z.jpg</v>
      </c>
    </row>
    <row r="270" spans="1:13" x14ac:dyDescent="0.25">
      <c r="A270" t="s">
        <v>18</v>
      </c>
      <c r="B270" s="4">
        <v>45990</v>
      </c>
      <c r="C270" s="6">
        <v>0.68038194444444444</v>
      </c>
      <c r="D270" s="8" t="s">
        <v>289</v>
      </c>
      <c r="E270" t="s">
        <v>4195</v>
      </c>
      <c r="F270" t="s">
        <v>4211</v>
      </c>
      <c r="H270" t="s">
        <v>2936</v>
      </c>
      <c r="I270" t="s">
        <v>3692</v>
      </c>
      <c r="J270" t="s">
        <v>2984</v>
      </c>
      <c r="K270" t="s">
        <v>3693</v>
      </c>
      <c r="L270" t="s">
        <v>3694</v>
      </c>
      <c r="M270" s="3" t="str">
        <f>HYPERLINK(СторонТрансп[[#This Row],[RelativePath]])</f>
        <v>7 Площадка 2 бетонщики\K07156189_18_20251129T161945Z.jpg</v>
      </c>
    </row>
    <row r="271" spans="1:13" x14ac:dyDescent="0.25">
      <c r="A271" t="s">
        <v>18</v>
      </c>
      <c r="B271" s="4">
        <v>45990</v>
      </c>
      <c r="C271" s="6">
        <v>0.68329861111111112</v>
      </c>
      <c r="D271" s="8" t="s">
        <v>289</v>
      </c>
      <c r="E271" t="s">
        <v>4195</v>
      </c>
      <c r="F271" t="s">
        <v>4211</v>
      </c>
      <c r="H271" t="s">
        <v>2936</v>
      </c>
      <c r="I271" t="s">
        <v>3695</v>
      </c>
      <c r="J271" t="s">
        <v>2984</v>
      </c>
      <c r="K271" t="s">
        <v>3696</v>
      </c>
      <c r="L271" t="s">
        <v>3697</v>
      </c>
      <c r="M271" s="3" t="str">
        <f>HYPERLINK(СторонТрансп[[#This Row],[RelativePath]])</f>
        <v>7 Площадка 2 бетонщики\K07156189_18_20251129T162357Z.jpg</v>
      </c>
    </row>
    <row r="272" spans="1:13" x14ac:dyDescent="0.25">
      <c r="A272" t="s">
        <v>18</v>
      </c>
      <c r="B272" s="4">
        <v>45990</v>
      </c>
      <c r="C272" s="6">
        <v>0.68376157407407412</v>
      </c>
      <c r="D272" s="8" t="s">
        <v>289</v>
      </c>
      <c r="E272" t="s">
        <v>4195</v>
      </c>
      <c r="F272" t="s">
        <v>4211</v>
      </c>
      <c r="H272" t="s">
        <v>2936</v>
      </c>
      <c r="I272" t="s">
        <v>3698</v>
      </c>
      <c r="J272" t="s">
        <v>2984</v>
      </c>
      <c r="K272" t="s">
        <v>3699</v>
      </c>
      <c r="L272" t="s">
        <v>3700</v>
      </c>
      <c r="M272" s="3" t="str">
        <f>HYPERLINK(СторонТрансп[[#This Row],[RelativePath]])</f>
        <v>7 Площадка 2 бетонщики\K07156189_18_20251129T162437Z.jpg</v>
      </c>
    </row>
    <row r="273" spans="1:13" x14ac:dyDescent="0.25">
      <c r="A273" t="s">
        <v>18</v>
      </c>
      <c r="B273" s="4">
        <v>45990</v>
      </c>
      <c r="C273" s="6">
        <v>0.68625000000000003</v>
      </c>
      <c r="D273" s="8" t="s">
        <v>289</v>
      </c>
      <c r="E273" t="s">
        <v>4195</v>
      </c>
      <c r="F273" t="s">
        <v>4211</v>
      </c>
      <c r="H273" t="s">
        <v>2936</v>
      </c>
      <c r="I273" t="s">
        <v>3701</v>
      </c>
      <c r="J273" t="s">
        <v>2984</v>
      </c>
      <c r="K273" t="s">
        <v>3702</v>
      </c>
      <c r="L273" t="s">
        <v>3703</v>
      </c>
      <c r="M273" s="3" t="str">
        <f>HYPERLINK(СторонТрансп[[#This Row],[RelativePath]])</f>
        <v>7 Площадка 2 бетонщики\K07156189_18_20251129T162812Z.jpg</v>
      </c>
    </row>
    <row r="274" spans="1:13" x14ac:dyDescent="0.25">
      <c r="A274" t="s">
        <v>18</v>
      </c>
      <c r="B274" s="4">
        <v>45990</v>
      </c>
      <c r="C274" s="6">
        <v>0.68951388888888887</v>
      </c>
      <c r="D274" s="8" t="s">
        <v>289</v>
      </c>
      <c r="E274" t="s">
        <v>4195</v>
      </c>
      <c r="F274" t="s">
        <v>4211</v>
      </c>
      <c r="H274" t="s">
        <v>2936</v>
      </c>
      <c r="I274" t="s">
        <v>3704</v>
      </c>
      <c r="J274" t="s">
        <v>2984</v>
      </c>
      <c r="K274" t="s">
        <v>3705</v>
      </c>
      <c r="L274" t="s">
        <v>3706</v>
      </c>
      <c r="M274" s="3" t="str">
        <f>HYPERLINK(СторонТрансп[[#This Row],[RelativePath]])</f>
        <v>7 Площадка 2 бетонщики\K07156189_18_20251129T163254Z.jpg</v>
      </c>
    </row>
    <row r="275" spans="1:13" x14ac:dyDescent="0.25">
      <c r="A275" t="s">
        <v>18</v>
      </c>
      <c r="B275" s="4">
        <v>45990</v>
      </c>
      <c r="C275" s="6">
        <v>0.6917592592592593</v>
      </c>
      <c r="D275" s="8" t="s">
        <v>289</v>
      </c>
      <c r="E275" t="s">
        <v>4195</v>
      </c>
      <c r="F275" t="s">
        <v>4211</v>
      </c>
      <c r="H275" t="s">
        <v>2936</v>
      </c>
      <c r="I275" t="s">
        <v>3707</v>
      </c>
      <c r="J275" t="s">
        <v>2984</v>
      </c>
      <c r="K275" t="s">
        <v>3708</v>
      </c>
      <c r="L275" t="s">
        <v>3709</v>
      </c>
      <c r="M275" s="3" t="str">
        <f>HYPERLINK(СторонТрансп[[#This Row],[RelativePath]])</f>
        <v>7 Площадка 2 бетонщики\K07156189_18_20251129T163608Z.jpg</v>
      </c>
    </row>
    <row r="276" spans="1:13" x14ac:dyDescent="0.25">
      <c r="A276" t="s">
        <v>18</v>
      </c>
      <c r="B276" s="4">
        <v>45990</v>
      </c>
      <c r="C276" s="6">
        <v>0.69224537037037037</v>
      </c>
      <c r="D276" s="8" t="s">
        <v>289</v>
      </c>
      <c r="E276" t="s">
        <v>4195</v>
      </c>
      <c r="F276" t="s">
        <v>4211</v>
      </c>
      <c r="H276" t="s">
        <v>2936</v>
      </c>
      <c r="I276" t="s">
        <v>3710</v>
      </c>
      <c r="J276" t="s">
        <v>2984</v>
      </c>
      <c r="K276" t="s">
        <v>3711</v>
      </c>
      <c r="L276" t="s">
        <v>3712</v>
      </c>
      <c r="M276" s="3" t="str">
        <f>HYPERLINK(СторонТрансп[[#This Row],[RelativePath]])</f>
        <v>7 Площадка 2 бетонщики\K07156189_18_20251129T163650Z.jpg</v>
      </c>
    </row>
    <row r="277" spans="1:13" x14ac:dyDescent="0.25">
      <c r="A277" t="s">
        <v>18</v>
      </c>
      <c r="B277" s="4">
        <v>45990</v>
      </c>
      <c r="C277" s="6">
        <v>0.703587962962963</v>
      </c>
      <c r="D277" s="8" t="s">
        <v>471</v>
      </c>
      <c r="E277" t="s">
        <v>4195</v>
      </c>
      <c r="I277" t="s">
        <v>3713</v>
      </c>
      <c r="J277" t="s">
        <v>2984</v>
      </c>
      <c r="K277" t="s">
        <v>3714</v>
      </c>
      <c r="L277" t="s">
        <v>3715</v>
      </c>
      <c r="M277" s="3" t="str">
        <f>HYPERLINK(СторонТрансп[[#This Row],[RelativePath]])</f>
        <v>7 Площадка 2 бетонщики\K07156189_18_20251129T165310Z.jpg</v>
      </c>
    </row>
    <row r="278" spans="1:13" x14ac:dyDescent="0.25">
      <c r="A278" t="s">
        <v>18</v>
      </c>
      <c r="B278" s="4">
        <v>45990</v>
      </c>
      <c r="C278" s="6">
        <v>0.71069444444444441</v>
      </c>
      <c r="D278" s="8" t="s">
        <v>650</v>
      </c>
      <c r="E278" t="s">
        <v>4195</v>
      </c>
      <c r="F278" t="s">
        <v>4211</v>
      </c>
      <c r="H278" t="s">
        <v>4219</v>
      </c>
      <c r="I278" t="s">
        <v>3716</v>
      </c>
      <c r="J278" t="s">
        <v>2984</v>
      </c>
      <c r="K278" t="s">
        <v>3717</v>
      </c>
      <c r="L278" t="s">
        <v>3467</v>
      </c>
      <c r="M278" s="3" t="str">
        <f>HYPERLINK(СторонТрансп[[#This Row],[RelativePath]])</f>
        <v>7 Площадка 2 бетонщики\K07156189_18_20251129T170324Z.jpg</v>
      </c>
    </row>
    <row r="279" spans="1:13" x14ac:dyDescent="0.25">
      <c r="A279" t="s">
        <v>14</v>
      </c>
      <c r="B279" s="4">
        <v>45972</v>
      </c>
      <c r="C279" s="6">
        <v>0.46350694444444446</v>
      </c>
      <c r="D279" s="8" t="s">
        <v>1606</v>
      </c>
      <c r="E279" t="s">
        <v>63</v>
      </c>
      <c r="F279" t="s">
        <v>51</v>
      </c>
      <c r="I279" t="s">
        <v>1453</v>
      </c>
      <c r="J279" t="s">
        <v>2985</v>
      </c>
      <c r="K279" t="s">
        <v>1454</v>
      </c>
      <c r="L279" t="s">
        <v>1455</v>
      </c>
      <c r="M279" s="3" t="str">
        <f>HYPERLINK(СторонТрансп[[#This Row],[RelativePath]])</f>
        <v>10 Сушилка навес\E33149364_3_20251111T110727Z.jpg</v>
      </c>
    </row>
    <row r="280" spans="1:13" x14ac:dyDescent="0.25">
      <c r="A280" t="s">
        <v>14</v>
      </c>
      <c r="B280" s="4">
        <v>45972</v>
      </c>
      <c r="C280" s="6">
        <v>0.46743055555555557</v>
      </c>
      <c r="D280" s="8" t="s">
        <v>289</v>
      </c>
      <c r="E280" t="s">
        <v>63</v>
      </c>
      <c r="F280" t="s">
        <v>58</v>
      </c>
      <c r="H280" t="s">
        <v>1620</v>
      </c>
      <c r="I280" t="s">
        <v>1456</v>
      </c>
      <c r="J280" t="s">
        <v>2985</v>
      </c>
      <c r="K280" t="s">
        <v>1457</v>
      </c>
      <c r="L280" t="s">
        <v>1458</v>
      </c>
      <c r="M280" s="3" t="str">
        <f>HYPERLINK(СторонТрансп[[#This Row],[RelativePath]])</f>
        <v>10 Сушилка навес\E33149364_3_20251111T111306Z.jpg</v>
      </c>
    </row>
    <row r="281" spans="1:13" x14ac:dyDescent="0.25">
      <c r="A281" t="s">
        <v>14</v>
      </c>
      <c r="B281" s="4">
        <v>45972</v>
      </c>
      <c r="C281" s="6">
        <v>0.47805555555555557</v>
      </c>
      <c r="D281" s="8" t="s">
        <v>1999</v>
      </c>
      <c r="E281" t="s">
        <v>63</v>
      </c>
      <c r="F281" t="s">
        <v>58</v>
      </c>
      <c r="H281" t="s">
        <v>1620</v>
      </c>
      <c r="I281" t="s">
        <v>1459</v>
      </c>
      <c r="J281" t="s">
        <v>2985</v>
      </c>
      <c r="K281" t="s">
        <v>1460</v>
      </c>
      <c r="L281" t="s">
        <v>1461</v>
      </c>
      <c r="M281" s="3" t="str">
        <f>HYPERLINK(СторонТрансп[[#This Row],[RelativePath]])</f>
        <v>10 Сушилка навес\E33149364_3_20251111T112824Z.jpg</v>
      </c>
    </row>
    <row r="282" spans="1:13" x14ac:dyDescent="0.25">
      <c r="A282" t="s">
        <v>14</v>
      </c>
      <c r="B282" s="4">
        <v>45972</v>
      </c>
      <c r="C282" s="6">
        <v>0.48200231481481481</v>
      </c>
      <c r="D282" s="8" t="s">
        <v>1999</v>
      </c>
      <c r="E282" t="s">
        <v>63</v>
      </c>
      <c r="F282" t="s">
        <v>58</v>
      </c>
      <c r="H282" t="s">
        <v>1620</v>
      </c>
      <c r="I282" t="s">
        <v>1462</v>
      </c>
      <c r="J282" t="s">
        <v>2985</v>
      </c>
      <c r="K282" t="s">
        <v>1463</v>
      </c>
      <c r="L282" t="s">
        <v>1464</v>
      </c>
      <c r="M282" s="3" t="str">
        <f>HYPERLINK(СторонТрансп[[#This Row],[RelativePath]])</f>
        <v>10 Сушилка навес\E33149364_3_20251111T113405Z.jpg</v>
      </c>
    </row>
    <row r="283" spans="1:13" x14ac:dyDescent="0.25">
      <c r="A283" t="s">
        <v>14</v>
      </c>
      <c r="B283" s="4">
        <v>45972</v>
      </c>
      <c r="C283" s="6">
        <v>0.48243055555555553</v>
      </c>
      <c r="D283" s="8" t="s">
        <v>650</v>
      </c>
      <c r="E283" t="s">
        <v>63</v>
      </c>
      <c r="F283" t="s">
        <v>58</v>
      </c>
      <c r="I283" t="s">
        <v>1465</v>
      </c>
      <c r="J283" t="s">
        <v>2985</v>
      </c>
      <c r="K283" t="s">
        <v>1466</v>
      </c>
      <c r="L283" t="s">
        <v>1467</v>
      </c>
      <c r="M283" s="3" t="str">
        <f>HYPERLINK(СторонТрансп[[#This Row],[RelativePath]])</f>
        <v>10 Сушилка навес\E33149364_3_20251111T113442Z.jpg</v>
      </c>
    </row>
    <row r="284" spans="1:13" x14ac:dyDescent="0.25">
      <c r="A284" t="s">
        <v>15</v>
      </c>
      <c r="B284" s="4">
        <v>45987</v>
      </c>
      <c r="C284" s="6">
        <v>0.43567129629629631</v>
      </c>
      <c r="D284" s="8" t="s">
        <v>1606</v>
      </c>
      <c r="E284" t="s">
        <v>4192</v>
      </c>
      <c r="I284" t="s">
        <v>3962</v>
      </c>
      <c r="J284" t="s">
        <v>2985</v>
      </c>
      <c r="K284" t="s">
        <v>3963</v>
      </c>
      <c r="L284" t="s">
        <v>3964</v>
      </c>
      <c r="M284" s="3" t="str">
        <f>HYPERLINK(СторонТрансп[[#This Row],[RelativePath]])</f>
        <v>10 Сушилка навес\E33149364_3_20251126T102722Z.jpg</v>
      </c>
    </row>
    <row r="285" spans="1:13" x14ac:dyDescent="0.25">
      <c r="A285" t="s">
        <v>15</v>
      </c>
      <c r="B285" s="4">
        <v>45987</v>
      </c>
      <c r="C285" s="6">
        <v>0.44207175925925923</v>
      </c>
      <c r="D285" s="8" t="s">
        <v>289</v>
      </c>
      <c r="E285" t="s">
        <v>4192</v>
      </c>
      <c r="F285" t="s">
        <v>58</v>
      </c>
      <c r="H285" t="s">
        <v>1620</v>
      </c>
      <c r="I285" t="s">
        <v>3965</v>
      </c>
      <c r="J285" t="s">
        <v>2985</v>
      </c>
      <c r="K285" t="s">
        <v>3966</v>
      </c>
      <c r="L285" t="s">
        <v>3967</v>
      </c>
      <c r="M285" s="3" t="str">
        <f>HYPERLINK(СторонТрансп[[#This Row],[RelativePath]])</f>
        <v>10 Сушилка навес\E33149364_3_20251126T103635Z.jpg</v>
      </c>
    </row>
    <row r="286" spans="1:13" x14ac:dyDescent="0.25">
      <c r="A286" t="s">
        <v>15</v>
      </c>
      <c r="B286" s="4">
        <v>45987</v>
      </c>
      <c r="C286" s="6">
        <v>0.44216435185185188</v>
      </c>
      <c r="D286" s="8" t="s">
        <v>289</v>
      </c>
      <c r="E286" t="s">
        <v>4192</v>
      </c>
      <c r="F286" t="s">
        <v>58</v>
      </c>
      <c r="H286" t="s">
        <v>2936</v>
      </c>
      <c r="I286" t="s">
        <v>3968</v>
      </c>
      <c r="J286" t="s">
        <v>2985</v>
      </c>
      <c r="K286" t="s">
        <v>3969</v>
      </c>
      <c r="L286" t="s">
        <v>3970</v>
      </c>
      <c r="M286" s="3" t="str">
        <f>HYPERLINK(СторонТрансп[[#This Row],[RelativePath]])</f>
        <v>10 Сушилка навес\E33149364_3_20251126T103643Z.jpg</v>
      </c>
    </row>
    <row r="287" spans="1:13" x14ac:dyDescent="0.25">
      <c r="A287" t="s">
        <v>15</v>
      </c>
      <c r="B287" s="4">
        <v>45987</v>
      </c>
      <c r="C287" s="6">
        <v>0.44226851851851851</v>
      </c>
      <c r="D287" s="8" t="s">
        <v>289</v>
      </c>
      <c r="E287" t="s">
        <v>4192</v>
      </c>
      <c r="F287" t="s">
        <v>58</v>
      </c>
      <c r="H287" t="s">
        <v>2936</v>
      </c>
      <c r="I287" t="s">
        <v>3971</v>
      </c>
      <c r="J287" t="s">
        <v>2985</v>
      </c>
      <c r="K287" t="s">
        <v>3972</v>
      </c>
      <c r="L287" t="s">
        <v>3973</v>
      </c>
      <c r="M287" s="3" t="str">
        <f>HYPERLINK(СторонТрансп[[#This Row],[RelativePath]])</f>
        <v>10 Сушилка навес\E33149364_3_20251126T103652Z.jpg</v>
      </c>
    </row>
    <row r="288" spans="1:13" x14ac:dyDescent="0.25">
      <c r="A288" t="s">
        <v>15</v>
      </c>
      <c r="B288" s="4">
        <v>45987</v>
      </c>
      <c r="C288" s="6">
        <v>0.44241898148148145</v>
      </c>
      <c r="D288" s="8" t="s">
        <v>289</v>
      </c>
      <c r="E288" t="s">
        <v>4192</v>
      </c>
      <c r="F288" t="s">
        <v>58</v>
      </c>
      <c r="H288" t="s">
        <v>2936</v>
      </c>
      <c r="I288" t="s">
        <v>3974</v>
      </c>
      <c r="J288" t="s">
        <v>2985</v>
      </c>
      <c r="K288" t="s">
        <v>3975</v>
      </c>
      <c r="L288" t="s">
        <v>3976</v>
      </c>
      <c r="M288" s="3" t="str">
        <f>HYPERLINK(СторонТрансп[[#This Row],[RelativePath]])</f>
        <v>10 Сушилка навес\E33149364_3_20251126T103705Z.jpg</v>
      </c>
    </row>
    <row r="289" spans="1:13" x14ac:dyDescent="0.25">
      <c r="A289" t="s">
        <v>15</v>
      </c>
      <c r="B289" s="4">
        <v>45987</v>
      </c>
      <c r="C289" s="6">
        <v>0.44255787037037037</v>
      </c>
      <c r="D289" s="8" t="s">
        <v>289</v>
      </c>
      <c r="E289" t="s">
        <v>4192</v>
      </c>
      <c r="F289" t="s">
        <v>58</v>
      </c>
      <c r="H289" t="s">
        <v>2936</v>
      </c>
      <c r="I289" t="s">
        <v>3977</v>
      </c>
      <c r="J289" t="s">
        <v>2985</v>
      </c>
      <c r="K289" t="s">
        <v>3978</v>
      </c>
      <c r="L289" t="s">
        <v>3979</v>
      </c>
      <c r="M289" s="3" t="str">
        <f>HYPERLINK(СторонТрансп[[#This Row],[RelativePath]])</f>
        <v>10 Сушилка навес\E33149364_3_20251126T103717Z.jpg</v>
      </c>
    </row>
    <row r="290" spans="1:13" x14ac:dyDescent="0.25">
      <c r="A290" t="s">
        <v>15</v>
      </c>
      <c r="B290" s="4">
        <v>45987</v>
      </c>
      <c r="C290" s="6">
        <v>0.44269675925925928</v>
      </c>
      <c r="D290" s="8" t="s">
        <v>289</v>
      </c>
      <c r="E290" t="s">
        <v>4192</v>
      </c>
      <c r="F290" t="s">
        <v>58</v>
      </c>
      <c r="H290" t="s">
        <v>2936</v>
      </c>
      <c r="I290" t="s">
        <v>3980</v>
      </c>
      <c r="J290" t="s">
        <v>2985</v>
      </c>
      <c r="K290" t="s">
        <v>3981</v>
      </c>
      <c r="L290" t="s">
        <v>3982</v>
      </c>
      <c r="M290" s="3" t="str">
        <f>HYPERLINK(СторонТрансп[[#This Row],[RelativePath]])</f>
        <v>10 Сушилка навес\E33149364_3_20251126T103729Z.jpg</v>
      </c>
    </row>
    <row r="291" spans="1:13" x14ac:dyDescent="0.25">
      <c r="A291" t="s">
        <v>15</v>
      </c>
      <c r="B291" s="4">
        <v>45987</v>
      </c>
      <c r="C291" s="6">
        <v>0.44284722222222223</v>
      </c>
      <c r="D291" s="8" t="s">
        <v>289</v>
      </c>
      <c r="E291" t="s">
        <v>4192</v>
      </c>
      <c r="F291" t="s">
        <v>58</v>
      </c>
      <c r="H291" t="s">
        <v>2936</v>
      </c>
      <c r="I291" t="s">
        <v>3983</v>
      </c>
      <c r="J291" t="s">
        <v>2985</v>
      </c>
      <c r="K291" t="s">
        <v>3984</v>
      </c>
      <c r="L291" t="s">
        <v>3985</v>
      </c>
      <c r="M291" s="3" t="str">
        <f>HYPERLINK(СторонТрансп[[#This Row],[RelativePath]])</f>
        <v>10 Сушилка навес\E33149364_3_20251126T103742Z.jpg</v>
      </c>
    </row>
    <row r="292" spans="1:13" x14ac:dyDescent="0.25">
      <c r="A292" t="s">
        <v>15</v>
      </c>
      <c r="B292" s="4">
        <v>45987</v>
      </c>
      <c r="C292" s="6">
        <v>0.44359953703703703</v>
      </c>
      <c r="D292" s="8" t="s">
        <v>2013</v>
      </c>
      <c r="E292" t="s">
        <v>4192</v>
      </c>
      <c r="H292" t="s">
        <v>4236</v>
      </c>
      <c r="I292" t="s">
        <v>3986</v>
      </c>
      <c r="J292" t="s">
        <v>2985</v>
      </c>
      <c r="K292" t="s">
        <v>3987</v>
      </c>
      <c r="L292" t="s">
        <v>3988</v>
      </c>
      <c r="M292" s="3" t="str">
        <f>HYPERLINK(СторонТрансп[[#This Row],[RelativePath]])</f>
        <v>10 Сушилка навес\E33149364_3_20251126T103847Z.jpg</v>
      </c>
    </row>
    <row r="293" spans="1:13" x14ac:dyDescent="0.25">
      <c r="A293" t="s">
        <v>15</v>
      </c>
      <c r="B293" s="4">
        <v>45987</v>
      </c>
      <c r="C293" s="6">
        <v>0.44372685185185184</v>
      </c>
      <c r="D293" s="8" t="s">
        <v>289</v>
      </c>
      <c r="E293" t="s">
        <v>4192</v>
      </c>
      <c r="F293" t="s">
        <v>58</v>
      </c>
      <c r="I293" t="s">
        <v>3989</v>
      </c>
      <c r="J293" t="s">
        <v>2985</v>
      </c>
      <c r="K293" t="s">
        <v>3990</v>
      </c>
      <c r="L293" t="s">
        <v>3991</v>
      </c>
      <c r="M293" s="3" t="str">
        <f>HYPERLINK(СторонТрансп[[#This Row],[RelativePath]])</f>
        <v>10 Сушилка навес\E33149364_3_20251126T103858Z.jpg</v>
      </c>
    </row>
    <row r="294" spans="1:13" x14ac:dyDescent="0.25">
      <c r="A294" t="s">
        <v>15</v>
      </c>
      <c r="B294" s="4">
        <v>45987</v>
      </c>
      <c r="C294" s="6">
        <v>0.44473379629629628</v>
      </c>
      <c r="D294" s="8" t="s">
        <v>289</v>
      </c>
      <c r="E294" t="s">
        <v>4192</v>
      </c>
      <c r="F294" t="s">
        <v>58</v>
      </c>
      <c r="H294" t="s">
        <v>2936</v>
      </c>
      <c r="I294" t="s">
        <v>3992</v>
      </c>
      <c r="J294" t="s">
        <v>2985</v>
      </c>
      <c r="K294" t="s">
        <v>3993</v>
      </c>
      <c r="L294" t="s">
        <v>3994</v>
      </c>
      <c r="M294" s="3" t="str">
        <f>HYPERLINK(СторонТрансп[[#This Row],[RelativePath]])</f>
        <v>10 Сушилка навес\E33149364_3_20251126T104025Z.jpg</v>
      </c>
    </row>
    <row r="295" spans="1:13" x14ac:dyDescent="0.25">
      <c r="A295" t="s">
        <v>15</v>
      </c>
      <c r="B295" s="4">
        <v>45987</v>
      </c>
      <c r="C295" s="6">
        <v>0.44495370370370368</v>
      </c>
      <c r="D295" s="8" t="s">
        <v>289</v>
      </c>
      <c r="E295" t="s">
        <v>4192</v>
      </c>
      <c r="F295" t="s">
        <v>58</v>
      </c>
      <c r="H295" t="s">
        <v>2936</v>
      </c>
      <c r="I295" t="s">
        <v>3995</v>
      </c>
      <c r="J295" t="s">
        <v>2985</v>
      </c>
      <c r="K295" t="s">
        <v>3996</v>
      </c>
      <c r="L295" t="s">
        <v>3997</v>
      </c>
      <c r="M295" s="3" t="str">
        <f>HYPERLINK(СторонТрансп[[#This Row],[RelativePath]])</f>
        <v>10 Сушилка навес\E33149364_3_20251126T104044Z.jpg</v>
      </c>
    </row>
    <row r="296" spans="1:13" x14ac:dyDescent="0.25">
      <c r="A296" t="s">
        <v>15</v>
      </c>
      <c r="B296" s="4">
        <v>45987</v>
      </c>
      <c r="C296" s="6">
        <v>0.44578703703703704</v>
      </c>
      <c r="D296" s="8" t="s">
        <v>4232</v>
      </c>
      <c r="E296" t="s">
        <v>4192</v>
      </c>
      <c r="F296" t="s">
        <v>58</v>
      </c>
      <c r="I296" t="s">
        <v>3998</v>
      </c>
      <c r="J296" t="s">
        <v>2985</v>
      </c>
      <c r="K296" t="s">
        <v>3999</v>
      </c>
      <c r="L296" t="s">
        <v>4000</v>
      </c>
      <c r="M296" s="3" t="str">
        <f>HYPERLINK(СторонТрансп[[#This Row],[RelativePath]])</f>
        <v>10 Сушилка навес\E33149364_3_20251126T104156Z.jpg</v>
      </c>
    </row>
    <row r="297" spans="1:13" x14ac:dyDescent="0.25">
      <c r="A297" t="s">
        <v>15</v>
      </c>
      <c r="B297" s="4">
        <v>45987</v>
      </c>
      <c r="C297" s="6">
        <v>0.44631944444444444</v>
      </c>
      <c r="D297" s="8" t="s">
        <v>2013</v>
      </c>
      <c r="E297" t="s">
        <v>4192</v>
      </c>
      <c r="H297" t="s">
        <v>4237</v>
      </c>
      <c r="I297" t="s">
        <v>4001</v>
      </c>
      <c r="J297" t="s">
        <v>2985</v>
      </c>
      <c r="K297" t="s">
        <v>4002</v>
      </c>
      <c r="L297" t="s">
        <v>4003</v>
      </c>
      <c r="M297" s="3" t="str">
        <f>HYPERLINK(СторонТрансп[[#This Row],[RelativePath]])</f>
        <v>10 Сушилка навес\E33149364_3_20251126T104242Z.jpg</v>
      </c>
    </row>
    <row r="298" spans="1:13" x14ac:dyDescent="0.25">
      <c r="A298" t="s">
        <v>15</v>
      </c>
      <c r="B298" s="4">
        <v>45987</v>
      </c>
      <c r="C298" s="6">
        <v>0.4475925925925926</v>
      </c>
      <c r="D298" s="8" t="s">
        <v>289</v>
      </c>
      <c r="E298" t="s">
        <v>4192</v>
      </c>
      <c r="F298" t="s">
        <v>58</v>
      </c>
      <c r="I298" t="s">
        <v>4004</v>
      </c>
      <c r="J298" t="s">
        <v>2985</v>
      </c>
      <c r="K298" t="s">
        <v>4005</v>
      </c>
      <c r="L298" t="s">
        <v>4006</v>
      </c>
      <c r="M298" s="3" t="str">
        <f>HYPERLINK(СторонТрансп[[#This Row],[RelativePath]])</f>
        <v>10 Сушилка навес\E33149364_3_20251126T104432Z.jpg</v>
      </c>
    </row>
    <row r="299" spans="1:13" x14ac:dyDescent="0.25">
      <c r="A299" t="s">
        <v>15</v>
      </c>
      <c r="B299" s="4">
        <v>45987</v>
      </c>
      <c r="C299" s="6">
        <v>0.44767361111111109</v>
      </c>
      <c r="D299" s="8" t="s">
        <v>289</v>
      </c>
      <c r="E299" t="s">
        <v>4192</v>
      </c>
      <c r="F299" t="s">
        <v>58</v>
      </c>
      <c r="H299" t="s">
        <v>2936</v>
      </c>
      <c r="I299" t="s">
        <v>4007</v>
      </c>
      <c r="J299" t="s">
        <v>2985</v>
      </c>
      <c r="K299" t="s">
        <v>4008</v>
      </c>
      <c r="L299" t="s">
        <v>4009</v>
      </c>
      <c r="M299" s="3" t="str">
        <f>HYPERLINK(СторонТрансп[[#This Row],[RelativePath]])</f>
        <v>10 Сушилка навес\E33149364_3_20251126T104439Z.jpg</v>
      </c>
    </row>
    <row r="300" spans="1:13" x14ac:dyDescent="0.25">
      <c r="A300" t="s">
        <v>15</v>
      </c>
      <c r="B300" s="4">
        <v>45987</v>
      </c>
      <c r="C300" s="6">
        <v>0.4478125</v>
      </c>
      <c r="D300" s="8" t="s">
        <v>289</v>
      </c>
      <c r="E300" t="s">
        <v>4192</v>
      </c>
      <c r="F300" t="s">
        <v>58</v>
      </c>
      <c r="H300" t="s">
        <v>2936</v>
      </c>
      <c r="I300" t="s">
        <v>4010</v>
      </c>
      <c r="J300" t="s">
        <v>2985</v>
      </c>
      <c r="K300" t="s">
        <v>4011</v>
      </c>
      <c r="L300" t="s">
        <v>4012</v>
      </c>
      <c r="M300" s="3" t="str">
        <f>HYPERLINK(СторонТрансп[[#This Row],[RelativePath]])</f>
        <v>10 Сушилка навес\E33149364_3_20251126T104451Z.jpg</v>
      </c>
    </row>
    <row r="301" spans="1:13" x14ac:dyDescent="0.25">
      <c r="A301" t="s">
        <v>15</v>
      </c>
      <c r="B301" s="4">
        <v>45987</v>
      </c>
      <c r="C301" s="6">
        <v>0.45056712962962964</v>
      </c>
      <c r="D301" s="8" t="s">
        <v>289</v>
      </c>
      <c r="E301" t="s">
        <v>4192</v>
      </c>
      <c r="F301" t="s">
        <v>58</v>
      </c>
      <c r="H301" t="s">
        <v>2936</v>
      </c>
      <c r="I301" t="s">
        <v>4013</v>
      </c>
      <c r="J301" t="s">
        <v>2985</v>
      </c>
      <c r="K301" t="s">
        <v>4014</v>
      </c>
      <c r="L301" t="s">
        <v>4015</v>
      </c>
      <c r="M301" s="3" t="str">
        <f>HYPERLINK(СторонТрансп[[#This Row],[RelativePath]])</f>
        <v>10 Сушилка навес\E33149364_3_20251126T104849Z.jpg</v>
      </c>
    </row>
    <row r="302" spans="1:13" x14ac:dyDescent="0.25">
      <c r="A302" t="s">
        <v>15</v>
      </c>
      <c r="B302" s="4">
        <v>45987</v>
      </c>
      <c r="C302" s="6">
        <v>0.45187500000000003</v>
      </c>
      <c r="D302" s="8" t="s">
        <v>4235</v>
      </c>
      <c r="E302" t="s">
        <v>4192</v>
      </c>
      <c r="F302" t="s">
        <v>58</v>
      </c>
      <c r="I302" t="s">
        <v>4016</v>
      </c>
      <c r="J302" t="s">
        <v>2985</v>
      </c>
      <c r="K302" t="s">
        <v>4017</v>
      </c>
      <c r="L302" t="s">
        <v>4018</v>
      </c>
      <c r="M302" s="3" t="str">
        <f>HYPERLINK(СторонТрансп[[#This Row],[RelativePath]])</f>
        <v>10 Сушилка навес\E33149364_3_20251126T105042Z.jpg</v>
      </c>
    </row>
    <row r="303" spans="1:13" x14ac:dyDescent="0.25">
      <c r="A303" t="s">
        <v>22</v>
      </c>
      <c r="B303" s="4">
        <v>45998</v>
      </c>
      <c r="C303" s="6">
        <v>0.59520833333333334</v>
      </c>
      <c r="D303" s="8" t="s">
        <v>1606</v>
      </c>
      <c r="E303" t="s">
        <v>5263</v>
      </c>
      <c r="F303" t="s">
        <v>51</v>
      </c>
      <c r="I303" t="s">
        <v>5184</v>
      </c>
      <c r="J303" t="s">
        <v>2985</v>
      </c>
      <c r="K303" t="s">
        <v>5185</v>
      </c>
      <c r="L303" t="s">
        <v>5186</v>
      </c>
      <c r="M303" s="3" t="str">
        <f>HYPERLINK(СторонТрансп[[#This Row],[RelativePath]])</f>
        <v>10 Сушилка навес\E33149364_3_20251207T141706Z.jpg</v>
      </c>
    </row>
    <row r="304" spans="1:13" x14ac:dyDescent="0.25">
      <c r="A304" t="s">
        <v>22</v>
      </c>
      <c r="B304" s="4">
        <v>45998</v>
      </c>
      <c r="C304" s="6">
        <v>0.60039351851851852</v>
      </c>
      <c r="D304" s="8" t="s">
        <v>289</v>
      </c>
      <c r="E304" t="s">
        <v>5263</v>
      </c>
      <c r="F304" t="s">
        <v>4233</v>
      </c>
      <c r="I304" t="s">
        <v>5187</v>
      </c>
      <c r="J304" t="s">
        <v>2985</v>
      </c>
      <c r="K304" t="s">
        <v>5188</v>
      </c>
      <c r="L304" t="s">
        <v>5189</v>
      </c>
      <c r="M304" s="3" t="str">
        <f>HYPERLINK(СторонТрансп[[#This Row],[RelativePath]])</f>
        <v>10 Сушилка навес\E33149364_3_20251207T142434Z.jpg</v>
      </c>
    </row>
    <row r="305" spans="1:13" x14ac:dyDescent="0.25">
      <c r="A305" t="s">
        <v>22</v>
      </c>
      <c r="B305" s="4">
        <v>45998</v>
      </c>
      <c r="C305" s="6">
        <v>0.60648148148148151</v>
      </c>
      <c r="D305" s="8" t="s">
        <v>289</v>
      </c>
      <c r="E305" t="s">
        <v>5263</v>
      </c>
      <c r="F305" t="s">
        <v>4233</v>
      </c>
      <c r="H305" t="s">
        <v>2936</v>
      </c>
      <c r="I305" t="s">
        <v>5190</v>
      </c>
      <c r="J305" t="s">
        <v>2985</v>
      </c>
      <c r="K305" t="s">
        <v>5191</v>
      </c>
      <c r="L305" t="s">
        <v>5192</v>
      </c>
      <c r="M305" s="3" t="str">
        <f>HYPERLINK(СторонТрансп[[#This Row],[RelativePath]])</f>
        <v>10 Сушилка навес\E33149364_3_20251207T143320Z.jpg</v>
      </c>
    </row>
    <row r="306" spans="1:13" x14ac:dyDescent="0.25">
      <c r="A306" t="s">
        <v>22</v>
      </c>
      <c r="B306" s="4">
        <v>45998</v>
      </c>
      <c r="C306" s="6">
        <v>0.61306712962962961</v>
      </c>
      <c r="D306" s="8" t="s">
        <v>4232</v>
      </c>
      <c r="E306" t="s">
        <v>5263</v>
      </c>
      <c r="F306" t="s">
        <v>4233</v>
      </c>
      <c r="I306" t="s">
        <v>5193</v>
      </c>
      <c r="J306" t="s">
        <v>2985</v>
      </c>
      <c r="K306" t="s">
        <v>5194</v>
      </c>
      <c r="L306" t="s">
        <v>5195</v>
      </c>
      <c r="M306" s="3" t="str">
        <f>HYPERLINK(СторонТрансп[[#This Row],[RelativePath]])</f>
        <v>10 Сушилка навес\E33149364_3_20251207T144249Z.jpg</v>
      </c>
    </row>
    <row r="307" spans="1:13" x14ac:dyDescent="0.25">
      <c r="A307" t="s">
        <v>18</v>
      </c>
      <c r="B307" s="4">
        <v>46004</v>
      </c>
      <c r="C307" s="6">
        <v>0.38762731481481483</v>
      </c>
      <c r="D307" s="8" t="s">
        <v>4</v>
      </c>
      <c r="E307" t="s">
        <v>6169</v>
      </c>
      <c r="I307" t="s">
        <v>6097</v>
      </c>
      <c r="J307" t="s">
        <v>2985</v>
      </c>
      <c r="K307" t="s">
        <v>6098</v>
      </c>
      <c r="L307" t="s">
        <v>6099</v>
      </c>
      <c r="M307" s="3" t="str">
        <f>HYPERLINK(СторонТрансп[[#This Row],[RelativePath]])</f>
        <v>10 Сушилка навес\E33149364_3_20251213T091811Z.jpg</v>
      </c>
    </row>
    <row r="308" spans="1:13" x14ac:dyDescent="0.25">
      <c r="A308" t="s">
        <v>18</v>
      </c>
      <c r="B308" s="4">
        <v>46004</v>
      </c>
      <c r="C308" s="6">
        <v>0.55000000000000004</v>
      </c>
      <c r="D308" s="8" t="s">
        <v>4</v>
      </c>
      <c r="E308" t="s">
        <v>6169</v>
      </c>
      <c r="I308" t="s">
        <v>6103</v>
      </c>
      <c r="J308" t="s">
        <v>2985</v>
      </c>
      <c r="K308" t="s">
        <v>6104</v>
      </c>
      <c r="L308" t="s">
        <v>6105</v>
      </c>
      <c r="M308" s="3" t="str">
        <f>HYPERLINK(СторонТрансп[[#This Row],[RelativePath]])</f>
        <v>10 Сушилка навес\E33149364_3_20251213T131200Z.jpg</v>
      </c>
    </row>
    <row r="309" spans="1:13" x14ac:dyDescent="0.25">
      <c r="A309" t="s">
        <v>15</v>
      </c>
      <c r="B309" s="4">
        <v>45973</v>
      </c>
      <c r="C309" s="6">
        <v>0.69604166666666667</v>
      </c>
      <c r="D309" s="8" t="s">
        <v>1606</v>
      </c>
      <c r="E309" t="s">
        <v>66</v>
      </c>
      <c r="F309" t="s">
        <v>69</v>
      </c>
      <c r="I309" t="s">
        <v>1748</v>
      </c>
      <c r="J309" t="s">
        <v>2986</v>
      </c>
      <c r="K309" t="s">
        <v>1749</v>
      </c>
      <c r="L309" t="s">
        <v>1750</v>
      </c>
      <c r="M309" s="3" t="str">
        <f>HYPERLINK(СторонТрансп[[#This Row],[RelativePath]])</f>
        <v>11 С ангара на базу\E33149364_4_20251112T164218Z.jpg</v>
      </c>
    </row>
    <row r="310" spans="1:13" x14ac:dyDescent="0.25">
      <c r="A310" t="s">
        <v>15</v>
      </c>
      <c r="B310" s="4">
        <v>45973</v>
      </c>
      <c r="C310" s="6">
        <v>0.69677083333333334</v>
      </c>
      <c r="D310" s="8" t="s">
        <v>290</v>
      </c>
      <c r="E310" t="s">
        <v>66</v>
      </c>
      <c r="F310" t="s">
        <v>69</v>
      </c>
      <c r="I310" t="s">
        <v>1751</v>
      </c>
      <c r="J310" t="s">
        <v>2986</v>
      </c>
      <c r="K310" t="s">
        <v>1752</v>
      </c>
      <c r="L310" t="s">
        <v>1753</v>
      </c>
      <c r="M310" s="3" t="str">
        <f>HYPERLINK(СторонТрансп[[#This Row],[RelativePath]])</f>
        <v>11 С ангара на базу\E33149364_4_20251112T164321Z.jpg</v>
      </c>
    </row>
    <row r="311" spans="1:13" x14ac:dyDescent="0.25">
      <c r="A311" t="s">
        <v>15</v>
      </c>
      <c r="B311" s="4">
        <v>45973</v>
      </c>
      <c r="C311" s="6">
        <v>0.70961805555555557</v>
      </c>
      <c r="D311" s="8" t="s">
        <v>650</v>
      </c>
      <c r="E311" t="s">
        <v>66</v>
      </c>
      <c r="F311" t="s">
        <v>51</v>
      </c>
      <c r="I311" t="s">
        <v>1754</v>
      </c>
      <c r="J311" t="s">
        <v>2986</v>
      </c>
      <c r="K311" t="s">
        <v>1755</v>
      </c>
      <c r="L311" t="s">
        <v>1756</v>
      </c>
      <c r="M311" s="3" t="str">
        <f>HYPERLINK(СторонТрансп[[#This Row],[RelativePath]])</f>
        <v>11 С ангара на базу\E33149364_4_20251112T170151Z.jpg</v>
      </c>
    </row>
    <row r="312" spans="1:13" x14ac:dyDescent="0.25">
      <c r="A312" t="s">
        <v>15</v>
      </c>
      <c r="B312" s="4">
        <v>45987</v>
      </c>
      <c r="C312" s="6">
        <v>0.44723379629629628</v>
      </c>
      <c r="D312" s="8" t="s">
        <v>289</v>
      </c>
      <c r="E312" t="s">
        <v>4192</v>
      </c>
      <c r="F312" t="s">
        <v>58</v>
      </c>
      <c r="I312" t="s">
        <v>4094</v>
      </c>
      <c r="J312" t="s">
        <v>2986</v>
      </c>
      <c r="K312" t="s">
        <v>4095</v>
      </c>
      <c r="L312" t="s">
        <v>4096</v>
      </c>
      <c r="M312" s="3" t="str">
        <f>HYPERLINK(СторонТрансп[[#This Row],[RelativePath]])</f>
        <v>11 С ангара на базу\E33149364_4_20251126T104401Z.jpg</v>
      </c>
    </row>
    <row r="313" spans="1:13" x14ac:dyDescent="0.25">
      <c r="A313" t="s">
        <v>15</v>
      </c>
      <c r="B313" s="4">
        <v>45987</v>
      </c>
      <c r="C313" s="6">
        <v>0.44848379629629631</v>
      </c>
      <c r="D313" s="8" t="s">
        <v>289</v>
      </c>
      <c r="E313" t="s">
        <v>4192</v>
      </c>
      <c r="F313" t="s">
        <v>58</v>
      </c>
      <c r="H313" t="s">
        <v>2936</v>
      </c>
      <c r="I313" t="s">
        <v>4097</v>
      </c>
      <c r="J313" t="s">
        <v>2986</v>
      </c>
      <c r="K313" t="s">
        <v>4098</v>
      </c>
      <c r="L313" t="s">
        <v>4099</v>
      </c>
      <c r="M313" s="3" t="str">
        <f>HYPERLINK(СторонТрансп[[#This Row],[RelativePath]])</f>
        <v>11 С ангара на базу\E33149364_4_20251126T104549Z.jpg</v>
      </c>
    </row>
    <row r="314" spans="1:13" x14ac:dyDescent="0.25">
      <c r="A314" t="s">
        <v>15</v>
      </c>
      <c r="B314" s="4">
        <v>45987</v>
      </c>
      <c r="C314" s="6">
        <v>0.44864583333333335</v>
      </c>
      <c r="D314" s="8" t="s">
        <v>289</v>
      </c>
      <c r="E314" t="s">
        <v>4192</v>
      </c>
      <c r="F314" t="s">
        <v>58</v>
      </c>
      <c r="H314" t="s">
        <v>2936</v>
      </c>
      <c r="I314" t="s">
        <v>4100</v>
      </c>
      <c r="J314" t="s">
        <v>2986</v>
      </c>
      <c r="K314" t="s">
        <v>4101</v>
      </c>
      <c r="L314" t="s">
        <v>4102</v>
      </c>
      <c r="M314" s="3" t="str">
        <f>HYPERLINK(СторонТрансп[[#This Row],[RelativePath]])</f>
        <v>11 С ангара на базу\E33149364_4_20251126T104603Z.jpg</v>
      </c>
    </row>
    <row r="315" spans="1:13" x14ac:dyDescent="0.25">
      <c r="A315" t="s">
        <v>15</v>
      </c>
      <c r="B315" s="4">
        <v>45987</v>
      </c>
      <c r="C315" s="6">
        <v>0.44947916666666665</v>
      </c>
      <c r="D315" s="8" t="s">
        <v>289</v>
      </c>
      <c r="E315" t="s">
        <v>4192</v>
      </c>
      <c r="F315" t="s">
        <v>58</v>
      </c>
      <c r="H315" t="s">
        <v>2936</v>
      </c>
      <c r="I315" t="s">
        <v>4103</v>
      </c>
      <c r="J315" t="s">
        <v>2986</v>
      </c>
      <c r="K315" t="s">
        <v>4104</v>
      </c>
      <c r="L315" t="s">
        <v>4105</v>
      </c>
      <c r="M315" s="3" t="str">
        <f>HYPERLINK(СторонТрансп[[#This Row],[RelativePath]])</f>
        <v>11 С ангара на базу\E33149364_4_20251126T104715Z.jpg</v>
      </c>
    </row>
    <row r="316" spans="1:13" x14ac:dyDescent="0.25">
      <c r="A316" t="s">
        <v>22</v>
      </c>
      <c r="B316" s="4">
        <v>45998</v>
      </c>
      <c r="C316" s="6">
        <v>0.59843749999999996</v>
      </c>
      <c r="D316" s="8" t="s">
        <v>5265</v>
      </c>
      <c r="E316" t="s">
        <v>5263</v>
      </c>
      <c r="F316" t="s">
        <v>4233</v>
      </c>
      <c r="I316" t="s">
        <v>5199</v>
      </c>
      <c r="J316" t="s">
        <v>2986</v>
      </c>
      <c r="K316" t="s">
        <v>5200</v>
      </c>
      <c r="L316" t="s">
        <v>5201</v>
      </c>
      <c r="M316" s="3" t="str">
        <f>HYPERLINK(СторонТрансп[[#This Row],[RelativePath]])</f>
        <v>11 С ангара на базу\E33149364_4_20251207T142145Z.jpg</v>
      </c>
    </row>
    <row r="317" spans="1:13" x14ac:dyDescent="0.25">
      <c r="A317" t="s">
        <v>22</v>
      </c>
      <c r="B317" s="4">
        <v>45998</v>
      </c>
      <c r="C317" s="6">
        <v>0.60221064814814818</v>
      </c>
      <c r="D317" s="8" t="s">
        <v>5265</v>
      </c>
      <c r="E317" t="s">
        <v>5263</v>
      </c>
      <c r="F317" t="s">
        <v>4233</v>
      </c>
      <c r="H317" t="s">
        <v>2936</v>
      </c>
      <c r="I317" t="s">
        <v>5202</v>
      </c>
      <c r="J317" t="s">
        <v>2986</v>
      </c>
      <c r="K317" t="s">
        <v>5203</v>
      </c>
      <c r="L317" t="s">
        <v>5204</v>
      </c>
      <c r="M317" s="3" t="str">
        <f>HYPERLINK(СторонТрансп[[#This Row],[RelativePath]])</f>
        <v>11 С ангара на базу\E33149364_4_20251207T142711Z.jpg</v>
      </c>
    </row>
    <row r="318" spans="1:13" x14ac:dyDescent="0.25">
      <c r="A318" t="s">
        <v>22</v>
      </c>
      <c r="B318" s="4">
        <v>45998</v>
      </c>
      <c r="C318" s="6">
        <v>0.60230324074074071</v>
      </c>
      <c r="D318" s="8" t="s">
        <v>5265</v>
      </c>
      <c r="E318" t="s">
        <v>5263</v>
      </c>
      <c r="F318" t="s">
        <v>4233</v>
      </c>
      <c r="H318" t="s">
        <v>2936</v>
      </c>
      <c r="I318" t="s">
        <v>5205</v>
      </c>
      <c r="J318" t="s">
        <v>2986</v>
      </c>
      <c r="K318" t="s">
        <v>5206</v>
      </c>
      <c r="L318" t="s">
        <v>5207</v>
      </c>
      <c r="M318" s="3" t="str">
        <f>HYPERLINK(СторонТрансп[[#This Row],[RelativePath]])</f>
        <v>11 С ангара на базу\E33149364_4_20251207T142719Z.jpg</v>
      </c>
    </row>
    <row r="319" spans="1:13" x14ac:dyDescent="0.25">
      <c r="A319" t="s">
        <v>22</v>
      </c>
      <c r="B319" s="4">
        <v>45998</v>
      </c>
      <c r="C319" s="6">
        <v>0.60530092592592588</v>
      </c>
      <c r="D319" s="8" t="s">
        <v>5265</v>
      </c>
      <c r="E319" t="s">
        <v>5263</v>
      </c>
      <c r="F319" t="s">
        <v>4233</v>
      </c>
      <c r="H319" t="s">
        <v>2936</v>
      </c>
      <c r="I319" t="s">
        <v>5208</v>
      </c>
      <c r="J319" t="s">
        <v>2986</v>
      </c>
      <c r="K319" t="s">
        <v>5209</v>
      </c>
      <c r="L319" t="s">
        <v>5210</v>
      </c>
      <c r="M319" s="3" t="str">
        <f>HYPERLINK(СторонТрансп[[#This Row],[RelativePath]])</f>
        <v>11 С ангара на базу\E33149364_4_20251207T143138Z.jpg</v>
      </c>
    </row>
    <row r="320" spans="1:13" x14ac:dyDescent="0.25">
      <c r="A320" t="s">
        <v>22</v>
      </c>
      <c r="B320" s="4">
        <v>45998</v>
      </c>
      <c r="C320" s="6">
        <v>0.6055787037037037</v>
      </c>
      <c r="D320" s="8" t="s">
        <v>5265</v>
      </c>
      <c r="E320" t="s">
        <v>5263</v>
      </c>
      <c r="F320" t="s">
        <v>4233</v>
      </c>
      <c r="H320" t="s">
        <v>2936</v>
      </c>
      <c r="I320" t="s">
        <v>5211</v>
      </c>
      <c r="J320" t="s">
        <v>2986</v>
      </c>
      <c r="K320" t="s">
        <v>5212</v>
      </c>
      <c r="L320" t="s">
        <v>5213</v>
      </c>
      <c r="M320" s="3" t="str">
        <f>HYPERLINK(СторонТрансп[[#This Row],[RelativePath]])</f>
        <v>11 С ангара на базу\E33149364_4_20251207T143202Z.jpg</v>
      </c>
    </row>
    <row r="321" spans="1:13" x14ac:dyDescent="0.25">
      <c r="A321" t="s">
        <v>22</v>
      </c>
      <c r="B321" s="4">
        <v>45998</v>
      </c>
      <c r="C321" s="6">
        <v>0.6134722222222222</v>
      </c>
      <c r="D321" s="8" t="s">
        <v>4235</v>
      </c>
      <c r="E321" t="s">
        <v>5263</v>
      </c>
      <c r="F321" t="s">
        <v>4233</v>
      </c>
      <c r="I321" t="s">
        <v>5214</v>
      </c>
      <c r="J321" t="s">
        <v>2986</v>
      </c>
      <c r="K321" t="s">
        <v>5215</v>
      </c>
      <c r="L321" t="s">
        <v>5216</v>
      </c>
      <c r="M321" s="3" t="str">
        <f>HYPERLINK(СторонТрансп[[#This Row],[RelativePath]])</f>
        <v>11 С ангара на базу\E33149364_4_20251207T144324Z.jpg</v>
      </c>
    </row>
    <row r="322" spans="1:13" x14ac:dyDescent="0.25">
      <c r="A322" t="s">
        <v>18</v>
      </c>
      <c r="B322" s="4">
        <v>46004</v>
      </c>
      <c r="C322" s="6">
        <v>0.38579861111111113</v>
      </c>
      <c r="D322" s="8" t="s">
        <v>1606</v>
      </c>
      <c r="E322" t="s">
        <v>6169</v>
      </c>
      <c r="F322" t="s">
        <v>6188</v>
      </c>
      <c r="H322" t="s">
        <v>6166</v>
      </c>
      <c r="I322" t="s">
        <v>6109</v>
      </c>
      <c r="J322" t="s">
        <v>2986</v>
      </c>
      <c r="K322" t="s">
        <v>6110</v>
      </c>
      <c r="L322" t="s">
        <v>6111</v>
      </c>
      <c r="M322" s="3" t="str">
        <f>HYPERLINK(СторонТрансп[[#This Row],[RelativePath]])</f>
        <v>11 С ангара на базу\E33149364_4_20251213T091533Z.jpg</v>
      </c>
    </row>
    <row r="323" spans="1:13" x14ac:dyDescent="0.25">
      <c r="A323" t="s">
        <v>18</v>
      </c>
      <c r="B323" s="4">
        <v>46004</v>
      </c>
      <c r="C323" s="6">
        <v>0.38621527777777775</v>
      </c>
      <c r="D323" s="8" t="s">
        <v>6189</v>
      </c>
      <c r="E323" t="s">
        <v>6169</v>
      </c>
      <c r="I323" t="s">
        <v>6112</v>
      </c>
      <c r="J323" t="s">
        <v>2986</v>
      </c>
      <c r="K323" t="s">
        <v>6113</v>
      </c>
      <c r="L323" t="s">
        <v>6114</v>
      </c>
      <c r="M323" s="3" t="str">
        <f>HYPERLINK(СторонТрансп[[#This Row],[RelativePath]])</f>
        <v>11 С ангара на базу\E33149364_4_20251213T091609Z.jpg</v>
      </c>
    </row>
    <row r="324" spans="1:13" x14ac:dyDescent="0.25">
      <c r="A324" t="s">
        <v>18</v>
      </c>
      <c r="B324" s="4">
        <v>46004</v>
      </c>
      <c r="C324" s="6">
        <v>0.39291666666666669</v>
      </c>
      <c r="D324" s="8" t="s">
        <v>289</v>
      </c>
      <c r="E324" t="s">
        <v>6169</v>
      </c>
      <c r="F324" t="s">
        <v>6190</v>
      </c>
      <c r="H324" t="s">
        <v>2936</v>
      </c>
      <c r="I324" t="s">
        <v>6115</v>
      </c>
      <c r="J324" t="s">
        <v>2986</v>
      </c>
      <c r="K324" t="s">
        <v>6116</v>
      </c>
      <c r="L324" t="s">
        <v>6117</v>
      </c>
      <c r="M324" s="3" t="str">
        <f>HYPERLINK(СторонТрансп[[#This Row],[RelativePath]])</f>
        <v>11 С ангара на базу\E33149364_4_20251213T092548Z.jpg</v>
      </c>
    </row>
    <row r="325" spans="1:13" x14ac:dyDescent="0.25">
      <c r="A325" t="s">
        <v>18</v>
      </c>
      <c r="B325" s="4">
        <v>46004</v>
      </c>
      <c r="C325" s="6">
        <v>0.39643518518518517</v>
      </c>
      <c r="D325" s="8" t="s">
        <v>289</v>
      </c>
      <c r="E325" t="s">
        <v>6169</v>
      </c>
      <c r="F325" t="s">
        <v>6190</v>
      </c>
      <c r="H325" t="s">
        <v>2936</v>
      </c>
      <c r="I325" t="s">
        <v>6118</v>
      </c>
      <c r="J325" t="s">
        <v>2986</v>
      </c>
      <c r="K325" t="s">
        <v>6119</v>
      </c>
      <c r="L325" t="s">
        <v>6120</v>
      </c>
      <c r="M325" s="3" t="str">
        <f>HYPERLINK(СторонТрансп[[#This Row],[RelativePath]])</f>
        <v>11 С ангара на базу\E33149364_4_20251213T093052Z.jpg</v>
      </c>
    </row>
    <row r="326" spans="1:13" x14ac:dyDescent="0.25">
      <c r="A326" t="s">
        <v>18</v>
      </c>
      <c r="B326" s="4">
        <v>46004</v>
      </c>
      <c r="C326" s="6">
        <v>0.39685185185185184</v>
      </c>
      <c r="D326" s="8" t="s">
        <v>289</v>
      </c>
      <c r="E326" t="s">
        <v>6169</v>
      </c>
      <c r="F326" t="s">
        <v>6190</v>
      </c>
      <c r="H326" t="s">
        <v>2936</v>
      </c>
      <c r="I326" t="s">
        <v>6121</v>
      </c>
      <c r="J326" t="s">
        <v>2986</v>
      </c>
      <c r="K326" t="s">
        <v>6122</v>
      </c>
      <c r="L326" t="s">
        <v>6123</v>
      </c>
      <c r="M326" s="3" t="str">
        <f>HYPERLINK(СторонТрансп[[#This Row],[RelativePath]])</f>
        <v>11 С ангара на базу\E33149364_4_20251213T093128Z.jpg</v>
      </c>
    </row>
    <row r="327" spans="1:13" x14ac:dyDescent="0.25">
      <c r="A327" t="s">
        <v>18</v>
      </c>
      <c r="B327" s="4">
        <v>46004</v>
      </c>
      <c r="C327" s="6">
        <v>0.3972222222222222</v>
      </c>
      <c r="D327" s="8" t="s">
        <v>289</v>
      </c>
      <c r="E327" t="s">
        <v>6169</v>
      </c>
      <c r="F327" t="s">
        <v>6190</v>
      </c>
      <c r="H327" t="s">
        <v>2936</v>
      </c>
      <c r="I327" t="s">
        <v>6124</v>
      </c>
      <c r="J327" t="s">
        <v>2986</v>
      </c>
      <c r="K327" t="s">
        <v>6125</v>
      </c>
      <c r="L327" t="s">
        <v>6126</v>
      </c>
      <c r="M327" s="3" t="str">
        <f>HYPERLINK(СторонТрансп[[#This Row],[RelativePath]])</f>
        <v>11 С ангара на базу\E33149364_4_20251213T093200Z.jpg</v>
      </c>
    </row>
    <row r="328" spans="1:13" x14ac:dyDescent="0.25">
      <c r="A328" t="s">
        <v>18</v>
      </c>
      <c r="B328" s="4">
        <v>46004</v>
      </c>
      <c r="C328" s="6">
        <v>0.39961805555555557</v>
      </c>
      <c r="D328" s="8" t="s">
        <v>289</v>
      </c>
      <c r="E328" t="s">
        <v>6169</v>
      </c>
      <c r="F328" t="s">
        <v>6190</v>
      </c>
      <c r="H328" t="s">
        <v>2936</v>
      </c>
      <c r="I328" t="s">
        <v>6127</v>
      </c>
      <c r="J328" t="s">
        <v>2986</v>
      </c>
      <c r="K328" t="s">
        <v>6128</v>
      </c>
      <c r="L328" t="s">
        <v>6129</v>
      </c>
      <c r="M328" s="3" t="str">
        <f>HYPERLINK(СторонТрансп[[#This Row],[RelativePath]])</f>
        <v>11 С ангара на базу\E33149364_4_20251213T093527Z.jpg</v>
      </c>
    </row>
    <row r="329" spans="1:13" x14ac:dyDescent="0.25">
      <c r="A329" t="s">
        <v>18</v>
      </c>
      <c r="B329" s="4">
        <v>46004</v>
      </c>
      <c r="C329" s="6">
        <v>0.39997685185185183</v>
      </c>
      <c r="D329" s="8" t="s">
        <v>289</v>
      </c>
      <c r="E329" t="s">
        <v>6169</v>
      </c>
      <c r="F329" t="s">
        <v>6190</v>
      </c>
      <c r="H329" t="s">
        <v>2936</v>
      </c>
      <c r="I329" t="s">
        <v>6130</v>
      </c>
      <c r="J329" t="s">
        <v>2986</v>
      </c>
      <c r="K329" t="s">
        <v>6131</v>
      </c>
      <c r="L329" t="s">
        <v>6132</v>
      </c>
      <c r="M329" s="3" t="str">
        <f>HYPERLINK(СторонТрансп[[#This Row],[RelativePath]])</f>
        <v>11 С ангара на базу\E33149364_4_20251213T093558Z.jpg</v>
      </c>
    </row>
    <row r="330" spans="1:13" x14ac:dyDescent="0.25">
      <c r="A330" t="s">
        <v>18</v>
      </c>
      <c r="B330" s="4">
        <v>46004</v>
      </c>
      <c r="C330" s="6">
        <v>0.40167824074074077</v>
      </c>
      <c r="D330" s="8" t="s">
        <v>289</v>
      </c>
      <c r="E330" t="s">
        <v>6169</v>
      </c>
      <c r="F330" t="s">
        <v>6190</v>
      </c>
      <c r="H330" t="s">
        <v>2936</v>
      </c>
      <c r="I330" t="s">
        <v>6133</v>
      </c>
      <c r="J330" t="s">
        <v>2986</v>
      </c>
      <c r="K330" t="s">
        <v>6134</v>
      </c>
      <c r="L330" t="s">
        <v>6135</v>
      </c>
      <c r="M330" s="3" t="str">
        <f>HYPERLINK(СторонТрансп[[#This Row],[RelativePath]])</f>
        <v>11 С ангара на базу\E33149364_4_20251213T093825Z.jpg</v>
      </c>
    </row>
    <row r="331" spans="1:13" x14ac:dyDescent="0.25">
      <c r="A331" t="s">
        <v>18</v>
      </c>
      <c r="B331" s="4">
        <v>46004</v>
      </c>
      <c r="C331" s="6">
        <v>0.40229166666666666</v>
      </c>
      <c r="D331" s="8" t="s">
        <v>289</v>
      </c>
      <c r="E331" t="s">
        <v>6169</v>
      </c>
      <c r="F331" t="s">
        <v>6190</v>
      </c>
      <c r="H331" t="s">
        <v>2936</v>
      </c>
      <c r="I331" t="s">
        <v>6136</v>
      </c>
      <c r="J331" t="s">
        <v>2986</v>
      </c>
      <c r="K331" t="s">
        <v>6137</v>
      </c>
      <c r="L331" t="s">
        <v>6138</v>
      </c>
      <c r="M331" s="3" t="str">
        <f>HYPERLINK(СторонТрансп[[#This Row],[RelativePath]])</f>
        <v>11 С ангара на базу\E33149364_4_20251213T093918Z.jpg</v>
      </c>
    </row>
    <row r="332" spans="1:13" x14ac:dyDescent="0.25">
      <c r="A332" t="s">
        <v>18</v>
      </c>
      <c r="B332" s="4">
        <v>46004</v>
      </c>
      <c r="C332" s="6">
        <v>0.40465277777777775</v>
      </c>
      <c r="D332" s="8" t="s">
        <v>650</v>
      </c>
      <c r="E332" t="s">
        <v>6169</v>
      </c>
      <c r="F332" t="s">
        <v>6190</v>
      </c>
      <c r="I332" t="s">
        <v>6139</v>
      </c>
      <c r="J332" t="s">
        <v>2986</v>
      </c>
      <c r="K332" t="s">
        <v>6140</v>
      </c>
      <c r="L332" t="s">
        <v>6141</v>
      </c>
      <c r="M332" s="3" t="str">
        <f>HYPERLINK(СторонТрансп[[#This Row],[RelativePath]])</f>
        <v>11 С ангара на базу\E33149364_4_20251213T094242Z.jpg</v>
      </c>
    </row>
    <row r="333" spans="1:13" x14ac:dyDescent="0.25">
      <c r="A333" t="s">
        <v>18</v>
      </c>
      <c r="B333" s="4">
        <v>46004</v>
      </c>
      <c r="C333" s="6">
        <v>0.54765046296296294</v>
      </c>
      <c r="D333" s="8" t="s">
        <v>1606</v>
      </c>
      <c r="E333" t="s">
        <v>6169</v>
      </c>
      <c r="F333" t="s">
        <v>1609</v>
      </c>
      <c r="I333" t="s">
        <v>6142</v>
      </c>
      <c r="J333" t="s">
        <v>2986</v>
      </c>
      <c r="K333" t="s">
        <v>6143</v>
      </c>
      <c r="L333" t="s">
        <v>6144</v>
      </c>
      <c r="M333" s="3" t="str">
        <f>HYPERLINK(СторонТрансп[[#This Row],[RelativePath]])</f>
        <v>11 С ангара на базу\E33149364_4_20251213T130837Z.jpg</v>
      </c>
    </row>
    <row r="334" spans="1:13" x14ac:dyDescent="0.25">
      <c r="A334" t="s">
        <v>18</v>
      </c>
      <c r="B334" s="4">
        <v>46004</v>
      </c>
      <c r="C334" s="6">
        <v>0.54907407407407405</v>
      </c>
      <c r="D334" s="8" t="s">
        <v>290</v>
      </c>
      <c r="E334" t="s">
        <v>6169</v>
      </c>
      <c r="F334" t="s">
        <v>58</v>
      </c>
      <c r="I334" t="s">
        <v>6145</v>
      </c>
      <c r="J334" t="s">
        <v>2986</v>
      </c>
      <c r="K334" t="s">
        <v>6146</v>
      </c>
      <c r="L334" t="s">
        <v>6147</v>
      </c>
      <c r="M334" s="3" t="str">
        <f>HYPERLINK(СторонТрансп[[#This Row],[RelativePath]])</f>
        <v>11 С ангара на базу\E33149364_4_20251213T131040Z.jpg</v>
      </c>
    </row>
    <row r="335" spans="1:13" x14ac:dyDescent="0.25">
      <c r="A335" t="s">
        <v>18</v>
      </c>
      <c r="B335" s="4">
        <v>46004</v>
      </c>
      <c r="C335" s="6">
        <v>0.549224537037037</v>
      </c>
      <c r="D335" s="8" t="s">
        <v>290</v>
      </c>
      <c r="E335" t="s">
        <v>6169</v>
      </c>
      <c r="F335" t="s">
        <v>58</v>
      </c>
      <c r="H335" t="s">
        <v>2936</v>
      </c>
      <c r="I335" t="s">
        <v>6148</v>
      </c>
      <c r="J335" t="s">
        <v>2986</v>
      </c>
      <c r="K335" t="s">
        <v>6149</v>
      </c>
      <c r="L335" t="s">
        <v>6150</v>
      </c>
      <c r="M335" s="3" t="str">
        <f>HYPERLINK(СторонТрансп[[#This Row],[RelativePath]])</f>
        <v>11 С ангара на базу\E33149364_4_20251213T131053Z.jpg</v>
      </c>
    </row>
    <row r="336" spans="1:13" x14ac:dyDescent="0.25">
      <c r="A336" t="s">
        <v>18</v>
      </c>
      <c r="B336" s="4">
        <v>46004</v>
      </c>
      <c r="C336" s="6">
        <v>0.55100694444444442</v>
      </c>
      <c r="D336" s="8" t="s">
        <v>290</v>
      </c>
      <c r="E336" t="s">
        <v>6169</v>
      </c>
      <c r="F336" t="s">
        <v>58</v>
      </c>
      <c r="H336" t="s">
        <v>2936</v>
      </c>
      <c r="I336" t="s">
        <v>6151</v>
      </c>
      <c r="J336" t="s">
        <v>2986</v>
      </c>
      <c r="K336" t="s">
        <v>6152</v>
      </c>
      <c r="L336" t="s">
        <v>6153</v>
      </c>
      <c r="M336" s="3" t="str">
        <f>HYPERLINK(СторонТрансп[[#This Row],[RelativePath]])</f>
        <v>11 С ангара на базу\E33149364_4_20251213T131327Z.jpg</v>
      </c>
    </row>
    <row r="337" spans="1:13" x14ac:dyDescent="0.25">
      <c r="A337" t="s">
        <v>18</v>
      </c>
      <c r="B337" s="4">
        <v>46004</v>
      </c>
      <c r="C337" s="6">
        <v>0.55111111111111111</v>
      </c>
      <c r="D337" s="8" t="s">
        <v>290</v>
      </c>
      <c r="E337" t="s">
        <v>6169</v>
      </c>
      <c r="F337" t="s">
        <v>58</v>
      </c>
      <c r="H337" t="s">
        <v>2936</v>
      </c>
      <c r="I337" t="s">
        <v>6154</v>
      </c>
      <c r="J337" t="s">
        <v>2986</v>
      </c>
      <c r="K337" t="s">
        <v>6155</v>
      </c>
      <c r="L337" t="s">
        <v>6156</v>
      </c>
      <c r="M337" s="3" t="str">
        <f>HYPERLINK(СторонТрансп[[#This Row],[RelativePath]])</f>
        <v>11 С ангара на базу\E33149364_4_20251213T131336Z.jpg</v>
      </c>
    </row>
    <row r="338" spans="1:13" x14ac:dyDescent="0.25">
      <c r="A338" t="s">
        <v>18</v>
      </c>
      <c r="B338" s="4">
        <v>46004</v>
      </c>
      <c r="C338" s="6">
        <v>0.55388888888888888</v>
      </c>
      <c r="D338" s="8" t="s">
        <v>650</v>
      </c>
      <c r="E338" t="s">
        <v>6169</v>
      </c>
      <c r="F338" t="s">
        <v>6191</v>
      </c>
      <c r="I338" t="s">
        <v>6157</v>
      </c>
      <c r="J338" t="s">
        <v>2986</v>
      </c>
      <c r="K338" t="s">
        <v>6158</v>
      </c>
      <c r="L338" t="s">
        <v>6159</v>
      </c>
      <c r="M338" s="3" t="str">
        <f>HYPERLINK(СторонТрансп[[#This Row],[RelativePath]])</f>
        <v>11 С ангара на базу\E33149364_4_20251213T131736Z.jpg</v>
      </c>
    </row>
    <row r="339" spans="1:13" x14ac:dyDescent="0.25">
      <c r="A339" t="s">
        <v>18</v>
      </c>
      <c r="B339" s="4">
        <v>46004</v>
      </c>
      <c r="C339" s="6">
        <v>0.55222222222222217</v>
      </c>
      <c r="D339" s="8" t="s">
        <v>4</v>
      </c>
      <c r="E339" t="s">
        <v>6169</v>
      </c>
      <c r="I339" t="s">
        <v>6001</v>
      </c>
      <c r="J339" t="s">
        <v>2988</v>
      </c>
      <c r="K339" t="s">
        <v>6002</v>
      </c>
      <c r="L339" t="s">
        <v>6003</v>
      </c>
      <c r="M339" s="3" t="str">
        <f>HYPERLINK(СторонТрансп[[#This Row],[RelativePath]])</f>
        <v>13 Склад хол\K07156189_23_20251213T131512Z.jpg</v>
      </c>
    </row>
  </sheetData>
  <conditionalFormatting sqref="E340:E361 D2:E339">
    <cfRule type="containsText" dxfId="261" priority="6" operator="containsText" text="Выезд с территории">
      <formula>NOT(ISERROR(SEARCH("Выезд с территории",D2)))</formula>
    </cfRule>
  </conditionalFormatting>
  <conditionalFormatting sqref="D2:D339">
    <cfRule type="containsText" dxfId="260" priority="5" operator="containsText" text="Въезд на второстепенную дорогу">
      <formula>NOT(ISERROR(SEARCH("Въезд на второстепенную дорогу",D2)))</formula>
    </cfRule>
  </conditionalFormatting>
  <conditionalFormatting sqref="D2:D339">
    <cfRule type="containsText" dxfId="259" priority="4" operator="containsText" text="Выезд со второстепенной дороги">
      <formula>NOT(ISERROR(SEARCH("Выезд со второстепенной дороги",D2)))</formula>
    </cfRule>
  </conditionalFormatting>
  <conditionalFormatting sqref="E2:E361">
    <cfRule type="containsText" dxfId="258" priority="2" operator="containsText" text="Газель базы">
      <formula>NOT(ISERROR(SEARCH("Газель базы",E2)))</formula>
    </cfRule>
    <cfRule type="containsText" dxfId="257" priority="3" operator="containsText" text="Погрузчик базы">
      <formula>NOT(ISERROR(SEARCH("Погрузчик базы",E2)))</formula>
    </cfRule>
  </conditionalFormatting>
  <conditionalFormatting sqref="E2:E361">
    <cfRule type="containsText" dxfId="256" priority="1" operator="containsText" text="Трактор базы">
      <formula>NOT(ISERROR(SEARCH("Трактор базы",E2)))</formula>
    </cfRule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A3D7-7F17-4CA8-8D19-9F09478AD351}">
  <dimension ref="A1:G1940"/>
  <sheetViews>
    <sheetView topLeftCell="A1334" zoomScale="90" zoomScaleNormal="90" workbookViewId="0">
      <selection activeCell="D1941" sqref="D1941"/>
    </sheetView>
  </sheetViews>
  <sheetFormatPr defaultRowHeight="15" x14ac:dyDescent="0.25"/>
  <cols>
    <col min="1" max="1" width="34.28515625" customWidth="1"/>
    <col min="2" max="2" width="32.28515625" customWidth="1"/>
    <col min="3" max="3" width="30.28515625" customWidth="1"/>
    <col min="4" max="4" width="17.7109375" customWidth="1"/>
    <col min="5" max="5" width="19.140625" customWidth="1"/>
    <col min="6" max="6" width="35.5703125" customWidth="1"/>
    <col min="7" max="7" width="36" customWidth="1"/>
    <col min="8" max="8" width="15.28515625" customWidth="1"/>
    <col min="9" max="9" width="14.140625" customWidth="1"/>
  </cols>
  <sheetData>
    <row r="1" spans="1:7" x14ac:dyDescent="0.25">
      <c r="A1" t="s">
        <v>2</v>
      </c>
      <c r="B1" t="s">
        <v>3</v>
      </c>
      <c r="C1" t="s">
        <v>52</v>
      </c>
      <c r="D1" t="s">
        <v>54</v>
      </c>
      <c r="E1" t="s">
        <v>57</v>
      </c>
      <c r="F1" t="s">
        <v>25</v>
      </c>
      <c r="G1" t="s">
        <v>1101</v>
      </c>
    </row>
    <row r="2" spans="1:7" hidden="1" x14ac:dyDescent="0.25">
      <c r="A2" t="s">
        <v>62</v>
      </c>
      <c r="B2" t="s">
        <v>55</v>
      </c>
      <c r="C2" t="s">
        <v>51</v>
      </c>
      <c r="F2" t="s">
        <v>26</v>
      </c>
      <c r="G2" t="s">
        <v>1102</v>
      </c>
    </row>
    <row r="3" spans="1:7" hidden="1" x14ac:dyDescent="0.25">
      <c r="A3" t="s">
        <v>91</v>
      </c>
      <c r="B3" t="s">
        <v>56</v>
      </c>
      <c r="C3" t="s">
        <v>51</v>
      </c>
      <c r="F3" t="s">
        <v>27</v>
      </c>
      <c r="G3" t="s">
        <v>1102</v>
      </c>
    </row>
    <row r="4" spans="1:7" hidden="1" x14ac:dyDescent="0.25">
      <c r="A4" t="s">
        <v>91</v>
      </c>
      <c r="B4" t="s">
        <v>56</v>
      </c>
      <c r="C4" t="s">
        <v>51</v>
      </c>
      <c r="F4" t="s">
        <v>28</v>
      </c>
      <c r="G4" t="s">
        <v>1102</v>
      </c>
    </row>
    <row r="5" spans="1:7" hidden="1" x14ac:dyDescent="0.25">
      <c r="A5" t="s">
        <v>62</v>
      </c>
      <c r="B5" t="s">
        <v>56</v>
      </c>
      <c r="C5" t="s">
        <v>53</v>
      </c>
      <c r="D5">
        <v>3</v>
      </c>
      <c r="F5" t="s">
        <v>29</v>
      </c>
      <c r="G5" t="s">
        <v>1102</v>
      </c>
    </row>
    <row r="6" spans="1:7" hidden="1" x14ac:dyDescent="0.25">
      <c r="A6" t="s">
        <v>91</v>
      </c>
      <c r="B6" t="s">
        <v>55</v>
      </c>
      <c r="C6" t="s">
        <v>58</v>
      </c>
      <c r="F6" t="s">
        <v>30</v>
      </c>
      <c r="G6" t="s">
        <v>1102</v>
      </c>
    </row>
    <row r="7" spans="1:7" hidden="1" x14ac:dyDescent="0.25">
      <c r="A7" t="s">
        <v>62</v>
      </c>
      <c r="B7" t="s">
        <v>55</v>
      </c>
      <c r="C7" t="s">
        <v>58</v>
      </c>
      <c r="E7" t="s">
        <v>59</v>
      </c>
      <c r="F7" t="s">
        <v>31</v>
      </c>
      <c r="G7" t="s">
        <v>1102</v>
      </c>
    </row>
    <row r="8" spans="1:7" hidden="1" x14ac:dyDescent="0.25">
      <c r="A8" t="s">
        <v>91</v>
      </c>
      <c r="B8" t="s">
        <v>55</v>
      </c>
      <c r="C8" t="s">
        <v>58</v>
      </c>
      <c r="E8" t="s">
        <v>59</v>
      </c>
      <c r="F8" t="s">
        <v>32</v>
      </c>
      <c r="G8" t="s">
        <v>1102</v>
      </c>
    </row>
    <row r="9" spans="1:7" hidden="1" x14ac:dyDescent="0.25">
      <c r="A9" t="s">
        <v>91</v>
      </c>
      <c r="B9" t="s">
        <v>67</v>
      </c>
      <c r="C9" t="s">
        <v>51</v>
      </c>
      <c r="F9" t="s">
        <v>33</v>
      </c>
      <c r="G9" t="s">
        <v>1102</v>
      </c>
    </row>
    <row r="10" spans="1:7" hidden="1" x14ac:dyDescent="0.25">
      <c r="A10" t="s">
        <v>62</v>
      </c>
      <c r="B10" t="s">
        <v>67</v>
      </c>
      <c r="C10" t="s">
        <v>468</v>
      </c>
      <c r="F10" t="s">
        <v>34</v>
      </c>
      <c r="G10" t="s">
        <v>1102</v>
      </c>
    </row>
    <row r="11" spans="1:7" hidden="1" x14ac:dyDescent="0.25">
      <c r="A11" t="s">
        <v>91</v>
      </c>
      <c r="B11" t="s">
        <v>63</v>
      </c>
      <c r="C11" t="s">
        <v>51</v>
      </c>
      <c r="F11" t="s">
        <v>35</v>
      </c>
      <c r="G11" t="s">
        <v>1102</v>
      </c>
    </row>
    <row r="12" spans="1:7" hidden="1" x14ac:dyDescent="0.25">
      <c r="A12" t="s">
        <v>89</v>
      </c>
      <c r="B12" t="s">
        <v>63</v>
      </c>
      <c r="C12" t="s">
        <v>51</v>
      </c>
      <c r="F12" t="s">
        <v>36</v>
      </c>
      <c r="G12" t="s">
        <v>1102</v>
      </c>
    </row>
    <row r="13" spans="1:7" hidden="1" x14ac:dyDescent="0.25">
      <c r="A13" t="s">
        <v>64</v>
      </c>
      <c r="B13" t="s">
        <v>63</v>
      </c>
      <c r="C13" t="s">
        <v>51</v>
      </c>
      <c r="F13" t="s">
        <v>37</v>
      </c>
      <c r="G13" t="s">
        <v>1102</v>
      </c>
    </row>
    <row r="14" spans="1:7" hidden="1" x14ac:dyDescent="0.25">
      <c r="A14" t="s">
        <v>62</v>
      </c>
      <c r="B14" t="s">
        <v>63</v>
      </c>
      <c r="C14" t="s">
        <v>58</v>
      </c>
      <c r="F14" t="s">
        <v>38</v>
      </c>
      <c r="G14" t="s">
        <v>1102</v>
      </c>
    </row>
    <row r="15" spans="1:7" hidden="1" x14ac:dyDescent="0.25">
      <c r="A15" t="s">
        <v>62</v>
      </c>
      <c r="B15" t="s">
        <v>55</v>
      </c>
      <c r="C15" t="s">
        <v>65</v>
      </c>
      <c r="F15" t="s">
        <v>39</v>
      </c>
      <c r="G15" t="s">
        <v>1102</v>
      </c>
    </row>
    <row r="16" spans="1:7" hidden="1" x14ac:dyDescent="0.25">
      <c r="A16" t="s">
        <v>91</v>
      </c>
      <c r="B16" s="1" t="s">
        <v>55</v>
      </c>
      <c r="C16" s="1" t="s">
        <v>51</v>
      </c>
      <c r="D16" s="1"/>
      <c r="E16" s="1"/>
      <c r="F16" s="1" t="s">
        <v>40</v>
      </c>
      <c r="G16" t="s">
        <v>1102</v>
      </c>
    </row>
    <row r="17" spans="1:7" hidden="1" x14ac:dyDescent="0.25">
      <c r="A17" t="s">
        <v>91</v>
      </c>
      <c r="B17" t="s">
        <v>66</v>
      </c>
      <c r="C17" t="s">
        <v>68</v>
      </c>
      <c r="F17" t="s">
        <v>41</v>
      </c>
      <c r="G17" t="s">
        <v>1102</v>
      </c>
    </row>
    <row r="18" spans="1:7" hidden="1" x14ac:dyDescent="0.25">
      <c r="A18" s="1" t="s">
        <v>62</v>
      </c>
      <c r="B18" s="1" t="s">
        <v>66</v>
      </c>
      <c r="C18" s="1" t="s">
        <v>69</v>
      </c>
      <c r="D18" s="1"/>
      <c r="E18" s="1"/>
      <c r="F18" s="1" t="s">
        <v>42</v>
      </c>
      <c r="G18" t="s">
        <v>1102</v>
      </c>
    </row>
    <row r="19" spans="1:7" hidden="1" x14ac:dyDescent="0.25">
      <c r="A19" t="s">
        <v>62</v>
      </c>
      <c r="B19" t="s">
        <v>55</v>
      </c>
      <c r="C19" t="s">
        <v>51</v>
      </c>
      <c r="F19" t="s">
        <v>44</v>
      </c>
      <c r="G19" t="s">
        <v>1102</v>
      </c>
    </row>
    <row r="20" spans="1:7" hidden="1" x14ac:dyDescent="0.25">
      <c r="A20" t="s">
        <v>91</v>
      </c>
      <c r="B20" t="s">
        <v>70</v>
      </c>
      <c r="C20" t="s">
        <v>51</v>
      </c>
      <c r="F20" t="s">
        <v>45</v>
      </c>
      <c r="G20" t="s">
        <v>1102</v>
      </c>
    </row>
    <row r="21" spans="1:7" hidden="1" x14ac:dyDescent="0.25">
      <c r="A21" t="s">
        <v>62</v>
      </c>
      <c r="B21" t="s">
        <v>70</v>
      </c>
      <c r="C21" t="s">
        <v>51</v>
      </c>
      <c r="F21" t="s">
        <v>46</v>
      </c>
      <c r="G21" t="s">
        <v>1102</v>
      </c>
    </row>
    <row r="22" spans="1:7" hidden="1" x14ac:dyDescent="0.25">
      <c r="A22" t="s">
        <v>64</v>
      </c>
      <c r="B22" t="s">
        <v>70</v>
      </c>
      <c r="C22" t="s">
        <v>51</v>
      </c>
      <c r="F22" t="s">
        <v>47</v>
      </c>
      <c r="G22" t="s">
        <v>1102</v>
      </c>
    </row>
    <row r="23" spans="1:7" hidden="1" x14ac:dyDescent="0.25">
      <c r="A23" t="s">
        <v>91</v>
      </c>
      <c r="B23" t="s">
        <v>70</v>
      </c>
      <c r="C23" t="s">
        <v>58</v>
      </c>
      <c r="F23" t="s">
        <v>48</v>
      </c>
      <c r="G23" t="s">
        <v>1102</v>
      </c>
    </row>
    <row r="24" spans="1:7" hidden="1" x14ac:dyDescent="0.25">
      <c r="A24" t="s">
        <v>62</v>
      </c>
      <c r="B24" t="s">
        <v>70</v>
      </c>
      <c r="C24" t="s">
        <v>58</v>
      </c>
      <c r="F24" t="s">
        <v>49</v>
      </c>
      <c r="G24" t="s">
        <v>1102</v>
      </c>
    </row>
    <row r="25" spans="1:7" hidden="1" x14ac:dyDescent="0.25">
      <c r="A25" t="s">
        <v>91</v>
      </c>
      <c r="B25" s="1" t="s">
        <v>55</v>
      </c>
      <c r="C25" s="1" t="s">
        <v>51</v>
      </c>
      <c r="D25" s="1"/>
      <c r="E25" s="1"/>
      <c r="F25" s="1" t="s">
        <v>50</v>
      </c>
      <c r="G25" t="s">
        <v>1102</v>
      </c>
    </row>
    <row r="26" spans="1:7" hidden="1" x14ac:dyDescent="0.25">
      <c r="A26" t="s">
        <v>62</v>
      </c>
      <c r="B26" t="s">
        <v>55</v>
      </c>
      <c r="C26" t="s">
        <v>51</v>
      </c>
      <c r="F26" t="s">
        <v>71</v>
      </c>
      <c r="G26" t="s">
        <v>1102</v>
      </c>
    </row>
    <row r="27" spans="1:7" hidden="1" x14ac:dyDescent="0.25">
      <c r="A27" t="s">
        <v>85</v>
      </c>
      <c r="B27" t="s">
        <v>86</v>
      </c>
      <c r="C27" t="s">
        <v>51</v>
      </c>
      <c r="F27" t="s">
        <v>72</v>
      </c>
      <c r="G27" t="s">
        <v>1102</v>
      </c>
    </row>
    <row r="28" spans="1:7" hidden="1" x14ac:dyDescent="0.25">
      <c r="A28" t="s">
        <v>91</v>
      </c>
      <c r="B28" t="s">
        <v>86</v>
      </c>
      <c r="C28" t="s">
        <v>87</v>
      </c>
      <c r="D28">
        <v>1</v>
      </c>
      <c r="F28" t="s">
        <v>73</v>
      </c>
      <c r="G28" t="s">
        <v>1102</v>
      </c>
    </row>
    <row r="29" spans="1:7" hidden="1" x14ac:dyDescent="0.25">
      <c r="A29" t="s">
        <v>62</v>
      </c>
      <c r="B29" t="s">
        <v>86</v>
      </c>
      <c r="C29" t="s">
        <v>51</v>
      </c>
      <c r="F29" t="s">
        <v>74</v>
      </c>
      <c r="G29" t="s">
        <v>1102</v>
      </c>
    </row>
    <row r="30" spans="1:7" hidden="1" x14ac:dyDescent="0.25">
      <c r="A30" t="s">
        <v>89</v>
      </c>
      <c r="B30" t="s">
        <v>66</v>
      </c>
      <c r="C30" t="s">
        <v>88</v>
      </c>
      <c r="D30">
        <v>1</v>
      </c>
      <c r="F30" t="s">
        <v>75</v>
      </c>
      <c r="G30" t="s">
        <v>1102</v>
      </c>
    </row>
    <row r="31" spans="1:7" hidden="1" x14ac:dyDescent="0.25">
      <c r="A31" t="s">
        <v>64</v>
      </c>
      <c r="B31" t="s">
        <v>86</v>
      </c>
      <c r="C31" t="s">
        <v>87</v>
      </c>
      <c r="D31">
        <v>1</v>
      </c>
      <c r="F31" t="s">
        <v>76</v>
      </c>
      <c r="G31" t="s">
        <v>1102</v>
      </c>
    </row>
    <row r="32" spans="1:7" hidden="1" x14ac:dyDescent="0.25">
      <c r="A32" t="s">
        <v>62</v>
      </c>
      <c r="B32" t="s">
        <v>66</v>
      </c>
      <c r="C32" t="s">
        <v>51</v>
      </c>
      <c r="F32" t="s">
        <v>77</v>
      </c>
      <c r="G32" t="s">
        <v>1102</v>
      </c>
    </row>
    <row r="33" spans="1:7" hidden="1" x14ac:dyDescent="0.25">
      <c r="A33" t="s">
        <v>89</v>
      </c>
      <c r="B33" t="s">
        <v>66</v>
      </c>
      <c r="C33" t="s">
        <v>88</v>
      </c>
      <c r="D33">
        <v>1</v>
      </c>
      <c r="F33" t="s">
        <v>78</v>
      </c>
      <c r="G33" t="s">
        <v>1102</v>
      </c>
    </row>
    <row r="34" spans="1:7" hidden="1" x14ac:dyDescent="0.25">
      <c r="A34" t="s">
        <v>62</v>
      </c>
      <c r="B34" t="s">
        <v>66</v>
      </c>
      <c r="C34" t="s">
        <v>51</v>
      </c>
      <c r="F34" t="s">
        <v>79</v>
      </c>
      <c r="G34" t="s">
        <v>1102</v>
      </c>
    </row>
    <row r="35" spans="1:7" hidden="1" x14ac:dyDescent="0.25">
      <c r="A35" t="s">
        <v>89</v>
      </c>
      <c r="B35" t="s">
        <v>66</v>
      </c>
      <c r="C35" t="s">
        <v>88</v>
      </c>
      <c r="D35">
        <v>1</v>
      </c>
      <c r="F35" t="s">
        <v>80</v>
      </c>
      <c r="G35" t="s">
        <v>1102</v>
      </c>
    </row>
    <row r="36" spans="1:7" hidden="1" x14ac:dyDescent="0.25">
      <c r="A36" t="s">
        <v>62</v>
      </c>
      <c r="B36" t="s">
        <v>66</v>
      </c>
      <c r="C36" t="s">
        <v>51</v>
      </c>
      <c r="F36" t="s">
        <v>81</v>
      </c>
      <c r="G36" t="s">
        <v>1102</v>
      </c>
    </row>
    <row r="37" spans="1:7" hidden="1" x14ac:dyDescent="0.25">
      <c r="A37" t="s">
        <v>89</v>
      </c>
      <c r="B37" t="s">
        <v>66</v>
      </c>
      <c r="C37" t="s">
        <v>88</v>
      </c>
      <c r="D37">
        <v>1</v>
      </c>
      <c r="F37" t="s">
        <v>82</v>
      </c>
      <c r="G37" t="s">
        <v>1102</v>
      </c>
    </row>
    <row r="38" spans="1:7" hidden="1" x14ac:dyDescent="0.25">
      <c r="A38" t="s">
        <v>62</v>
      </c>
      <c r="B38" t="s">
        <v>66</v>
      </c>
      <c r="C38" t="s">
        <v>51</v>
      </c>
      <c r="F38" t="s">
        <v>83</v>
      </c>
      <c r="G38" t="s">
        <v>1102</v>
      </c>
    </row>
    <row r="39" spans="1:7" hidden="1" x14ac:dyDescent="0.25">
      <c r="A39" t="s">
        <v>91</v>
      </c>
      <c r="B39" s="1" t="s">
        <v>55</v>
      </c>
      <c r="C39" s="1" t="s">
        <v>51</v>
      </c>
      <c r="D39" s="1"/>
      <c r="E39" s="1"/>
      <c r="F39" s="1" t="s">
        <v>84</v>
      </c>
      <c r="G39" t="s">
        <v>1102</v>
      </c>
    </row>
    <row r="40" spans="1:7" hidden="1" x14ac:dyDescent="0.25">
      <c r="A40" t="s">
        <v>4</v>
      </c>
      <c r="B40" t="s">
        <v>8</v>
      </c>
      <c r="F40" t="s">
        <v>92</v>
      </c>
      <c r="G40" t="s">
        <v>1103</v>
      </c>
    </row>
    <row r="41" spans="1:7" hidden="1" x14ac:dyDescent="0.25">
      <c r="A41" t="s">
        <v>158</v>
      </c>
      <c r="B41" t="s">
        <v>86</v>
      </c>
      <c r="C41" t="s">
        <v>60</v>
      </c>
      <c r="D41">
        <v>2</v>
      </c>
      <c r="F41" t="s">
        <v>94</v>
      </c>
      <c r="G41" t="s">
        <v>1103</v>
      </c>
    </row>
    <row r="42" spans="1:7" hidden="1" x14ac:dyDescent="0.25">
      <c r="A42" t="s">
        <v>158</v>
      </c>
      <c r="B42" t="s">
        <v>86</v>
      </c>
      <c r="C42" t="s">
        <v>60</v>
      </c>
      <c r="D42">
        <v>1</v>
      </c>
      <c r="F42" t="s">
        <v>96</v>
      </c>
      <c r="G42" t="s">
        <v>1103</v>
      </c>
    </row>
    <row r="43" spans="1:7" hidden="1" x14ac:dyDescent="0.25">
      <c r="A43" t="s">
        <v>158</v>
      </c>
      <c r="B43" t="s">
        <v>86</v>
      </c>
      <c r="C43" t="s">
        <v>60</v>
      </c>
      <c r="D43">
        <v>2</v>
      </c>
      <c r="F43" t="s">
        <v>98</v>
      </c>
      <c r="G43" t="s">
        <v>1103</v>
      </c>
    </row>
    <row r="44" spans="1:7" hidden="1" x14ac:dyDescent="0.25">
      <c r="A44" t="s">
        <v>158</v>
      </c>
      <c r="B44" t="s">
        <v>86</v>
      </c>
      <c r="C44" t="s">
        <v>60</v>
      </c>
      <c r="D44">
        <v>2</v>
      </c>
      <c r="F44" t="s">
        <v>100</v>
      </c>
      <c r="G44" t="s">
        <v>1103</v>
      </c>
    </row>
    <row r="45" spans="1:7" hidden="1" x14ac:dyDescent="0.25">
      <c r="A45" t="s">
        <v>158</v>
      </c>
      <c r="B45" t="s">
        <v>86</v>
      </c>
      <c r="C45" t="s">
        <v>60</v>
      </c>
      <c r="D45">
        <v>1</v>
      </c>
      <c r="F45" t="s">
        <v>102</v>
      </c>
      <c r="G45" t="s">
        <v>1103</v>
      </c>
    </row>
    <row r="46" spans="1:7" hidden="1" x14ac:dyDescent="0.25">
      <c r="A46" t="s">
        <v>158</v>
      </c>
      <c r="B46" t="s">
        <v>86</v>
      </c>
      <c r="C46" t="s">
        <v>60</v>
      </c>
      <c r="D46">
        <v>2</v>
      </c>
      <c r="F46" t="s">
        <v>104</v>
      </c>
      <c r="G46" t="s">
        <v>1103</v>
      </c>
    </row>
    <row r="47" spans="1:7" hidden="1" x14ac:dyDescent="0.25">
      <c r="A47" t="s">
        <v>158</v>
      </c>
      <c r="B47" t="s">
        <v>86</v>
      </c>
      <c r="C47" t="s">
        <v>60</v>
      </c>
      <c r="D47">
        <v>1</v>
      </c>
      <c r="F47" t="s">
        <v>106</v>
      </c>
      <c r="G47" t="s">
        <v>1103</v>
      </c>
    </row>
    <row r="48" spans="1:7" hidden="1" x14ac:dyDescent="0.25">
      <c r="A48" t="s">
        <v>4</v>
      </c>
      <c r="B48" t="s">
        <v>8</v>
      </c>
      <c r="F48" t="s">
        <v>108</v>
      </c>
      <c r="G48" t="s">
        <v>1103</v>
      </c>
    </row>
    <row r="49" spans="1:7" hidden="1" x14ac:dyDescent="0.25">
      <c r="A49" t="s">
        <v>4</v>
      </c>
      <c r="B49" t="s">
        <v>8</v>
      </c>
      <c r="F49" t="s">
        <v>110</v>
      </c>
      <c r="G49" t="s">
        <v>1103</v>
      </c>
    </row>
    <row r="50" spans="1:7" hidden="1" x14ac:dyDescent="0.25">
      <c r="A50" t="s">
        <v>159</v>
      </c>
      <c r="B50" t="s">
        <v>63</v>
      </c>
      <c r="C50" t="s">
        <v>51</v>
      </c>
      <c r="F50" t="s">
        <v>112</v>
      </c>
      <c r="G50" t="s">
        <v>1103</v>
      </c>
    </row>
    <row r="51" spans="1:7" hidden="1" x14ac:dyDescent="0.25">
      <c r="A51" t="s">
        <v>158</v>
      </c>
      <c r="B51" t="s">
        <v>86</v>
      </c>
      <c r="C51" t="s">
        <v>60</v>
      </c>
      <c r="D51">
        <v>1</v>
      </c>
      <c r="F51" t="s">
        <v>114</v>
      </c>
      <c r="G51" t="s">
        <v>1103</v>
      </c>
    </row>
    <row r="52" spans="1:7" hidden="1" x14ac:dyDescent="0.25">
      <c r="A52" t="s">
        <v>158</v>
      </c>
      <c r="B52" t="s">
        <v>86</v>
      </c>
      <c r="C52" t="s">
        <v>60</v>
      </c>
      <c r="D52">
        <v>1</v>
      </c>
      <c r="F52" t="s">
        <v>116</v>
      </c>
      <c r="G52" t="s">
        <v>1103</v>
      </c>
    </row>
    <row r="53" spans="1:7" hidden="1" x14ac:dyDescent="0.25">
      <c r="A53" t="s">
        <v>158</v>
      </c>
      <c r="B53" t="s">
        <v>86</v>
      </c>
      <c r="C53" t="s">
        <v>60</v>
      </c>
      <c r="D53">
        <v>1</v>
      </c>
      <c r="F53" t="s">
        <v>118</v>
      </c>
      <c r="G53" t="s">
        <v>1103</v>
      </c>
    </row>
    <row r="54" spans="1:7" hidden="1" x14ac:dyDescent="0.25">
      <c r="A54" t="s">
        <v>158</v>
      </c>
      <c r="B54" t="s">
        <v>86</v>
      </c>
      <c r="C54" t="s">
        <v>60</v>
      </c>
      <c r="D54">
        <v>2</v>
      </c>
      <c r="F54" t="s">
        <v>120</v>
      </c>
      <c r="G54" t="s">
        <v>1103</v>
      </c>
    </row>
    <row r="55" spans="1:7" hidden="1" x14ac:dyDescent="0.25">
      <c r="A55" t="s">
        <v>158</v>
      </c>
      <c r="B55" t="s">
        <v>86</v>
      </c>
      <c r="C55" t="s">
        <v>60</v>
      </c>
      <c r="D55">
        <v>1</v>
      </c>
      <c r="F55" t="s">
        <v>122</v>
      </c>
      <c r="G55" t="s">
        <v>1103</v>
      </c>
    </row>
    <row r="56" spans="1:7" hidden="1" x14ac:dyDescent="0.25">
      <c r="A56" t="s">
        <v>4</v>
      </c>
      <c r="B56" t="s">
        <v>8</v>
      </c>
      <c r="F56" t="s">
        <v>124</v>
      </c>
      <c r="G56" t="s">
        <v>1103</v>
      </c>
    </row>
    <row r="57" spans="1:7" hidden="1" x14ac:dyDescent="0.25">
      <c r="A57" t="s">
        <v>4</v>
      </c>
      <c r="B57" t="s">
        <v>8</v>
      </c>
      <c r="F57" t="s">
        <v>126</v>
      </c>
      <c r="G57" t="s">
        <v>1103</v>
      </c>
    </row>
    <row r="58" spans="1:7" hidden="1" x14ac:dyDescent="0.25">
      <c r="A58" t="s">
        <v>159</v>
      </c>
      <c r="B58" t="s">
        <v>70</v>
      </c>
      <c r="F58" t="s">
        <v>128</v>
      </c>
      <c r="G58" t="s">
        <v>1103</v>
      </c>
    </row>
    <row r="59" spans="1:7" hidden="1" x14ac:dyDescent="0.25">
      <c r="A59" t="s">
        <v>158</v>
      </c>
      <c r="B59" t="s">
        <v>86</v>
      </c>
      <c r="C59" t="s">
        <v>60</v>
      </c>
      <c r="D59">
        <v>1</v>
      </c>
      <c r="F59" t="s">
        <v>130</v>
      </c>
      <c r="G59" t="s">
        <v>1103</v>
      </c>
    </row>
    <row r="60" spans="1:7" hidden="1" x14ac:dyDescent="0.25">
      <c r="A60" t="s">
        <v>4</v>
      </c>
      <c r="B60" t="s">
        <v>160</v>
      </c>
      <c r="F60" t="s">
        <v>132</v>
      </c>
      <c r="G60" t="s">
        <v>1103</v>
      </c>
    </row>
    <row r="61" spans="1:7" hidden="1" x14ac:dyDescent="0.25">
      <c r="A61" t="s">
        <v>4</v>
      </c>
      <c r="B61" t="s">
        <v>8</v>
      </c>
      <c r="F61" t="s">
        <v>134</v>
      </c>
      <c r="G61" t="s">
        <v>1103</v>
      </c>
    </row>
    <row r="62" spans="1:7" hidden="1" x14ac:dyDescent="0.25">
      <c r="A62" t="s">
        <v>4</v>
      </c>
      <c r="B62" t="s">
        <v>8</v>
      </c>
      <c r="F62" t="s">
        <v>161</v>
      </c>
      <c r="G62" t="s">
        <v>1103</v>
      </c>
    </row>
    <row r="63" spans="1:7" hidden="1" x14ac:dyDescent="0.25">
      <c r="A63" t="s">
        <v>159</v>
      </c>
      <c r="B63" t="s">
        <v>86</v>
      </c>
      <c r="C63" t="s">
        <v>200</v>
      </c>
      <c r="F63" t="s">
        <v>164</v>
      </c>
      <c r="G63" t="s">
        <v>1103</v>
      </c>
    </row>
    <row r="64" spans="1:7" hidden="1" x14ac:dyDescent="0.25">
      <c r="A64" t="s">
        <v>159</v>
      </c>
      <c r="B64" t="s">
        <v>86</v>
      </c>
      <c r="C64" t="s">
        <v>200</v>
      </c>
      <c r="F64" t="s">
        <v>167</v>
      </c>
      <c r="G64" t="s">
        <v>1103</v>
      </c>
    </row>
    <row r="65" spans="1:7" hidden="1" x14ac:dyDescent="0.25">
      <c r="A65" t="s">
        <v>201</v>
      </c>
      <c r="B65" t="s">
        <v>86</v>
      </c>
      <c r="C65" t="s">
        <v>51</v>
      </c>
      <c r="F65" t="s">
        <v>170</v>
      </c>
      <c r="G65" t="s">
        <v>1103</v>
      </c>
    </row>
    <row r="66" spans="1:7" hidden="1" x14ac:dyDescent="0.25">
      <c r="A66" t="s">
        <v>159</v>
      </c>
      <c r="B66" t="s">
        <v>86</v>
      </c>
      <c r="C66" t="s">
        <v>200</v>
      </c>
      <c r="F66" t="s">
        <v>173</v>
      </c>
      <c r="G66" t="s">
        <v>1103</v>
      </c>
    </row>
    <row r="67" spans="1:7" hidden="1" x14ac:dyDescent="0.25">
      <c r="A67" t="s">
        <v>159</v>
      </c>
      <c r="B67" t="s">
        <v>86</v>
      </c>
      <c r="C67" t="s">
        <v>200</v>
      </c>
      <c r="F67" t="s">
        <v>176</v>
      </c>
      <c r="G67" t="s">
        <v>1103</v>
      </c>
    </row>
    <row r="68" spans="1:7" hidden="1" x14ac:dyDescent="0.25">
      <c r="A68" t="s">
        <v>158</v>
      </c>
      <c r="B68" t="s">
        <v>86</v>
      </c>
      <c r="C68" t="s">
        <v>60</v>
      </c>
      <c r="D68">
        <v>1</v>
      </c>
      <c r="F68" t="s">
        <v>179</v>
      </c>
      <c r="G68" t="s">
        <v>1103</v>
      </c>
    </row>
    <row r="69" spans="1:7" hidden="1" x14ac:dyDescent="0.25">
      <c r="A69" t="s">
        <v>159</v>
      </c>
      <c r="B69" t="s">
        <v>86</v>
      </c>
      <c r="C69" t="s">
        <v>200</v>
      </c>
      <c r="F69" t="s">
        <v>182</v>
      </c>
      <c r="G69" t="s">
        <v>1103</v>
      </c>
    </row>
    <row r="70" spans="1:7" hidden="1" x14ac:dyDescent="0.25">
      <c r="A70" t="s">
        <v>159</v>
      </c>
      <c r="B70" t="s">
        <v>86</v>
      </c>
      <c r="C70" t="s">
        <v>200</v>
      </c>
      <c r="F70" t="s">
        <v>185</v>
      </c>
      <c r="G70" t="s">
        <v>1103</v>
      </c>
    </row>
    <row r="71" spans="1:7" hidden="1" x14ac:dyDescent="0.25">
      <c r="A71" t="s">
        <v>159</v>
      </c>
      <c r="B71" t="s">
        <v>86</v>
      </c>
      <c r="C71" t="s">
        <v>200</v>
      </c>
      <c r="F71" t="s">
        <v>188</v>
      </c>
      <c r="G71" t="s">
        <v>1103</v>
      </c>
    </row>
    <row r="72" spans="1:7" hidden="1" x14ac:dyDescent="0.25">
      <c r="A72" t="s">
        <v>202</v>
      </c>
      <c r="B72" t="s">
        <v>86</v>
      </c>
      <c r="C72" t="s">
        <v>51</v>
      </c>
      <c r="F72" t="s">
        <v>191</v>
      </c>
      <c r="G72" t="s">
        <v>1103</v>
      </c>
    </row>
    <row r="73" spans="1:7" hidden="1" x14ac:dyDescent="0.25">
      <c r="A73" t="s">
        <v>159</v>
      </c>
      <c r="B73" t="s">
        <v>86</v>
      </c>
      <c r="C73" t="s">
        <v>87</v>
      </c>
      <c r="F73" t="s">
        <v>194</v>
      </c>
      <c r="G73" t="s">
        <v>1103</v>
      </c>
    </row>
    <row r="74" spans="1:7" hidden="1" x14ac:dyDescent="0.25">
      <c r="A74" t="s">
        <v>4</v>
      </c>
      <c r="B74" t="s">
        <v>8</v>
      </c>
      <c r="F74" t="s">
        <v>197</v>
      </c>
      <c r="G74" t="s">
        <v>1103</v>
      </c>
    </row>
    <row r="75" spans="1:7" hidden="1" x14ac:dyDescent="0.25">
      <c r="A75" t="s">
        <v>4</v>
      </c>
      <c r="B75" t="s">
        <v>8</v>
      </c>
      <c r="F75" t="s">
        <v>203</v>
      </c>
      <c r="G75" t="s">
        <v>91</v>
      </c>
    </row>
    <row r="76" spans="1:7" hidden="1" x14ac:dyDescent="0.25">
      <c r="A76" t="s">
        <v>4</v>
      </c>
      <c r="B76" t="s">
        <v>8</v>
      </c>
      <c r="F76" t="s">
        <v>207</v>
      </c>
      <c r="G76" t="s">
        <v>91</v>
      </c>
    </row>
    <row r="77" spans="1:7" hidden="1" x14ac:dyDescent="0.25">
      <c r="A77" t="s">
        <v>4</v>
      </c>
      <c r="B77" t="s">
        <v>8</v>
      </c>
      <c r="F77" t="s">
        <v>210</v>
      </c>
      <c r="G77" t="s">
        <v>91</v>
      </c>
    </row>
    <row r="78" spans="1:7" hidden="1" x14ac:dyDescent="0.25">
      <c r="A78" t="s">
        <v>4</v>
      </c>
      <c r="B78" t="s">
        <v>8</v>
      </c>
      <c r="F78" t="s">
        <v>213</v>
      </c>
      <c r="G78" t="s">
        <v>91</v>
      </c>
    </row>
    <row r="79" spans="1:7" hidden="1" x14ac:dyDescent="0.25">
      <c r="A79" t="s">
        <v>4</v>
      </c>
      <c r="B79" t="s">
        <v>8</v>
      </c>
      <c r="F79" t="s">
        <v>216</v>
      </c>
      <c r="G79" t="s">
        <v>91</v>
      </c>
    </row>
    <row r="80" spans="1:7" hidden="1" x14ac:dyDescent="0.25">
      <c r="A80" t="s">
        <v>4</v>
      </c>
      <c r="B80" t="s">
        <v>8</v>
      </c>
      <c r="F80" t="s">
        <v>219</v>
      </c>
      <c r="G80" t="s">
        <v>91</v>
      </c>
    </row>
    <row r="81" spans="1:7" hidden="1" x14ac:dyDescent="0.25">
      <c r="A81" t="s">
        <v>4</v>
      </c>
      <c r="B81" t="s">
        <v>8</v>
      </c>
      <c r="F81" t="s">
        <v>222</v>
      </c>
      <c r="G81" t="s">
        <v>91</v>
      </c>
    </row>
    <row r="82" spans="1:7" hidden="1" x14ac:dyDescent="0.25">
      <c r="A82" t="s">
        <v>4</v>
      </c>
      <c r="B82" t="s">
        <v>8</v>
      </c>
      <c r="F82" t="s">
        <v>225</v>
      </c>
      <c r="G82" t="s">
        <v>91</v>
      </c>
    </row>
    <row r="83" spans="1:7" hidden="1" x14ac:dyDescent="0.25">
      <c r="A83" t="s">
        <v>4</v>
      </c>
      <c r="B83" t="s">
        <v>8</v>
      </c>
      <c r="F83" t="s">
        <v>228</v>
      </c>
      <c r="G83" t="s">
        <v>91</v>
      </c>
    </row>
    <row r="84" spans="1:7" hidden="1" x14ac:dyDescent="0.25">
      <c r="A84" t="s">
        <v>4</v>
      </c>
      <c r="B84" t="s">
        <v>8</v>
      </c>
      <c r="F84" t="s">
        <v>231</v>
      </c>
      <c r="G84" t="s">
        <v>91</v>
      </c>
    </row>
    <row r="85" spans="1:7" hidden="1" x14ac:dyDescent="0.25">
      <c r="A85" t="s">
        <v>4</v>
      </c>
      <c r="B85" t="s">
        <v>8</v>
      </c>
      <c r="F85" t="s">
        <v>234</v>
      </c>
      <c r="G85" t="s">
        <v>91</v>
      </c>
    </row>
    <row r="86" spans="1:7" hidden="1" x14ac:dyDescent="0.25">
      <c r="A86" t="s">
        <v>4</v>
      </c>
      <c r="B86" t="s">
        <v>8</v>
      </c>
      <c r="F86" t="s">
        <v>237</v>
      </c>
      <c r="G86" t="s">
        <v>91</v>
      </c>
    </row>
    <row r="87" spans="1:7" hidden="1" x14ac:dyDescent="0.25">
      <c r="A87" t="s">
        <v>4</v>
      </c>
      <c r="B87" t="s">
        <v>8</v>
      </c>
      <c r="F87" t="s">
        <v>240</v>
      </c>
      <c r="G87" t="s">
        <v>91</v>
      </c>
    </row>
    <row r="88" spans="1:7" hidden="1" x14ac:dyDescent="0.25">
      <c r="A88" t="s">
        <v>4</v>
      </c>
      <c r="B88" t="s">
        <v>8</v>
      </c>
      <c r="F88" t="s">
        <v>243</v>
      </c>
      <c r="G88" t="s">
        <v>91</v>
      </c>
    </row>
    <row r="89" spans="1:7" hidden="1" x14ac:dyDescent="0.25">
      <c r="A89" t="s">
        <v>4</v>
      </c>
      <c r="B89" t="s">
        <v>8</v>
      </c>
      <c r="F89" t="s">
        <v>246</v>
      </c>
      <c r="G89" t="s">
        <v>91</v>
      </c>
    </row>
    <row r="90" spans="1:7" hidden="1" x14ac:dyDescent="0.25">
      <c r="A90" t="s">
        <v>289</v>
      </c>
      <c r="B90" t="s">
        <v>66</v>
      </c>
      <c r="C90" t="s">
        <v>288</v>
      </c>
      <c r="F90" t="s">
        <v>249</v>
      </c>
      <c r="G90" t="s">
        <v>91</v>
      </c>
    </row>
    <row r="91" spans="1:7" hidden="1" x14ac:dyDescent="0.25">
      <c r="A91" t="s">
        <v>4</v>
      </c>
      <c r="B91" t="s">
        <v>8</v>
      </c>
      <c r="F91" t="s">
        <v>252</v>
      </c>
      <c r="G91" t="s">
        <v>91</v>
      </c>
    </row>
    <row r="92" spans="1:7" hidden="1" x14ac:dyDescent="0.25">
      <c r="A92" t="s">
        <v>4</v>
      </c>
      <c r="B92" t="s">
        <v>8</v>
      </c>
      <c r="F92" t="s">
        <v>255</v>
      </c>
      <c r="G92" t="s">
        <v>91</v>
      </c>
    </row>
    <row r="93" spans="1:7" hidden="1" x14ac:dyDescent="0.25">
      <c r="A93" t="s">
        <v>4</v>
      </c>
      <c r="B93" t="s">
        <v>8</v>
      </c>
      <c r="F93" t="s">
        <v>258</v>
      </c>
      <c r="G93" t="s">
        <v>91</v>
      </c>
    </row>
    <row r="94" spans="1:7" hidden="1" x14ac:dyDescent="0.25">
      <c r="A94" t="s">
        <v>4</v>
      </c>
      <c r="B94" t="s">
        <v>8</v>
      </c>
      <c r="F94" t="s">
        <v>261</v>
      </c>
      <c r="G94" t="s">
        <v>91</v>
      </c>
    </row>
    <row r="95" spans="1:7" hidden="1" x14ac:dyDescent="0.25">
      <c r="A95" t="s">
        <v>4</v>
      </c>
      <c r="B95" t="s">
        <v>8</v>
      </c>
      <c r="F95" t="s">
        <v>264</v>
      </c>
      <c r="G95" t="s">
        <v>91</v>
      </c>
    </row>
    <row r="96" spans="1:7" hidden="1" x14ac:dyDescent="0.25">
      <c r="A96" t="s">
        <v>4</v>
      </c>
      <c r="B96" t="s">
        <v>8</v>
      </c>
      <c r="F96" t="s">
        <v>267</v>
      </c>
      <c r="G96" t="s">
        <v>91</v>
      </c>
    </row>
    <row r="97" spans="1:7" hidden="1" x14ac:dyDescent="0.25">
      <c r="A97" t="s">
        <v>4</v>
      </c>
      <c r="B97" t="s">
        <v>8</v>
      </c>
      <c r="F97" t="s">
        <v>270</v>
      </c>
      <c r="G97" t="s">
        <v>91</v>
      </c>
    </row>
    <row r="98" spans="1:7" hidden="1" x14ac:dyDescent="0.25">
      <c r="A98" t="s">
        <v>4</v>
      </c>
      <c r="B98" t="s">
        <v>8</v>
      </c>
      <c r="F98" t="s">
        <v>273</v>
      </c>
      <c r="G98" t="s">
        <v>91</v>
      </c>
    </row>
    <row r="99" spans="1:7" hidden="1" x14ac:dyDescent="0.25">
      <c r="A99" t="s">
        <v>4</v>
      </c>
      <c r="B99" t="s">
        <v>8</v>
      </c>
      <c r="F99" t="s">
        <v>276</v>
      </c>
      <c r="G99" t="s">
        <v>91</v>
      </c>
    </row>
    <row r="100" spans="1:7" hidden="1" x14ac:dyDescent="0.25">
      <c r="A100" t="s">
        <v>290</v>
      </c>
      <c r="B100" t="s">
        <v>66</v>
      </c>
      <c r="C100" t="s">
        <v>88</v>
      </c>
      <c r="F100" t="s">
        <v>279</v>
      </c>
      <c r="G100" t="s">
        <v>91</v>
      </c>
    </row>
    <row r="101" spans="1:7" hidden="1" x14ac:dyDescent="0.25">
      <c r="A101" t="s">
        <v>4</v>
      </c>
      <c r="B101" t="s">
        <v>8</v>
      </c>
      <c r="F101" t="s">
        <v>282</v>
      </c>
      <c r="G101" t="s">
        <v>91</v>
      </c>
    </row>
    <row r="102" spans="1:7" hidden="1" x14ac:dyDescent="0.25">
      <c r="A102" t="s">
        <v>4</v>
      </c>
      <c r="B102" t="s">
        <v>8</v>
      </c>
      <c r="F102" t="s">
        <v>285</v>
      </c>
      <c r="G102" t="s">
        <v>91</v>
      </c>
    </row>
    <row r="103" spans="1:7" hidden="1" x14ac:dyDescent="0.25">
      <c r="A103" t="s">
        <v>4</v>
      </c>
      <c r="B103" t="s">
        <v>8</v>
      </c>
      <c r="E103" t="s">
        <v>5</v>
      </c>
      <c r="F103" t="s">
        <v>291</v>
      </c>
      <c r="G103" t="s">
        <v>1104</v>
      </c>
    </row>
    <row r="104" spans="1:7" hidden="1" x14ac:dyDescent="0.25">
      <c r="A104" t="s">
        <v>4</v>
      </c>
      <c r="B104" t="s">
        <v>8</v>
      </c>
      <c r="E104" t="s">
        <v>6</v>
      </c>
      <c r="F104" t="s">
        <v>295</v>
      </c>
      <c r="G104" t="s">
        <v>1104</v>
      </c>
    </row>
    <row r="105" spans="1:7" hidden="1" x14ac:dyDescent="0.25">
      <c r="A105" t="s">
        <v>4</v>
      </c>
      <c r="B105" t="s">
        <v>8</v>
      </c>
      <c r="E105" t="s">
        <v>5</v>
      </c>
      <c r="F105" t="s">
        <v>298</v>
      </c>
      <c r="G105" t="s">
        <v>1104</v>
      </c>
    </row>
    <row r="106" spans="1:7" hidden="1" x14ac:dyDescent="0.25">
      <c r="A106" t="s">
        <v>4</v>
      </c>
      <c r="B106" t="s">
        <v>8</v>
      </c>
      <c r="E106" t="s">
        <v>6</v>
      </c>
      <c r="F106" t="s">
        <v>301</v>
      </c>
      <c r="G106" t="s">
        <v>1104</v>
      </c>
    </row>
    <row r="107" spans="1:7" hidden="1" x14ac:dyDescent="0.25">
      <c r="A107" t="s">
        <v>4</v>
      </c>
      <c r="B107" t="s">
        <v>8</v>
      </c>
      <c r="E107" t="s">
        <v>331</v>
      </c>
      <c r="F107" t="s">
        <v>304</v>
      </c>
      <c r="G107" t="s">
        <v>1104</v>
      </c>
    </row>
    <row r="108" spans="1:7" hidden="1" x14ac:dyDescent="0.25">
      <c r="A108" t="s">
        <v>4</v>
      </c>
      <c r="B108" t="s">
        <v>8</v>
      </c>
      <c r="E108" t="s">
        <v>331</v>
      </c>
      <c r="F108" t="s">
        <v>307</v>
      </c>
      <c r="G108" t="s">
        <v>1104</v>
      </c>
    </row>
    <row r="109" spans="1:7" hidden="1" x14ac:dyDescent="0.25">
      <c r="A109" t="s">
        <v>4</v>
      </c>
      <c r="B109" t="s">
        <v>8</v>
      </c>
      <c r="E109" t="s">
        <v>332</v>
      </c>
      <c r="F109" t="s">
        <v>310</v>
      </c>
      <c r="G109" t="s">
        <v>1104</v>
      </c>
    </row>
    <row r="110" spans="1:7" hidden="1" x14ac:dyDescent="0.25">
      <c r="A110" t="s">
        <v>4</v>
      </c>
      <c r="B110" t="s">
        <v>8</v>
      </c>
      <c r="E110" t="s">
        <v>6</v>
      </c>
      <c r="F110" t="s">
        <v>313</v>
      </c>
      <c r="G110" t="s">
        <v>1104</v>
      </c>
    </row>
    <row r="111" spans="1:7" hidden="1" x14ac:dyDescent="0.25">
      <c r="A111" t="s">
        <v>4</v>
      </c>
      <c r="B111" t="s">
        <v>8</v>
      </c>
      <c r="E111" t="s">
        <v>5</v>
      </c>
      <c r="F111" t="s">
        <v>316</v>
      </c>
      <c r="G111" t="s">
        <v>1104</v>
      </c>
    </row>
    <row r="112" spans="1:7" hidden="1" x14ac:dyDescent="0.25">
      <c r="A112" t="s">
        <v>4</v>
      </c>
      <c r="B112" t="s">
        <v>8</v>
      </c>
      <c r="E112" t="s">
        <v>331</v>
      </c>
      <c r="F112" t="s">
        <v>319</v>
      </c>
      <c r="G112" t="s">
        <v>1104</v>
      </c>
    </row>
    <row r="113" spans="1:7" hidden="1" x14ac:dyDescent="0.25">
      <c r="A113" t="s">
        <v>4</v>
      </c>
      <c r="B113" t="s">
        <v>8</v>
      </c>
      <c r="E113" t="s">
        <v>6</v>
      </c>
      <c r="F113" t="s">
        <v>322</v>
      </c>
      <c r="G113" t="s">
        <v>1104</v>
      </c>
    </row>
    <row r="114" spans="1:7" hidden="1" x14ac:dyDescent="0.25">
      <c r="A114" t="s">
        <v>4</v>
      </c>
      <c r="B114" t="s">
        <v>8</v>
      </c>
      <c r="E114" t="s">
        <v>5</v>
      </c>
      <c r="F114" t="s">
        <v>325</v>
      </c>
      <c r="G114" t="s">
        <v>1104</v>
      </c>
    </row>
    <row r="115" spans="1:7" hidden="1" x14ac:dyDescent="0.25">
      <c r="A115" s="1" t="s">
        <v>4</v>
      </c>
      <c r="B115" s="1" t="s">
        <v>8</v>
      </c>
      <c r="C115" s="1"/>
      <c r="D115" s="1"/>
      <c r="E115" s="1" t="s">
        <v>6</v>
      </c>
      <c r="F115" s="1" t="s">
        <v>328</v>
      </c>
      <c r="G115" t="s">
        <v>1104</v>
      </c>
    </row>
    <row r="116" spans="1:7" hidden="1" x14ac:dyDescent="0.25">
      <c r="A116" t="s">
        <v>4</v>
      </c>
      <c r="B116" t="s">
        <v>8</v>
      </c>
      <c r="E116" t="s">
        <v>5</v>
      </c>
      <c r="F116" t="s">
        <v>333</v>
      </c>
      <c r="G116" t="s">
        <v>1105</v>
      </c>
    </row>
    <row r="117" spans="1:7" hidden="1" x14ac:dyDescent="0.25">
      <c r="A117" t="s">
        <v>460</v>
      </c>
      <c r="B117" t="s">
        <v>461</v>
      </c>
      <c r="F117" t="s">
        <v>337</v>
      </c>
      <c r="G117" t="s">
        <v>1105</v>
      </c>
    </row>
    <row r="118" spans="1:7" hidden="1" x14ac:dyDescent="0.25">
      <c r="A118" t="s">
        <v>7</v>
      </c>
      <c r="B118" t="s">
        <v>461</v>
      </c>
      <c r="F118" t="s">
        <v>340</v>
      </c>
      <c r="G118" t="s">
        <v>1105</v>
      </c>
    </row>
    <row r="119" spans="1:7" hidden="1" x14ac:dyDescent="0.25">
      <c r="A119" t="s">
        <v>4</v>
      </c>
      <c r="B119" t="s">
        <v>463</v>
      </c>
      <c r="F119" t="s">
        <v>343</v>
      </c>
      <c r="G119" t="s">
        <v>1105</v>
      </c>
    </row>
    <row r="120" spans="1:7" hidden="1" x14ac:dyDescent="0.25">
      <c r="A120" t="s">
        <v>4</v>
      </c>
      <c r="B120" t="s">
        <v>462</v>
      </c>
      <c r="F120" t="s">
        <v>346</v>
      </c>
      <c r="G120" t="s">
        <v>1105</v>
      </c>
    </row>
    <row r="121" spans="1:7" hidden="1" x14ac:dyDescent="0.25">
      <c r="A121" t="s">
        <v>4</v>
      </c>
      <c r="B121" t="s">
        <v>462</v>
      </c>
      <c r="F121" t="s">
        <v>349</v>
      </c>
      <c r="G121" t="s">
        <v>1105</v>
      </c>
    </row>
    <row r="122" spans="1:7" hidden="1" x14ac:dyDescent="0.25">
      <c r="A122" t="s">
        <v>4</v>
      </c>
      <c r="B122" t="s">
        <v>463</v>
      </c>
      <c r="F122" t="s">
        <v>352</v>
      </c>
      <c r="G122" t="s">
        <v>1105</v>
      </c>
    </row>
    <row r="123" spans="1:7" hidden="1" x14ac:dyDescent="0.25">
      <c r="A123" t="s">
        <v>4</v>
      </c>
      <c r="B123" t="s">
        <v>464</v>
      </c>
      <c r="F123" t="s">
        <v>355</v>
      </c>
      <c r="G123" t="s">
        <v>1105</v>
      </c>
    </row>
    <row r="124" spans="1:7" hidden="1" x14ac:dyDescent="0.25">
      <c r="A124" t="s">
        <v>4</v>
      </c>
      <c r="B124" t="s">
        <v>8</v>
      </c>
      <c r="E124" t="s">
        <v>5</v>
      </c>
      <c r="F124" t="s">
        <v>358</v>
      </c>
      <c r="G124" t="s">
        <v>1105</v>
      </c>
    </row>
    <row r="125" spans="1:7" hidden="1" x14ac:dyDescent="0.25">
      <c r="A125" t="s">
        <v>4</v>
      </c>
      <c r="B125" t="s">
        <v>465</v>
      </c>
      <c r="F125" t="s">
        <v>361</v>
      </c>
      <c r="G125" t="s">
        <v>1105</v>
      </c>
    </row>
    <row r="126" spans="1:7" hidden="1" x14ac:dyDescent="0.25">
      <c r="A126" t="s">
        <v>467</v>
      </c>
      <c r="B126" t="s">
        <v>67</v>
      </c>
      <c r="F126" t="s">
        <v>364</v>
      </c>
      <c r="G126" t="s">
        <v>1105</v>
      </c>
    </row>
    <row r="127" spans="1:7" hidden="1" x14ac:dyDescent="0.25">
      <c r="A127" t="s">
        <v>289</v>
      </c>
      <c r="B127" t="s">
        <v>67</v>
      </c>
      <c r="C127" t="s">
        <v>468</v>
      </c>
      <c r="F127" t="s">
        <v>367</v>
      </c>
      <c r="G127" t="s">
        <v>1105</v>
      </c>
    </row>
    <row r="128" spans="1:7" hidden="1" x14ac:dyDescent="0.25">
      <c r="A128" t="s">
        <v>289</v>
      </c>
      <c r="B128" t="s">
        <v>67</v>
      </c>
      <c r="C128" t="s">
        <v>468</v>
      </c>
      <c r="F128" t="s">
        <v>370</v>
      </c>
      <c r="G128" t="s">
        <v>1105</v>
      </c>
    </row>
    <row r="129" spans="1:7" hidden="1" x14ac:dyDescent="0.25">
      <c r="A129" t="s">
        <v>289</v>
      </c>
      <c r="B129" t="s">
        <v>67</v>
      </c>
      <c r="C129" t="s">
        <v>468</v>
      </c>
      <c r="F129" t="s">
        <v>373</v>
      </c>
      <c r="G129" t="s">
        <v>1105</v>
      </c>
    </row>
    <row r="130" spans="1:7" hidden="1" x14ac:dyDescent="0.25">
      <c r="A130" t="s">
        <v>289</v>
      </c>
      <c r="B130" t="s">
        <v>67</v>
      </c>
      <c r="C130" t="s">
        <v>468</v>
      </c>
      <c r="F130" t="s">
        <v>376</v>
      </c>
      <c r="G130" t="s">
        <v>1105</v>
      </c>
    </row>
    <row r="131" spans="1:7" hidden="1" x14ac:dyDescent="0.25">
      <c r="A131" t="s">
        <v>289</v>
      </c>
      <c r="B131" t="s">
        <v>67</v>
      </c>
      <c r="C131" t="s">
        <v>468</v>
      </c>
      <c r="F131" t="s">
        <v>379</v>
      </c>
      <c r="G131" t="s">
        <v>1105</v>
      </c>
    </row>
    <row r="132" spans="1:7" hidden="1" x14ac:dyDescent="0.25">
      <c r="A132" t="s">
        <v>289</v>
      </c>
      <c r="B132" t="s">
        <v>67</v>
      </c>
      <c r="C132" t="s">
        <v>468</v>
      </c>
      <c r="F132" t="s">
        <v>382</v>
      </c>
      <c r="G132" t="s">
        <v>1105</v>
      </c>
    </row>
    <row r="133" spans="1:7" hidden="1" x14ac:dyDescent="0.25">
      <c r="A133" t="s">
        <v>289</v>
      </c>
      <c r="B133" t="s">
        <v>67</v>
      </c>
      <c r="C133" t="s">
        <v>468</v>
      </c>
      <c r="F133" t="s">
        <v>385</v>
      </c>
      <c r="G133" t="s">
        <v>1105</v>
      </c>
    </row>
    <row r="134" spans="1:7" hidden="1" x14ac:dyDescent="0.25">
      <c r="A134" t="s">
        <v>289</v>
      </c>
      <c r="B134" t="s">
        <v>67</v>
      </c>
      <c r="C134" t="s">
        <v>468</v>
      </c>
      <c r="F134" t="s">
        <v>388</v>
      </c>
      <c r="G134" t="s">
        <v>1105</v>
      </c>
    </row>
    <row r="135" spans="1:7" hidden="1" x14ac:dyDescent="0.25">
      <c r="A135" t="s">
        <v>289</v>
      </c>
      <c r="B135" t="s">
        <v>67</v>
      </c>
      <c r="C135" t="s">
        <v>468</v>
      </c>
      <c r="F135" t="s">
        <v>391</v>
      </c>
      <c r="G135" t="s">
        <v>1105</v>
      </c>
    </row>
    <row r="136" spans="1:7" hidden="1" x14ac:dyDescent="0.25">
      <c r="A136" t="s">
        <v>289</v>
      </c>
      <c r="B136" t="s">
        <v>67</v>
      </c>
      <c r="C136" t="s">
        <v>468</v>
      </c>
      <c r="F136" t="s">
        <v>394</v>
      </c>
      <c r="G136" t="s">
        <v>1105</v>
      </c>
    </row>
    <row r="137" spans="1:7" hidden="1" x14ac:dyDescent="0.25">
      <c r="A137" t="s">
        <v>289</v>
      </c>
      <c r="B137" t="s">
        <v>67</v>
      </c>
      <c r="C137" t="s">
        <v>468</v>
      </c>
      <c r="F137" t="s">
        <v>397</v>
      </c>
      <c r="G137" t="s">
        <v>1105</v>
      </c>
    </row>
    <row r="138" spans="1:7" hidden="1" x14ac:dyDescent="0.25">
      <c r="A138" t="s">
        <v>289</v>
      </c>
      <c r="B138" t="s">
        <v>67</v>
      </c>
      <c r="C138" t="s">
        <v>468</v>
      </c>
      <c r="F138" t="s">
        <v>400</v>
      </c>
      <c r="G138" t="s">
        <v>1105</v>
      </c>
    </row>
    <row r="139" spans="1:7" hidden="1" x14ac:dyDescent="0.25">
      <c r="A139" t="s">
        <v>289</v>
      </c>
      <c r="B139" t="s">
        <v>67</v>
      </c>
      <c r="C139" t="s">
        <v>468</v>
      </c>
      <c r="F139" t="s">
        <v>403</v>
      </c>
      <c r="G139" t="s">
        <v>1105</v>
      </c>
    </row>
    <row r="140" spans="1:7" hidden="1" x14ac:dyDescent="0.25">
      <c r="A140" t="s">
        <v>289</v>
      </c>
      <c r="B140" t="s">
        <v>67</v>
      </c>
      <c r="C140" t="s">
        <v>468</v>
      </c>
      <c r="F140" t="s">
        <v>406</v>
      </c>
      <c r="G140" t="s">
        <v>1105</v>
      </c>
    </row>
    <row r="141" spans="1:7" hidden="1" x14ac:dyDescent="0.25">
      <c r="A141" t="s">
        <v>289</v>
      </c>
      <c r="B141" t="s">
        <v>67</v>
      </c>
      <c r="C141" t="s">
        <v>469</v>
      </c>
      <c r="E141" t="s">
        <v>470</v>
      </c>
      <c r="F141" t="s">
        <v>409</v>
      </c>
      <c r="G141" t="s">
        <v>1105</v>
      </c>
    </row>
    <row r="142" spans="1:7" hidden="1" x14ac:dyDescent="0.25">
      <c r="A142" t="s">
        <v>471</v>
      </c>
      <c r="B142" t="s">
        <v>67</v>
      </c>
      <c r="C142" t="s">
        <v>468</v>
      </c>
      <c r="F142" t="s">
        <v>412</v>
      </c>
      <c r="G142" t="s">
        <v>1105</v>
      </c>
    </row>
    <row r="143" spans="1:7" hidden="1" x14ac:dyDescent="0.25">
      <c r="A143" t="s">
        <v>472</v>
      </c>
      <c r="B143" t="s">
        <v>67</v>
      </c>
      <c r="C143" t="s">
        <v>468</v>
      </c>
      <c r="F143" t="s">
        <v>415</v>
      </c>
      <c r="G143" t="s">
        <v>1105</v>
      </c>
    </row>
    <row r="144" spans="1:7" hidden="1" x14ac:dyDescent="0.25">
      <c r="A144" t="s">
        <v>4</v>
      </c>
      <c r="B144" t="s">
        <v>473</v>
      </c>
      <c r="F144" t="s">
        <v>418</v>
      </c>
      <c r="G144" t="s">
        <v>1105</v>
      </c>
    </row>
    <row r="145" spans="1:7" hidden="1" x14ac:dyDescent="0.25">
      <c r="A145" t="s">
        <v>4</v>
      </c>
      <c r="B145" t="s">
        <v>8</v>
      </c>
      <c r="E145" t="s">
        <v>5</v>
      </c>
      <c r="F145" t="s">
        <v>421</v>
      </c>
      <c r="G145" t="s">
        <v>1105</v>
      </c>
    </row>
    <row r="146" spans="1:7" hidden="1" x14ac:dyDescent="0.25">
      <c r="A146" t="s">
        <v>4</v>
      </c>
      <c r="B146" t="s">
        <v>8</v>
      </c>
      <c r="F146" t="s">
        <v>424</v>
      </c>
      <c r="G146" t="s">
        <v>1105</v>
      </c>
    </row>
    <row r="147" spans="1:7" hidden="1" x14ac:dyDescent="0.25">
      <c r="A147" t="s">
        <v>4</v>
      </c>
      <c r="B147" t="s">
        <v>477</v>
      </c>
      <c r="E147" t="s">
        <v>478</v>
      </c>
      <c r="F147" t="s">
        <v>427</v>
      </c>
      <c r="G147" t="s">
        <v>1105</v>
      </c>
    </row>
    <row r="148" spans="1:7" hidden="1" x14ac:dyDescent="0.25">
      <c r="A148" t="s">
        <v>4</v>
      </c>
      <c r="B148" t="s">
        <v>8</v>
      </c>
      <c r="E148" t="s">
        <v>5</v>
      </c>
      <c r="F148" t="s">
        <v>430</v>
      </c>
      <c r="G148" t="s">
        <v>1105</v>
      </c>
    </row>
    <row r="149" spans="1:7" hidden="1" x14ac:dyDescent="0.25">
      <c r="A149" t="s">
        <v>4</v>
      </c>
      <c r="B149" t="s">
        <v>8</v>
      </c>
      <c r="E149" t="s">
        <v>474</v>
      </c>
      <c r="F149" t="s">
        <v>433</v>
      </c>
      <c r="G149" t="s">
        <v>1105</v>
      </c>
    </row>
    <row r="150" spans="1:7" hidden="1" x14ac:dyDescent="0.25">
      <c r="A150" t="s">
        <v>4</v>
      </c>
      <c r="B150" t="s">
        <v>8</v>
      </c>
      <c r="F150" t="s">
        <v>436</v>
      </c>
      <c r="G150" t="s">
        <v>1105</v>
      </c>
    </row>
    <row r="151" spans="1:7" hidden="1" x14ac:dyDescent="0.25">
      <c r="A151" t="s">
        <v>4</v>
      </c>
      <c r="B151" t="s">
        <v>8</v>
      </c>
      <c r="E151" t="s">
        <v>6</v>
      </c>
      <c r="F151" t="s">
        <v>439</v>
      </c>
      <c r="G151" t="s">
        <v>1105</v>
      </c>
    </row>
    <row r="152" spans="1:7" hidden="1" x14ac:dyDescent="0.25">
      <c r="A152" t="s">
        <v>4</v>
      </c>
      <c r="B152" t="s">
        <v>8</v>
      </c>
      <c r="E152" t="s">
        <v>5</v>
      </c>
      <c r="F152" t="s">
        <v>442</v>
      </c>
      <c r="G152" t="s">
        <v>1105</v>
      </c>
    </row>
    <row r="153" spans="1:7" hidden="1" x14ac:dyDescent="0.25">
      <c r="A153" t="s">
        <v>4</v>
      </c>
      <c r="B153" t="s">
        <v>475</v>
      </c>
      <c r="F153" t="s">
        <v>445</v>
      </c>
      <c r="G153" t="s">
        <v>1105</v>
      </c>
    </row>
    <row r="154" spans="1:7" hidden="1" x14ac:dyDescent="0.25">
      <c r="A154" t="s">
        <v>4</v>
      </c>
      <c r="B154" t="s">
        <v>475</v>
      </c>
      <c r="F154" t="s">
        <v>448</v>
      </c>
      <c r="G154" t="s">
        <v>1105</v>
      </c>
    </row>
    <row r="155" spans="1:7" hidden="1" x14ac:dyDescent="0.25">
      <c r="A155" t="s">
        <v>4</v>
      </c>
      <c r="B155" t="s">
        <v>479</v>
      </c>
      <c r="E155" t="s">
        <v>476</v>
      </c>
      <c r="F155" t="s">
        <v>451</v>
      </c>
      <c r="G155" t="s">
        <v>1105</v>
      </c>
    </row>
    <row r="156" spans="1:7" hidden="1" x14ac:dyDescent="0.25">
      <c r="A156" t="s">
        <v>4</v>
      </c>
      <c r="B156" t="s">
        <v>8</v>
      </c>
      <c r="F156" t="s">
        <v>454</v>
      </c>
      <c r="G156" t="s">
        <v>1105</v>
      </c>
    </row>
    <row r="157" spans="1:7" hidden="1" x14ac:dyDescent="0.25">
      <c r="A157" s="1" t="s">
        <v>4</v>
      </c>
      <c r="B157" s="1" t="s">
        <v>8</v>
      </c>
      <c r="C157" s="1"/>
      <c r="D157" s="1"/>
      <c r="E157" s="1" t="s">
        <v>6</v>
      </c>
      <c r="F157" s="1" t="s">
        <v>457</v>
      </c>
      <c r="G157" t="s">
        <v>1105</v>
      </c>
    </row>
    <row r="158" spans="1:7" hidden="1" x14ac:dyDescent="0.25">
      <c r="A158" t="s">
        <v>4</v>
      </c>
      <c r="B158" t="s">
        <v>8</v>
      </c>
      <c r="E158" t="s">
        <v>5</v>
      </c>
      <c r="F158" t="s">
        <v>480</v>
      </c>
      <c r="G158" t="s">
        <v>1106</v>
      </c>
    </row>
    <row r="159" spans="1:7" hidden="1" x14ac:dyDescent="0.25">
      <c r="A159" t="s">
        <v>4</v>
      </c>
      <c r="B159" t="s">
        <v>8</v>
      </c>
      <c r="E159" t="s">
        <v>6</v>
      </c>
      <c r="F159" t="s">
        <v>483</v>
      </c>
      <c r="G159" t="s">
        <v>1106</v>
      </c>
    </row>
    <row r="160" spans="1:7" hidden="1" x14ac:dyDescent="0.25">
      <c r="A160" t="s">
        <v>4</v>
      </c>
      <c r="B160" t="s">
        <v>8</v>
      </c>
      <c r="E160" t="s">
        <v>5</v>
      </c>
      <c r="F160" t="s">
        <v>486</v>
      </c>
      <c r="G160" t="s">
        <v>1106</v>
      </c>
    </row>
    <row r="161" spans="1:7" hidden="1" x14ac:dyDescent="0.25">
      <c r="A161" t="s">
        <v>289</v>
      </c>
      <c r="B161" t="s">
        <v>86</v>
      </c>
      <c r="C161" t="s">
        <v>528</v>
      </c>
      <c r="F161" t="s">
        <v>489</v>
      </c>
      <c r="G161" t="s">
        <v>1106</v>
      </c>
    </row>
    <row r="162" spans="1:7" hidden="1" x14ac:dyDescent="0.25">
      <c r="A162" t="s">
        <v>159</v>
      </c>
      <c r="B162" t="s">
        <v>86</v>
      </c>
      <c r="C162" t="s">
        <v>528</v>
      </c>
      <c r="F162" t="s">
        <v>492</v>
      </c>
      <c r="G162" t="s">
        <v>1106</v>
      </c>
    </row>
    <row r="163" spans="1:7" hidden="1" x14ac:dyDescent="0.25">
      <c r="A163" t="s">
        <v>4</v>
      </c>
      <c r="B163" t="s">
        <v>8</v>
      </c>
      <c r="F163" t="s">
        <v>495</v>
      </c>
      <c r="G163" t="s">
        <v>1106</v>
      </c>
    </row>
    <row r="164" spans="1:7" hidden="1" x14ac:dyDescent="0.25">
      <c r="A164" t="s">
        <v>4</v>
      </c>
      <c r="B164" t="s">
        <v>8</v>
      </c>
      <c r="F164" t="s">
        <v>498</v>
      </c>
      <c r="G164" t="s">
        <v>1106</v>
      </c>
    </row>
    <row r="165" spans="1:7" hidden="1" x14ac:dyDescent="0.25">
      <c r="A165" t="s">
        <v>4</v>
      </c>
      <c r="B165" t="s">
        <v>529</v>
      </c>
      <c r="F165" t="s">
        <v>501</v>
      </c>
      <c r="G165" t="s">
        <v>1106</v>
      </c>
    </row>
    <row r="166" spans="1:7" hidden="1" x14ac:dyDescent="0.25">
      <c r="A166" t="s">
        <v>4</v>
      </c>
      <c r="B166" t="s">
        <v>8</v>
      </c>
      <c r="E166" t="s">
        <v>6</v>
      </c>
      <c r="F166" t="s">
        <v>504</v>
      </c>
      <c r="G166" t="s">
        <v>1106</v>
      </c>
    </row>
    <row r="167" spans="1:7" hidden="1" x14ac:dyDescent="0.25">
      <c r="A167" t="s">
        <v>4</v>
      </c>
      <c r="B167" t="s">
        <v>8</v>
      </c>
      <c r="E167" t="s">
        <v>5</v>
      </c>
      <c r="F167" t="s">
        <v>507</v>
      </c>
      <c r="G167" t="s">
        <v>1106</v>
      </c>
    </row>
    <row r="168" spans="1:7" hidden="1" x14ac:dyDescent="0.25">
      <c r="A168" t="s">
        <v>289</v>
      </c>
      <c r="B168" t="s">
        <v>86</v>
      </c>
      <c r="C168" t="s">
        <v>530</v>
      </c>
      <c r="F168" t="s">
        <v>510</v>
      </c>
      <c r="G168" t="s">
        <v>1106</v>
      </c>
    </row>
    <row r="169" spans="1:7" hidden="1" x14ac:dyDescent="0.25">
      <c r="A169" t="s">
        <v>289</v>
      </c>
      <c r="B169" t="s">
        <v>86</v>
      </c>
      <c r="C169" t="s">
        <v>530</v>
      </c>
      <c r="F169" t="s">
        <v>513</v>
      </c>
      <c r="G169" t="s">
        <v>1106</v>
      </c>
    </row>
    <row r="170" spans="1:7" hidden="1" x14ac:dyDescent="0.25">
      <c r="A170" t="s">
        <v>533</v>
      </c>
      <c r="B170" t="s">
        <v>531</v>
      </c>
      <c r="C170" t="s">
        <v>534</v>
      </c>
      <c r="F170" t="s">
        <v>516</v>
      </c>
      <c r="G170" t="s">
        <v>1106</v>
      </c>
    </row>
    <row r="171" spans="1:7" hidden="1" x14ac:dyDescent="0.25">
      <c r="A171" t="s">
        <v>289</v>
      </c>
      <c r="B171" t="s">
        <v>86</v>
      </c>
      <c r="C171" t="s">
        <v>532</v>
      </c>
      <c r="F171" t="s">
        <v>519</v>
      </c>
      <c r="G171" t="s">
        <v>1106</v>
      </c>
    </row>
    <row r="172" spans="1:7" hidden="1" x14ac:dyDescent="0.25">
      <c r="A172" t="s">
        <v>289</v>
      </c>
      <c r="B172" t="s">
        <v>86</v>
      </c>
      <c r="C172" t="s">
        <v>532</v>
      </c>
      <c r="F172" t="s">
        <v>522</v>
      </c>
      <c r="G172" t="s">
        <v>1106</v>
      </c>
    </row>
    <row r="173" spans="1:7" hidden="1" x14ac:dyDescent="0.25">
      <c r="A173" s="1" t="s">
        <v>4</v>
      </c>
      <c r="B173" s="1" t="s">
        <v>8</v>
      </c>
      <c r="C173" s="1"/>
      <c r="D173" s="1"/>
      <c r="E173" s="1" t="s">
        <v>6</v>
      </c>
      <c r="F173" s="1" t="s">
        <v>525</v>
      </c>
      <c r="G173" t="s">
        <v>1106</v>
      </c>
    </row>
    <row r="174" spans="1:7" hidden="1" x14ac:dyDescent="0.25">
      <c r="A174" t="s">
        <v>4</v>
      </c>
      <c r="B174" t="s">
        <v>8</v>
      </c>
      <c r="E174" t="s">
        <v>5</v>
      </c>
      <c r="F174" t="s">
        <v>535</v>
      </c>
      <c r="G174" t="s">
        <v>1107</v>
      </c>
    </row>
    <row r="175" spans="1:7" hidden="1" x14ac:dyDescent="0.25">
      <c r="A175" t="s">
        <v>4</v>
      </c>
      <c r="B175" t="s">
        <v>11</v>
      </c>
      <c r="F175" t="s">
        <v>538</v>
      </c>
      <c r="G175" t="s">
        <v>1107</v>
      </c>
    </row>
    <row r="176" spans="1:7" hidden="1" x14ac:dyDescent="0.25">
      <c r="A176" t="s">
        <v>4</v>
      </c>
      <c r="B176" t="s">
        <v>19</v>
      </c>
      <c r="F176" t="s">
        <v>541</v>
      </c>
      <c r="G176" t="s">
        <v>1107</v>
      </c>
    </row>
    <row r="177" spans="1:7" hidden="1" x14ac:dyDescent="0.25">
      <c r="A177" t="s">
        <v>4</v>
      </c>
      <c r="B177" t="s">
        <v>19</v>
      </c>
      <c r="F177" t="s">
        <v>544</v>
      </c>
      <c r="G177" t="s">
        <v>1107</v>
      </c>
    </row>
    <row r="178" spans="1:7" hidden="1" x14ac:dyDescent="0.25">
      <c r="A178" t="s">
        <v>4</v>
      </c>
      <c r="B178" t="s">
        <v>8</v>
      </c>
      <c r="E178" t="s">
        <v>6</v>
      </c>
      <c r="F178" t="s">
        <v>547</v>
      </c>
      <c r="G178" t="s">
        <v>1107</v>
      </c>
    </row>
    <row r="179" spans="1:7" hidden="1" x14ac:dyDescent="0.25">
      <c r="A179" t="s">
        <v>4</v>
      </c>
      <c r="B179" t="s">
        <v>8</v>
      </c>
      <c r="E179" t="s">
        <v>5</v>
      </c>
      <c r="F179" t="s">
        <v>550</v>
      </c>
      <c r="G179" t="s">
        <v>1107</v>
      </c>
    </row>
    <row r="180" spans="1:7" hidden="1" x14ac:dyDescent="0.25">
      <c r="A180" t="s">
        <v>4</v>
      </c>
      <c r="B180" t="s">
        <v>19</v>
      </c>
      <c r="F180" t="s">
        <v>553</v>
      </c>
      <c r="G180" t="s">
        <v>1107</v>
      </c>
    </row>
    <row r="181" spans="1:7" hidden="1" x14ac:dyDescent="0.25">
      <c r="A181" t="s">
        <v>4</v>
      </c>
      <c r="B181" t="s">
        <v>19</v>
      </c>
      <c r="F181" t="s">
        <v>556</v>
      </c>
      <c r="G181" t="s">
        <v>1107</v>
      </c>
    </row>
    <row r="182" spans="1:7" hidden="1" x14ac:dyDescent="0.25">
      <c r="A182" t="s">
        <v>648</v>
      </c>
      <c r="B182" t="s">
        <v>86</v>
      </c>
      <c r="C182" t="s">
        <v>528</v>
      </c>
      <c r="F182" t="s">
        <v>559</v>
      </c>
      <c r="G182" t="s">
        <v>1107</v>
      </c>
    </row>
    <row r="183" spans="1:7" hidden="1" x14ac:dyDescent="0.25">
      <c r="A183" t="s">
        <v>4</v>
      </c>
      <c r="B183" t="s">
        <v>19</v>
      </c>
      <c r="F183" t="s">
        <v>562</v>
      </c>
      <c r="G183" t="s">
        <v>1107</v>
      </c>
    </row>
    <row r="184" spans="1:7" hidden="1" x14ac:dyDescent="0.25">
      <c r="A184" t="s">
        <v>158</v>
      </c>
      <c r="B184" t="s">
        <v>86</v>
      </c>
      <c r="C184" t="s">
        <v>649</v>
      </c>
      <c r="F184" t="s">
        <v>565</v>
      </c>
      <c r="G184" t="s">
        <v>1107</v>
      </c>
    </row>
    <row r="185" spans="1:7" hidden="1" x14ac:dyDescent="0.25">
      <c r="A185" t="s">
        <v>290</v>
      </c>
      <c r="B185" t="s">
        <v>86</v>
      </c>
      <c r="C185" t="s">
        <v>649</v>
      </c>
      <c r="F185" t="s">
        <v>568</v>
      </c>
      <c r="G185" t="s">
        <v>1107</v>
      </c>
    </row>
    <row r="186" spans="1:7" hidden="1" x14ac:dyDescent="0.25">
      <c r="A186" t="s">
        <v>289</v>
      </c>
      <c r="B186" t="s">
        <v>86</v>
      </c>
      <c r="C186" t="s">
        <v>60</v>
      </c>
      <c r="D186">
        <v>2</v>
      </c>
      <c r="F186" t="s">
        <v>571</v>
      </c>
      <c r="G186" t="s">
        <v>1107</v>
      </c>
    </row>
    <row r="187" spans="1:7" hidden="1" x14ac:dyDescent="0.25">
      <c r="A187" t="s">
        <v>650</v>
      </c>
      <c r="B187" t="s">
        <v>86</v>
      </c>
      <c r="C187" t="s">
        <v>60</v>
      </c>
      <c r="F187" t="s">
        <v>574</v>
      </c>
      <c r="G187" t="s">
        <v>1107</v>
      </c>
    </row>
    <row r="188" spans="1:7" hidden="1" x14ac:dyDescent="0.25">
      <c r="A188" t="s">
        <v>4</v>
      </c>
      <c r="B188" t="s">
        <v>12</v>
      </c>
      <c r="F188" t="s">
        <v>577</v>
      </c>
      <c r="G188" t="s">
        <v>1107</v>
      </c>
    </row>
    <row r="189" spans="1:7" hidden="1" x14ac:dyDescent="0.25">
      <c r="A189" t="s">
        <v>4</v>
      </c>
      <c r="B189" t="s">
        <v>651</v>
      </c>
      <c r="F189" t="s">
        <v>580</v>
      </c>
      <c r="G189" t="s">
        <v>1107</v>
      </c>
    </row>
    <row r="190" spans="1:7" hidden="1" x14ac:dyDescent="0.25">
      <c r="A190" t="s">
        <v>4</v>
      </c>
      <c r="B190" t="s">
        <v>8</v>
      </c>
      <c r="E190" t="s">
        <v>6</v>
      </c>
      <c r="F190" t="s">
        <v>583</v>
      </c>
      <c r="G190" t="s">
        <v>1107</v>
      </c>
    </row>
    <row r="191" spans="1:7" hidden="1" x14ac:dyDescent="0.25">
      <c r="A191" t="s">
        <v>4</v>
      </c>
      <c r="B191" t="s">
        <v>652</v>
      </c>
      <c r="F191" t="s">
        <v>586</v>
      </c>
      <c r="G191" t="s">
        <v>1107</v>
      </c>
    </row>
    <row r="192" spans="1:7" hidden="1" x14ac:dyDescent="0.25">
      <c r="A192" t="s">
        <v>4</v>
      </c>
      <c r="B192" t="s">
        <v>652</v>
      </c>
      <c r="F192" t="s">
        <v>589</v>
      </c>
      <c r="G192" t="s">
        <v>1107</v>
      </c>
    </row>
    <row r="193" spans="1:7" hidden="1" x14ac:dyDescent="0.25">
      <c r="A193" t="s">
        <v>4</v>
      </c>
      <c r="B193" t="s">
        <v>7</v>
      </c>
      <c r="F193" t="s">
        <v>592</v>
      </c>
      <c r="G193" t="s">
        <v>1107</v>
      </c>
    </row>
    <row r="194" spans="1:7" hidden="1" x14ac:dyDescent="0.25">
      <c r="A194" t="s">
        <v>4</v>
      </c>
      <c r="B194" t="s">
        <v>652</v>
      </c>
      <c r="F194" t="s">
        <v>595</v>
      </c>
      <c r="G194" t="s">
        <v>1107</v>
      </c>
    </row>
    <row r="195" spans="1:7" hidden="1" x14ac:dyDescent="0.25">
      <c r="A195" t="s">
        <v>4</v>
      </c>
      <c r="B195" t="s">
        <v>8</v>
      </c>
      <c r="E195" t="s">
        <v>5</v>
      </c>
      <c r="F195" t="s">
        <v>598</v>
      </c>
      <c r="G195" t="s">
        <v>1107</v>
      </c>
    </row>
    <row r="196" spans="1:7" hidden="1" x14ac:dyDescent="0.25">
      <c r="A196" t="s">
        <v>4</v>
      </c>
      <c r="B196" t="s">
        <v>652</v>
      </c>
      <c r="F196" t="s">
        <v>601</v>
      </c>
      <c r="G196" t="s">
        <v>1107</v>
      </c>
    </row>
    <row r="197" spans="1:7" hidden="1" x14ac:dyDescent="0.25">
      <c r="A197" t="s">
        <v>4</v>
      </c>
      <c r="B197" t="s">
        <v>7</v>
      </c>
      <c r="F197" t="s">
        <v>603</v>
      </c>
      <c r="G197" t="s">
        <v>1107</v>
      </c>
    </row>
    <row r="198" spans="1:7" hidden="1" x14ac:dyDescent="0.25">
      <c r="A198" t="s">
        <v>4</v>
      </c>
      <c r="B198" t="s">
        <v>7</v>
      </c>
      <c r="F198" t="s">
        <v>606</v>
      </c>
      <c r="G198" t="s">
        <v>1107</v>
      </c>
    </row>
    <row r="199" spans="1:7" hidden="1" x14ac:dyDescent="0.25">
      <c r="A199" t="s">
        <v>4</v>
      </c>
      <c r="B199" t="s">
        <v>652</v>
      </c>
      <c r="F199" t="s">
        <v>609</v>
      </c>
      <c r="G199" t="s">
        <v>1107</v>
      </c>
    </row>
    <row r="200" spans="1:7" hidden="1" x14ac:dyDescent="0.25">
      <c r="A200" t="s">
        <v>4</v>
      </c>
      <c r="B200" t="s">
        <v>652</v>
      </c>
      <c r="F200" t="s">
        <v>612</v>
      </c>
      <c r="G200" t="s">
        <v>1107</v>
      </c>
    </row>
    <row r="201" spans="1:7" hidden="1" x14ac:dyDescent="0.25">
      <c r="A201" t="s">
        <v>4</v>
      </c>
      <c r="B201" t="s">
        <v>8</v>
      </c>
      <c r="E201" t="s">
        <v>6</v>
      </c>
      <c r="F201" t="s">
        <v>615</v>
      </c>
      <c r="G201" t="s">
        <v>1107</v>
      </c>
    </row>
    <row r="202" spans="1:7" hidden="1" x14ac:dyDescent="0.25">
      <c r="A202" t="s">
        <v>4</v>
      </c>
      <c r="B202" t="s">
        <v>12</v>
      </c>
      <c r="F202" t="s">
        <v>618</v>
      </c>
      <c r="G202" t="s">
        <v>1107</v>
      </c>
    </row>
    <row r="203" spans="1:7" hidden="1" x14ac:dyDescent="0.25">
      <c r="A203" t="s">
        <v>4</v>
      </c>
      <c r="B203" t="s">
        <v>11</v>
      </c>
      <c r="F203" t="s">
        <v>621</v>
      </c>
      <c r="G203" t="s">
        <v>1107</v>
      </c>
    </row>
    <row r="204" spans="1:7" hidden="1" x14ac:dyDescent="0.25">
      <c r="A204" t="s">
        <v>4</v>
      </c>
      <c r="B204" t="s">
        <v>11</v>
      </c>
      <c r="F204" t="s">
        <v>624</v>
      </c>
      <c r="G204" t="s">
        <v>1107</v>
      </c>
    </row>
    <row r="205" spans="1:7" hidden="1" x14ac:dyDescent="0.25">
      <c r="A205" t="s">
        <v>289</v>
      </c>
      <c r="B205" t="s">
        <v>86</v>
      </c>
      <c r="C205" t="s">
        <v>60</v>
      </c>
      <c r="D205">
        <v>1</v>
      </c>
      <c r="F205" t="s">
        <v>627</v>
      </c>
      <c r="G205" t="s">
        <v>1107</v>
      </c>
    </row>
    <row r="206" spans="1:7" hidden="1" x14ac:dyDescent="0.25">
      <c r="A206" t="s">
        <v>653</v>
      </c>
      <c r="B206" t="s">
        <v>86</v>
      </c>
      <c r="C206" t="s">
        <v>200</v>
      </c>
      <c r="F206" t="s">
        <v>630</v>
      </c>
      <c r="G206" t="s">
        <v>1107</v>
      </c>
    </row>
    <row r="207" spans="1:7" hidden="1" x14ac:dyDescent="0.25">
      <c r="A207" t="s">
        <v>650</v>
      </c>
      <c r="B207" t="s">
        <v>86</v>
      </c>
      <c r="C207" t="s">
        <v>200</v>
      </c>
      <c r="F207" t="s">
        <v>633</v>
      </c>
      <c r="G207" t="s">
        <v>1107</v>
      </c>
    </row>
    <row r="208" spans="1:7" hidden="1" x14ac:dyDescent="0.25">
      <c r="A208" t="s">
        <v>289</v>
      </c>
      <c r="B208" t="s">
        <v>86</v>
      </c>
      <c r="C208" t="s">
        <v>200</v>
      </c>
      <c r="F208" t="s">
        <v>636</v>
      </c>
      <c r="G208" t="s">
        <v>1107</v>
      </c>
    </row>
    <row r="209" spans="1:7" hidden="1" x14ac:dyDescent="0.25">
      <c r="A209" t="s">
        <v>650</v>
      </c>
      <c r="B209" t="s">
        <v>86</v>
      </c>
      <c r="C209" t="s">
        <v>200</v>
      </c>
      <c r="F209" t="s">
        <v>639</v>
      </c>
      <c r="G209" t="s">
        <v>1107</v>
      </c>
    </row>
    <row r="210" spans="1:7" hidden="1" x14ac:dyDescent="0.25">
      <c r="A210" t="s">
        <v>4</v>
      </c>
      <c r="B210" t="s">
        <v>11</v>
      </c>
      <c r="F210" t="s">
        <v>642</v>
      </c>
      <c r="G210" t="s">
        <v>1107</v>
      </c>
    </row>
    <row r="211" spans="1:7" hidden="1" x14ac:dyDescent="0.25">
      <c r="A211" s="1" t="s">
        <v>4</v>
      </c>
      <c r="B211" s="1" t="s">
        <v>8</v>
      </c>
      <c r="C211" s="1"/>
      <c r="D211" s="1"/>
      <c r="E211" s="1" t="s">
        <v>6</v>
      </c>
      <c r="F211" s="1" t="s">
        <v>645</v>
      </c>
      <c r="G211" t="s">
        <v>1107</v>
      </c>
    </row>
    <row r="212" spans="1:7" hidden="1" x14ac:dyDescent="0.25">
      <c r="A212" t="s">
        <v>4</v>
      </c>
      <c r="B212" t="s">
        <v>9</v>
      </c>
      <c r="F212" t="s">
        <v>654</v>
      </c>
      <c r="G212" t="s">
        <v>796</v>
      </c>
    </row>
    <row r="213" spans="1:7" hidden="1" x14ac:dyDescent="0.25">
      <c r="A213" t="s">
        <v>1092</v>
      </c>
      <c r="B213" t="s">
        <v>1093</v>
      </c>
      <c r="F213" t="s">
        <v>657</v>
      </c>
      <c r="G213" t="s">
        <v>796</v>
      </c>
    </row>
    <row r="214" spans="1:7" hidden="1" x14ac:dyDescent="0.25">
      <c r="A214" t="s">
        <v>1092</v>
      </c>
      <c r="B214" t="s">
        <v>1093</v>
      </c>
      <c r="F214" t="s">
        <v>660</v>
      </c>
      <c r="G214" t="s">
        <v>796</v>
      </c>
    </row>
    <row r="215" spans="1:7" hidden="1" x14ac:dyDescent="0.25">
      <c r="A215" t="s">
        <v>4</v>
      </c>
      <c r="B215" t="s">
        <v>792</v>
      </c>
      <c r="F215" t="s">
        <v>663</v>
      </c>
      <c r="G215" t="s">
        <v>796</v>
      </c>
    </row>
    <row r="216" spans="1:7" hidden="1" x14ac:dyDescent="0.25">
      <c r="A216" t="s">
        <v>4</v>
      </c>
      <c r="B216" t="s">
        <v>9</v>
      </c>
      <c r="F216" t="s">
        <v>666</v>
      </c>
      <c r="G216" t="s">
        <v>796</v>
      </c>
    </row>
    <row r="217" spans="1:7" hidden="1" x14ac:dyDescent="0.25">
      <c r="A217" t="s">
        <v>793</v>
      </c>
      <c r="B217" t="s">
        <v>531</v>
      </c>
      <c r="F217" t="s">
        <v>669</v>
      </c>
      <c r="G217" t="s">
        <v>796</v>
      </c>
    </row>
    <row r="218" spans="1:7" hidden="1" x14ac:dyDescent="0.25">
      <c r="A218" t="s">
        <v>793</v>
      </c>
      <c r="B218" t="s">
        <v>531</v>
      </c>
      <c r="F218" t="s">
        <v>672</v>
      </c>
      <c r="G218" t="s">
        <v>796</v>
      </c>
    </row>
    <row r="219" spans="1:7" hidden="1" x14ac:dyDescent="0.25">
      <c r="A219" t="s">
        <v>4</v>
      </c>
      <c r="B219" t="s">
        <v>9</v>
      </c>
      <c r="F219" t="s">
        <v>675</v>
      </c>
      <c r="G219" t="s">
        <v>796</v>
      </c>
    </row>
    <row r="220" spans="1:7" hidden="1" x14ac:dyDescent="0.25">
      <c r="A220" t="s">
        <v>794</v>
      </c>
      <c r="F220" t="s">
        <v>678</v>
      </c>
      <c r="G220" t="s">
        <v>796</v>
      </c>
    </row>
    <row r="221" spans="1:7" hidden="1" x14ac:dyDescent="0.25">
      <c r="A221" t="s">
        <v>1096</v>
      </c>
      <c r="B221" t="s">
        <v>531</v>
      </c>
      <c r="F221" t="s">
        <v>681</v>
      </c>
      <c r="G221" t="s">
        <v>796</v>
      </c>
    </row>
    <row r="222" spans="1:7" hidden="1" x14ac:dyDescent="0.25">
      <c r="A222" t="s">
        <v>4</v>
      </c>
      <c r="B222" t="s">
        <v>9</v>
      </c>
      <c r="F222" t="s">
        <v>684</v>
      </c>
      <c r="G222" t="s">
        <v>796</v>
      </c>
    </row>
    <row r="223" spans="1:7" hidden="1" x14ac:dyDescent="0.25">
      <c r="A223" t="s">
        <v>4</v>
      </c>
      <c r="B223" t="s">
        <v>9</v>
      </c>
      <c r="F223" t="s">
        <v>687</v>
      </c>
      <c r="G223" t="s">
        <v>796</v>
      </c>
    </row>
    <row r="224" spans="1:7" hidden="1" x14ac:dyDescent="0.25">
      <c r="A224" t="s">
        <v>795</v>
      </c>
      <c r="B224" t="s">
        <v>796</v>
      </c>
      <c r="F224" t="s">
        <v>690</v>
      </c>
      <c r="G224" t="s">
        <v>796</v>
      </c>
    </row>
    <row r="225" spans="1:7" hidden="1" x14ac:dyDescent="0.25">
      <c r="A225" t="s">
        <v>795</v>
      </c>
      <c r="B225" t="s">
        <v>796</v>
      </c>
      <c r="F225" t="s">
        <v>693</v>
      </c>
      <c r="G225" t="s">
        <v>796</v>
      </c>
    </row>
    <row r="226" spans="1:7" hidden="1" x14ac:dyDescent="0.25">
      <c r="A226" t="s">
        <v>795</v>
      </c>
      <c r="B226" t="s">
        <v>796</v>
      </c>
      <c r="F226" t="s">
        <v>696</v>
      </c>
      <c r="G226" t="s">
        <v>796</v>
      </c>
    </row>
    <row r="227" spans="1:7" hidden="1" x14ac:dyDescent="0.25">
      <c r="A227" t="s">
        <v>4</v>
      </c>
      <c r="B227" t="s">
        <v>9</v>
      </c>
      <c r="F227" t="s">
        <v>699</v>
      </c>
      <c r="G227" t="s">
        <v>796</v>
      </c>
    </row>
    <row r="228" spans="1:7" hidden="1" x14ac:dyDescent="0.25">
      <c r="A228" t="s">
        <v>4</v>
      </c>
      <c r="B228" t="s">
        <v>9</v>
      </c>
      <c r="F228" t="s">
        <v>702</v>
      </c>
      <c r="G228" t="s">
        <v>796</v>
      </c>
    </row>
    <row r="229" spans="1:7" hidden="1" x14ac:dyDescent="0.25">
      <c r="A229" t="s">
        <v>4</v>
      </c>
      <c r="B229" t="s">
        <v>9</v>
      </c>
      <c r="F229" t="s">
        <v>705</v>
      </c>
      <c r="G229" t="s">
        <v>796</v>
      </c>
    </row>
    <row r="230" spans="1:7" hidden="1" x14ac:dyDescent="0.25">
      <c r="A230" t="s">
        <v>4</v>
      </c>
      <c r="B230" t="s">
        <v>9</v>
      </c>
      <c r="F230" t="s">
        <v>708</v>
      </c>
      <c r="G230" t="s">
        <v>796</v>
      </c>
    </row>
    <row r="231" spans="1:7" hidden="1" x14ac:dyDescent="0.25">
      <c r="A231" t="s">
        <v>4</v>
      </c>
      <c r="B231" t="s">
        <v>9</v>
      </c>
      <c r="F231" t="s">
        <v>711</v>
      </c>
      <c r="G231" t="s">
        <v>796</v>
      </c>
    </row>
    <row r="232" spans="1:7" hidden="1" x14ac:dyDescent="0.25">
      <c r="A232" t="s">
        <v>4</v>
      </c>
      <c r="B232" t="s">
        <v>9</v>
      </c>
      <c r="F232" t="s">
        <v>714</v>
      </c>
      <c r="G232" t="s">
        <v>796</v>
      </c>
    </row>
    <row r="233" spans="1:7" hidden="1" x14ac:dyDescent="0.25">
      <c r="A233" t="s">
        <v>795</v>
      </c>
      <c r="B233" t="s">
        <v>796</v>
      </c>
      <c r="F233" t="s">
        <v>717</v>
      </c>
      <c r="G233" t="s">
        <v>796</v>
      </c>
    </row>
    <row r="234" spans="1:7" hidden="1" x14ac:dyDescent="0.25">
      <c r="A234" t="s">
        <v>4</v>
      </c>
      <c r="B234" t="s">
        <v>9</v>
      </c>
      <c r="F234" t="s">
        <v>720</v>
      </c>
      <c r="G234" t="s">
        <v>796</v>
      </c>
    </row>
    <row r="235" spans="1:7" hidden="1" x14ac:dyDescent="0.25">
      <c r="A235" t="s">
        <v>4</v>
      </c>
      <c r="B235" t="s">
        <v>9</v>
      </c>
      <c r="F235" t="s">
        <v>723</v>
      </c>
      <c r="G235" t="s">
        <v>796</v>
      </c>
    </row>
    <row r="236" spans="1:7" hidden="1" x14ac:dyDescent="0.25">
      <c r="A236" t="s">
        <v>4</v>
      </c>
      <c r="B236" t="s">
        <v>9</v>
      </c>
      <c r="F236" t="s">
        <v>726</v>
      </c>
      <c r="G236" t="s">
        <v>796</v>
      </c>
    </row>
    <row r="237" spans="1:7" hidden="1" x14ac:dyDescent="0.25">
      <c r="A237" t="s">
        <v>4</v>
      </c>
      <c r="B237" t="s">
        <v>9</v>
      </c>
      <c r="F237" t="s">
        <v>729</v>
      </c>
      <c r="G237" t="s">
        <v>796</v>
      </c>
    </row>
    <row r="238" spans="1:7" hidden="1" x14ac:dyDescent="0.25">
      <c r="A238" t="s">
        <v>4</v>
      </c>
      <c r="B238" t="s">
        <v>9</v>
      </c>
      <c r="F238" t="s">
        <v>732</v>
      </c>
      <c r="G238" t="s">
        <v>796</v>
      </c>
    </row>
    <row r="239" spans="1:7" hidden="1" x14ac:dyDescent="0.25">
      <c r="A239" t="s">
        <v>4</v>
      </c>
      <c r="B239" t="s">
        <v>9</v>
      </c>
      <c r="F239" t="s">
        <v>735</v>
      </c>
      <c r="G239" t="s">
        <v>796</v>
      </c>
    </row>
    <row r="240" spans="1:7" hidden="1" x14ac:dyDescent="0.25">
      <c r="A240" t="s">
        <v>4</v>
      </c>
      <c r="B240" t="s">
        <v>9</v>
      </c>
      <c r="F240" t="s">
        <v>738</v>
      </c>
      <c r="G240" t="s">
        <v>796</v>
      </c>
    </row>
    <row r="241" spans="1:7" hidden="1" x14ac:dyDescent="0.25">
      <c r="A241" t="s">
        <v>4</v>
      </c>
      <c r="B241" t="s">
        <v>9</v>
      </c>
      <c r="F241" t="s">
        <v>741</v>
      </c>
      <c r="G241" t="s">
        <v>796</v>
      </c>
    </row>
    <row r="242" spans="1:7" hidden="1" x14ac:dyDescent="0.25">
      <c r="A242" t="s">
        <v>4</v>
      </c>
      <c r="B242" t="s">
        <v>9</v>
      </c>
      <c r="F242" t="s">
        <v>744</v>
      </c>
      <c r="G242" t="s">
        <v>796</v>
      </c>
    </row>
    <row r="243" spans="1:7" hidden="1" x14ac:dyDescent="0.25">
      <c r="A243" t="s">
        <v>4</v>
      </c>
      <c r="B243" t="s">
        <v>9</v>
      </c>
      <c r="F243" t="s">
        <v>747</v>
      </c>
      <c r="G243" t="s">
        <v>796</v>
      </c>
    </row>
    <row r="244" spans="1:7" hidden="1" x14ac:dyDescent="0.25">
      <c r="A244" t="s">
        <v>795</v>
      </c>
      <c r="B244" t="s">
        <v>796</v>
      </c>
      <c r="F244" t="s">
        <v>750</v>
      </c>
      <c r="G244" t="s">
        <v>796</v>
      </c>
    </row>
    <row r="245" spans="1:7" hidden="1" x14ac:dyDescent="0.25">
      <c r="A245" t="s">
        <v>795</v>
      </c>
      <c r="B245" t="s">
        <v>796</v>
      </c>
      <c r="F245" t="s">
        <v>753</v>
      </c>
      <c r="G245" t="s">
        <v>796</v>
      </c>
    </row>
    <row r="246" spans="1:7" hidden="1" x14ac:dyDescent="0.25">
      <c r="A246" t="s">
        <v>4</v>
      </c>
      <c r="B246" t="s">
        <v>9</v>
      </c>
      <c r="F246" t="s">
        <v>756</v>
      </c>
      <c r="G246" t="s">
        <v>796</v>
      </c>
    </row>
    <row r="247" spans="1:7" hidden="1" x14ac:dyDescent="0.25">
      <c r="A247" t="s">
        <v>4</v>
      </c>
      <c r="B247" t="s">
        <v>9</v>
      </c>
      <c r="F247" t="s">
        <v>759</v>
      </c>
      <c r="G247" t="s">
        <v>796</v>
      </c>
    </row>
    <row r="248" spans="1:7" hidden="1" x14ac:dyDescent="0.25">
      <c r="A248" t="s">
        <v>795</v>
      </c>
      <c r="B248" t="s">
        <v>796</v>
      </c>
      <c r="F248" t="s">
        <v>762</v>
      </c>
      <c r="G248" t="s">
        <v>796</v>
      </c>
    </row>
    <row r="249" spans="1:7" hidden="1" x14ac:dyDescent="0.25">
      <c r="A249" t="s">
        <v>795</v>
      </c>
      <c r="B249" t="s">
        <v>796</v>
      </c>
      <c r="F249" t="s">
        <v>765</v>
      </c>
      <c r="G249" t="s">
        <v>796</v>
      </c>
    </row>
    <row r="250" spans="1:7" hidden="1" x14ac:dyDescent="0.25">
      <c r="A250" t="s">
        <v>795</v>
      </c>
      <c r="B250" t="s">
        <v>796</v>
      </c>
      <c r="F250" t="s">
        <v>768</v>
      </c>
      <c r="G250" t="s">
        <v>796</v>
      </c>
    </row>
    <row r="251" spans="1:7" hidden="1" x14ac:dyDescent="0.25">
      <c r="A251" t="s">
        <v>4</v>
      </c>
      <c r="B251" t="s">
        <v>9</v>
      </c>
      <c r="F251" t="s">
        <v>771</v>
      </c>
      <c r="G251" t="s">
        <v>796</v>
      </c>
    </row>
    <row r="252" spans="1:7" hidden="1" x14ac:dyDescent="0.25">
      <c r="A252" t="s">
        <v>795</v>
      </c>
      <c r="B252" t="s">
        <v>796</v>
      </c>
      <c r="F252" t="s">
        <v>774</v>
      </c>
      <c r="G252" t="s">
        <v>796</v>
      </c>
    </row>
    <row r="253" spans="1:7" hidden="1" x14ac:dyDescent="0.25">
      <c r="A253" t="s">
        <v>795</v>
      </c>
      <c r="B253" t="s">
        <v>796</v>
      </c>
      <c r="F253" t="s">
        <v>777</v>
      </c>
      <c r="G253" t="s">
        <v>796</v>
      </c>
    </row>
    <row r="254" spans="1:7" hidden="1" x14ac:dyDescent="0.25">
      <c r="A254" t="s">
        <v>795</v>
      </c>
      <c r="B254" t="s">
        <v>796</v>
      </c>
      <c r="F254" t="s">
        <v>780</v>
      </c>
      <c r="G254" t="s">
        <v>796</v>
      </c>
    </row>
    <row r="255" spans="1:7" hidden="1" x14ac:dyDescent="0.25">
      <c r="A255" t="s">
        <v>4</v>
      </c>
      <c r="B255" t="s">
        <v>9</v>
      </c>
      <c r="F255" t="s">
        <v>783</v>
      </c>
      <c r="G255" t="s">
        <v>796</v>
      </c>
    </row>
    <row r="256" spans="1:7" hidden="1" x14ac:dyDescent="0.25">
      <c r="A256" t="s">
        <v>4</v>
      </c>
      <c r="B256" t="s">
        <v>9</v>
      </c>
      <c r="F256" t="s">
        <v>786</v>
      </c>
      <c r="G256" t="s">
        <v>796</v>
      </c>
    </row>
    <row r="257" spans="1:7" hidden="1" x14ac:dyDescent="0.25">
      <c r="A257" s="1" t="s">
        <v>4</v>
      </c>
      <c r="B257" s="1" t="s">
        <v>9</v>
      </c>
      <c r="C257" s="1"/>
      <c r="D257" s="1"/>
      <c r="E257" s="1" t="s">
        <v>20</v>
      </c>
      <c r="F257" s="1" t="s">
        <v>789</v>
      </c>
      <c r="G257" t="s">
        <v>796</v>
      </c>
    </row>
    <row r="258" spans="1:7" hidden="1" x14ac:dyDescent="0.25">
      <c r="A258" t="s">
        <v>4</v>
      </c>
      <c r="B258" t="s">
        <v>9</v>
      </c>
      <c r="F258" t="s">
        <v>797</v>
      </c>
      <c r="G258" t="s">
        <v>1100</v>
      </c>
    </row>
    <row r="259" spans="1:7" hidden="1" x14ac:dyDescent="0.25">
      <c r="A259" t="s">
        <v>1091</v>
      </c>
      <c r="B259" t="s">
        <v>1097</v>
      </c>
      <c r="F259" t="s">
        <v>800</v>
      </c>
      <c r="G259" t="s">
        <v>1100</v>
      </c>
    </row>
    <row r="260" spans="1:7" hidden="1" x14ac:dyDescent="0.25">
      <c r="A260" t="s">
        <v>793</v>
      </c>
      <c r="B260" t="s">
        <v>531</v>
      </c>
      <c r="F260" t="s">
        <v>803</v>
      </c>
      <c r="G260" t="s">
        <v>1100</v>
      </c>
    </row>
    <row r="261" spans="1:7" hidden="1" x14ac:dyDescent="0.25">
      <c r="A261" t="s">
        <v>793</v>
      </c>
      <c r="B261" t="s">
        <v>531</v>
      </c>
      <c r="F261" t="s">
        <v>806</v>
      </c>
      <c r="G261" t="s">
        <v>1100</v>
      </c>
    </row>
    <row r="262" spans="1:7" hidden="1" x14ac:dyDescent="0.25">
      <c r="A262" t="s">
        <v>4</v>
      </c>
      <c r="B262" t="s">
        <v>9</v>
      </c>
      <c r="F262" t="s">
        <v>809</v>
      </c>
      <c r="G262" t="s">
        <v>1100</v>
      </c>
    </row>
    <row r="263" spans="1:7" hidden="1" x14ac:dyDescent="0.25">
      <c r="A263" t="s">
        <v>1098</v>
      </c>
      <c r="B263" t="s">
        <v>531</v>
      </c>
      <c r="F263" t="s">
        <v>812</v>
      </c>
      <c r="G263" t="s">
        <v>1100</v>
      </c>
    </row>
    <row r="264" spans="1:7" hidden="1" x14ac:dyDescent="0.25">
      <c r="A264" t="s">
        <v>289</v>
      </c>
      <c r="B264" t="s">
        <v>1099</v>
      </c>
      <c r="F264" t="s">
        <v>815</v>
      </c>
      <c r="G264" t="s">
        <v>1100</v>
      </c>
    </row>
    <row r="265" spans="1:7" hidden="1" x14ac:dyDescent="0.25">
      <c r="A265" t="s">
        <v>4</v>
      </c>
      <c r="B265" t="s">
        <v>9</v>
      </c>
      <c r="F265" t="s">
        <v>818</v>
      </c>
      <c r="G265" t="s">
        <v>1100</v>
      </c>
    </row>
    <row r="266" spans="1:7" hidden="1" x14ac:dyDescent="0.25">
      <c r="A266" t="s">
        <v>4</v>
      </c>
      <c r="B266" t="s">
        <v>9</v>
      </c>
      <c r="F266" t="s">
        <v>821</v>
      </c>
      <c r="G266" t="s">
        <v>1100</v>
      </c>
    </row>
    <row r="267" spans="1:7" hidden="1" x14ac:dyDescent="0.25">
      <c r="A267" t="s">
        <v>4</v>
      </c>
      <c r="B267" t="s">
        <v>9</v>
      </c>
      <c r="F267" t="s">
        <v>824</v>
      </c>
      <c r="G267" t="s">
        <v>1100</v>
      </c>
    </row>
    <row r="268" spans="1:7" hidden="1" x14ac:dyDescent="0.25">
      <c r="A268" t="s">
        <v>2024</v>
      </c>
      <c r="B268" t="s">
        <v>1304</v>
      </c>
      <c r="F268" t="s">
        <v>827</v>
      </c>
      <c r="G268" t="s">
        <v>1100</v>
      </c>
    </row>
    <row r="269" spans="1:7" hidden="1" x14ac:dyDescent="0.25">
      <c r="A269" t="s">
        <v>4</v>
      </c>
      <c r="B269" t="s">
        <v>9</v>
      </c>
      <c r="F269" t="s">
        <v>830</v>
      </c>
      <c r="G269" t="s">
        <v>1100</v>
      </c>
    </row>
    <row r="270" spans="1:7" hidden="1" x14ac:dyDescent="0.25">
      <c r="A270" t="s">
        <v>4</v>
      </c>
      <c r="B270" t="s">
        <v>9</v>
      </c>
      <c r="F270" t="s">
        <v>833</v>
      </c>
      <c r="G270" t="s">
        <v>1100</v>
      </c>
    </row>
    <row r="271" spans="1:7" hidden="1" x14ac:dyDescent="0.25">
      <c r="A271" t="s">
        <v>4</v>
      </c>
      <c r="B271" t="s">
        <v>9</v>
      </c>
      <c r="F271" t="s">
        <v>836</v>
      </c>
      <c r="G271" t="s">
        <v>1100</v>
      </c>
    </row>
    <row r="272" spans="1:7" hidden="1" x14ac:dyDescent="0.25">
      <c r="A272" t="s">
        <v>4</v>
      </c>
      <c r="B272" t="s">
        <v>9</v>
      </c>
      <c r="F272" t="s">
        <v>839</v>
      </c>
      <c r="G272" t="s">
        <v>1100</v>
      </c>
    </row>
    <row r="273" spans="1:7" hidden="1" x14ac:dyDescent="0.25">
      <c r="A273" t="s">
        <v>4</v>
      </c>
      <c r="B273" t="s">
        <v>9</v>
      </c>
      <c r="F273" t="s">
        <v>842</v>
      </c>
      <c r="G273" t="s">
        <v>1100</v>
      </c>
    </row>
    <row r="274" spans="1:7" hidden="1" x14ac:dyDescent="0.25">
      <c r="A274" t="s">
        <v>4</v>
      </c>
      <c r="B274" t="s">
        <v>9</v>
      </c>
      <c r="F274" t="s">
        <v>845</v>
      </c>
      <c r="G274" t="s">
        <v>1100</v>
      </c>
    </row>
    <row r="275" spans="1:7" hidden="1" x14ac:dyDescent="0.25">
      <c r="A275" t="s">
        <v>4</v>
      </c>
      <c r="B275" t="s">
        <v>9</v>
      </c>
      <c r="F275" t="s">
        <v>848</v>
      </c>
      <c r="G275" t="s">
        <v>1100</v>
      </c>
    </row>
    <row r="276" spans="1:7" hidden="1" x14ac:dyDescent="0.25">
      <c r="A276" t="s">
        <v>4</v>
      </c>
      <c r="B276" t="s">
        <v>9</v>
      </c>
      <c r="F276" t="s">
        <v>851</v>
      </c>
      <c r="G276" t="s">
        <v>1100</v>
      </c>
    </row>
    <row r="277" spans="1:7" hidden="1" x14ac:dyDescent="0.25">
      <c r="A277" t="s">
        <v>4</v>
      </c>
      <c r="B277" t="s">
        <v>9</v>
      </c>
      <c r="F277" t="s">
        <v>854</v>
      </c>
      <c r="G277" t="s">
        <v>1100</v>
      </c>
    </row>
    <row r="278" spans="1:7" hidden="1" x14ac:dyDescent="0.25">
      <c r="A278" t="s">
        <v>4</v>
      </c>
      <c r="B278" t="s">
        <v>9</v>
      </c>
      <c r="F278" t="s">
        <v>857</v>
      </c>
      <c r="G278" t="s">
        <v>1100</v>
      </c>
    </row>
    <row r="279" spans="1:7" hidden="1" x14ac:dyDescent="0.25">
      <c r="A279" t="s">
        <v>4</v>
      </c>
      <c r="B279" t="s">
        <v>9</v>
      </c>
      <c r="F279" t="s">
        <v>860</v>
      </c>
      <c r="G279" t="s">
        <v>1100</v>
      </c>
    </row>
    <row r="280" spans="1:7" hidden="1" x14ac:dyDescent="0.25">
      <c r="A280" t="s">
        <v>4</v>
      </c>
      <c r="B280" t="s">
        <v>9</v>
      </c>
      <c r="F280" t="s">
        <v>863</v>
      </c>
      <c r="G280" t="s">
        <v>1100</v>
      </c>
    </row>
    <row r="281" spans="1:7" hidden="1" x14ac:dyDescent="0.25">
      <c r="A281" t="s">
        <v>4</v>
      </c>
      <c r="B281" t="s">
        <v>9</v>
      </c>
      <c r="F281" t="s">
        <v>866</v>
      </c>
      <c r="G281" t="s">
        <v>1100</v>
      </c>
    </row>
    <row r="282" spans="1:7" hidden="1" x14ac:dyDescent="0.25">
      <c r="A282" t="s">
        <v>4</v>
      </c>
      <c r="B282" t="s">
        <v>9</v>
      </c>
      <c r="F282" t="s">
        <v>869</v>
      </c>
      <c r="G282" t="s">
        <v>1100</v>
      </c>
    </row>
    <row r="283" spans="1:7" hidden="1" x14ac:dyDescent="0.25">
      <c r="A283" t="s">
        <v>4</v>
      </c>
      <c r="B283" t="s">
        <v>9</v>
      </c>
      <c r="F283" t="s">
        <v>872</v>
      </c>
      <c r="G283" t="s">
        <v>1100</v>
      </c>
    </row>
    <row r="284" spans="1:7" hidden="1" x14ac:dyDescent="0.25">
      <c r="A284" t="s">
        <v>4</v>
      </c>
      <c r="B284" t="s">
        <v>9</v>
      </c>
      <c r="F284" t="s">
        <v>875</v>
      </c>
      <c r="G284" t="s">
        <v>1100</v>
      </c>
    </row>
    <row r="285" spans="1:7" hidden="1" x14ac:dyDescent="0.25">
      <c r="A285" t="s">
        <v>2024</v>
      </c>
      <c r="B285" t="s">
        <v>1304</v>
      </c>
      <c r="F285" t="s">
        <v>878</v>
      </c>
      <c r="G285" t="s">
        <v>1100</v>
      </c>
    </row>
    <row r="286" spans="1:7" hidden="1" x14ac:dyDescent="0.25">
      <c r="A286" t="s">
        <v>2024</v>
      </c>
      <c r="B286" t="s">
        <v>1304</v>
      </c>
      <c r="F286" t="s">
        <v>881</v>
      </c>
      <c r="G286" t="s">
        <v>1100</v>
      </c>
    </row>
    <row r="287" spans="1:7" hidden="1" x14ac:dyDescent="0.25">
      <c r="A287" t="s">
        <v>2024</v>
      </c>
      <c r="B287" t="s">
        <v>1304</v>
      </c>
      <c r="F287" t="s">
        <v>884</v>
      </c>
      <c r="G287" t="s">
        <v>1100</v>
      </c>
    </row>
    <row r="288" spans="1:7" hidden="1" x14ac:dyDescent="0.25">
      <c r="A288" t="s">
        <v>4</v>
      </c>
      <c r="B288" t="s">
        <v>9</v>
      </c>
      <c r="F288" t="s">
        <v>887</v>
      </c>
      <c r="G288" t="s">
        <v>1100</v>
      </c>
    </row>
    <row r="289" spans="1:7" hidden="1" x14ac:dyDescent="0.25">
      <c r="A289" t="s">
        <v>4</v>
      </c>
      <c r="B289" t="s">
        <v>9</v>
      </c>
      <c r="F289" t="s">
        <v>890</v>
      </c>
      <c r="G289" t="s">
        <v>1100</v>
      </c>
    </row>
    <row r="290" spans="1:7" hidden="1" x14ac:dyDescent="0.25">
      <c r="A290" t="s">
        <v>4</v>
      </c>
      <c r="B290" t="s">
        <v>9</v>
      </c>
      <c r="F290" t="s">
        <v>893</v>
      </c>
      <c r="G290" t="s">
        <v>1100</v>
      </c>
    </row>
    <row r="291" spans="1:7" hidden="1" x14ac:dyDescent="0.25">
      <c r="A291" t="s">
        <v>4</v>
      </c>
      <c r="B291" t="s">
        <v>9</v>
      </c>
      <c r="F291" t="s">
        <v>896</v>
      </c>
      <c r="G291" t="s">
        <v>1100</v>
      </c>
    </row>
    <row r="292" spans="1:7" hidden="1" x14ac:dyDescent="0.25">
      <c r="A292" t="s">
        <v>2024</v>
      </c>
      <c r="B292" t="s">
        <v>1304</v>
      </c>
      <c r="F292" t="s">
        <v>899</v>
      </c>
      <c r="G292" t="s">
        <v>1100</v>
      </c>
    </row>
    <row r="293" spans="1:7" hidden="1" x14ac:dyDescent="0.25">
      <c r="A293" t="s">
        <v>4</v>
      </c>
      <c r="B293" t="s">
        <v>9</v>
      </c>
      <c r="F293" t="s">
        <v>902</v>
      </c>
      <c r="G293" t="s">
        <v>1100</v>
      </c>
    </row>
    <row r="294" spans="1:7" hidden="1" x14ac:dyDescent="0.25">
      <c r="A294" t="s">
        <v>795</v>
      </c>
      <c r="B294" t="s">
        <v>1304</v>
      </c>
      <c r="F294" t="s">
        <v>905</v>
      </c>
      <c r="G294" t="s">
        <v>1100</v>
      </c>
    </row>
    <row r="295" spans="1:7" hidden="1" x14ac:dyDescent="0.25">
      <c r="A295" t="s">
        <v>4</v>
      </c>
      <c r="B295" t="s">
        <v>9</v>
      </c>
      <c r="F295" t="s">
        <v>908</v>
      </c>
      <c r="G295" t="s">
        <v>1100</v>
      </c>
    </row>
    <row r="296" spans="1:7" hidden="1" x14ac:dyDescent="0.25">
      <c r="A296" t="s">
        <v>4</v>
      </c>
      <c r="B296" t="s">
        <v>9</v>
      </c>
      <c r="F296" t="s">
        <v>911</v>
      </c>
      <c r="G296" t="s">
        <v>1100</v>
      </c>
    </row>
    <row r="297" spans="1:7" hidden="1" x14ac:dyDescent="0.25">
      <c r="A297" t="s">
        <v>4</v>
      </c>
      <c r="B297" t="s">
        <v>9</v>
      </c>
      <c r="F297" t="s">
        <v>914</v>
      </c>
      <c r="G297" t="s">
        <v>1100</v>
      </c>
    </row>
    <row r="298" spans="1:7" hidden="1" x14ac:dyDescent="0.25">
      <c r="A298" t="s">
        <v>4</v>
      </c>
      <c r="B298" t="s">
        <v>9</v>
      </c>
      <c r="F298" t="s">
        <v>917</v>
      </c>
      <c r="G298" t="s">
        <v>1100</v>
      </c>
    </row>
    <row r="299" spans="1:7" hidden="1" x14ac:dyDescent="0.25">
      <c r="A299" t="s">
        <v>4</v>
      </c>
      <c r="B299" t="s">
        <v>9</v>
      </c>
      <c r="F299" t="s">
        <v>920</v>
      </c>
      <c r="G299" t="s">
        <v>1100</v>
      </c>
    </row>
    <row r="300" spans="1:7" hidden="1" x14ac:dyDescent="0.25">
      <c r="A300" t="s">
        <v>1091</v>
      </c>
      <c r="B300" t="s">
        <v>1093</v>
      </c>
      <c r="F300" t="s">
        <v>923</v>
      </c>
      <c r="G300" t="s">
        <v>1100</v>
      </c>
    </row>
    <row r="301" spans="1:7" hidden="1" x14ac:dyDescent="0.25">
      <c r="A301" t="s">
        <v>4</v>
      </c>
      <c r="B301" t="s">
        <v>9</v>
      </c>
      <c r="F301" t="s">
        <v>926</v>
      </c>
      <c r="G301" t="s">
        <v>1100</v>
      </c>
    </row>
    <row r="302" spans="1:7" hidden="1" x14ac:dyDescent="0.25">
      <c r="A302" t="s">
        <v>795</v>
      </c>
      <c r="B302" t="s">
        <v>1304</v>
      </c>
      <c r="F302" t="s">
        <v>929</v>
      </c>
      <c r="G302" t="s">
        <v>1100</v>
      </c>
    </row>
    <row r="303" spans="1:7" hidden="1" x14ac:dyDescent="0.25">
      <c r="A303" t="s">
        <v>1305</v>
      </c>
      <c r="B303" t="s">
        <v>1097</v>
      </c>
      <c r="F303" t="s">
        <v>932</v>
      </c>
      <c r="G303" t="s">
        <v>1100</v>
      </c>
    </row>
    <row r="304" spans="1:7" hidden="1" x14ac:dyDescent="0.25">
      <c r="A304" t="s">
        <v>4</v>
      </c>
      <c r="B304" t="s">
        <v>9</v>
      </c>
      <c r="F304" t="s">
        <v>935</v>
      </c>
      <c r="G304" t="s">
        <v>1100</v>
      </c>
    </row>
    <row r="305" spans="1:7" hidden="1" x14ac:dyDescent="0.25">
      <c r="A305" t="s">
        <v>4</v>
      </c>
      <c r="B305" t="s">
        <v>9</v>
      </c>
      <c r="F305" t="s">
        <v>938</v>
      </c>
      <c r="G305" t="s">
        <v>1100</v>
      </c>
    </row>
    <row r="306" spans="1:7" hidden="1" x14ac:dyDescent="0.25">
      <c r="A306" t="s">
        <v>1091</v>
      </c>
      <c r="B306" t="s">
        <v>1095</v>
      </c>
      <c r="F306" t="s">
        <v>941</v>
      </c>
      <c r="G306" t="s">
        <v>1100</v>
      </c>
    </row>
    <row r="307" spans="1:7" hidden="1" x14ac:dyDescent="0.25">
      <c r="A307" t="s">
        <v>4</v>
      </c>
      <c r="B307" t="s">
        <v>9</v>
      </c>
      <c r="F307" t="s">
        <v>944</v>
      </c>
      <c r="G307" t="s">
        <v>1100</v>
      </c>
    </row>
    <row r="308" spans="1:7" hidden="1" x14ac:dyDescent="0.25">
      <c r="A308" t="s">
        <v>4</v>
      </c>
      <c r="B308" t="s">
        <v>1306</v>
      </c>
      <c r="F308" t="s">
        <v>947</v>
      </c>
      <c r="G308" t="s">
        <v>1100</v>
      </c>
    </row>
    <row r="309" spans="1:7" hidden="1" x14ac:dyDescent="0.25">
      <c r="A309" t="s">
        <v>1091</v>
      </c>
      <c r="B309" t="s">
        <v>1306</v>
      </c>
      <c r="F309" t="s">
        <v>950</v>
      </c>
      <c r="G309" t="s">
        <v>1100</v>
      </c>
    </row>
    <row r="310" spans="1:7" hidden="1" x14ac:dyDescent="0.25">
      <c r="A310" t="s">
        <v>4</v>
      </c>
      <c r="B310" t="s">
        <v>9</v>
      </c>
      <c r="F310" t="s">
        <v>953</v>
      </c>
      <c r="G310" t="s">
        <v>1100</v>
      </c>
    </row>
    <row r="311" spans="1:7" hidden="1" x14ac:dyDescent="0.25">
      <c r="A311" t="s">
        <v>4</v>
      </c>
      <c r="B311" t="s">
        <v>9</v>
      </c>
      <c r="F311" t="s">
        <v>956</v>
      </c>
      <c r="G311" t="s">
        <v>1100</v>
      </c>
    </row>
    <row r="312" spans="1:7" hidden="1" x14ac:dyDescent="0.25">
      <c r="A312" t="s">
        <v>4</v>
      </c>
      <c r="B312" t="s">
        <v>9</v>
      </c>
      <c r="F312" t="s">
        <v>959</v>
      </c>
      <c r="G312" t="s">
        <v>1100</v>
      </c>
    </row>
    <row r="313" spans="1:7" hidden="1" x14ac:dyDescent="0.25">
      <c r="A313" t="s">
        <v>4</v>
      </c>
      <c r="B313" t="s">
        <v>9</v>
      </c>
      <c r="F313" t="s">
        <v>962</v>
      </c>
      <c r="G313" t="s">
        <v>1100</v>
      </c>
    </row>
    <row r="314" spans="1:7" hidden="1" x14ac:dyDescent="0.25">
      <c r="A314" t="s">
        <v>4</v>
      </c>
      <c r="B314" t="s">
        <v>9</v>
      </c>
      <c r="F314" t="s">
        <v>965</v>
      </c>
      <c r="G314" t="s">
        <v>1100</v>
      </c>
    </row>
    <row r="315" spans="1:7" hidden="1" x14ac:dyDescent="0.25">
      <c r="A315" t="s">
        <v>4</v>
      </c>
      <c r="B315" t="s">
        <v>9</v>
      </c>
      <c r="F315" t="s">
        <v>968</v>
      </c>
      <c r="G315" t="s">
        <v>1100</v>
      </c>
    </row>
    <row r="316" spans="1:7" hidden="1" x14ac:dyDescent="0.25">
      <c r="A316" t="s">
        <v>4</v>
      </c>
      <c r="B316" t="s">
        <v>9</v>
      </c>
      <c r="F316" t="s">
        <v>971</v>
      </c>
      <c r="G316" t="s">
        <v>1100</v>
      </c>
    </row>
    <row r="317" spans="1:7" hidden="1" x14ac:dyDescent="0.25">
      <c r="A317" t="s">
        <v>4</v>
      </c>
      <c r="B317" t="s">
        <v>9</v>
      </c>
      <c r="F317" t="s">
        <v>974</v>
      </c>
      <c r="G317" t="s">
        <v>1100</v>
      </c>
    </row>
    <row r="318" spans="1:7" hidden="1" x14ac:dyDescent="0.25">
      <c r="A318" t="s">
        <v>4</v>
      </c>
      <c r="B318" t="s">
        <v>9</v>
      </c>
      <c r="F318" t="s">
        <v>977</v>
      </c>
      <c r="G318" t="s">
        <v>1100</v>
      </c>
    </row>
    <row r="319" spans="1:7" hidden="1" x14ac:dyDescent="0.25">
      <c r="A319" t="s">
        <v>4</v>
      </c>
      <c r="B319" t="s">
        <v>9</v>
      </c>
      <c r="F319" t="s">
        <v>980</v>
      </c>
      <c r="G319" t="s">
        <v>1100</v>
      </c>
    </row>
    <row r="320" spans="1:7" hidden="1" x14ac:dyDescent="0.25">
      <c r="A320" t="s">
        <v>4</v>
      </c>
      <c r="B320" t="s">
        <v>9</v>
      </c>
      <c r="F320" t="s">
        <v>983</v>
      </c>
      <c r="G320" t="s">
        <v>1100</v>
      </c>
    </row>
    <row r="321" spans="1:7" hidden="1" x14ac:dyDescent="0.25">
      <c r="A321" t="s">
        <v>4</v>
      </c>
      <c r="B321" t="s">
        <v>9</v>
      </c>
      <c r="F321" t="s">
        <v>986</v>
      </c>
      <c r="G321" t="s">
        <v>1100</v>
      </c>
    </row>
    <row r="322" spans="1:7" hidden="1" x14ac:dyDescent="0.25">
      <c r="A322" t="s">
        <v>4</v>
      </c>
      <c r="B322" t="s">
        <v>9</v>
      </c>
      <c r="F322" t="s">
        <v>989</v>
      </c>
      <c r="G322" t="s">
        <v>1100</v>
      </c>
    </row>
    <row r="323" spans="1:7" hidden="1" x14ac:dyDescent="0.25">
      <c r="A323" t="s">
        <v>4</v>
      </c>
      <c r="B323" t="s">
        <v>9</v>
      </c>
      <c r="F323" t="s">
        <v>992</v>
      </c>
      <c r="G323" t="s">
        <v>1100</v>
      </c>
    </row>
    <row r="324" spans="1:7" hidden="1" x14ac:dyDescent="0.25">
      <c r="A324" t="s">
        <v>4</v>
      </c>
      <c r="B324" t="s">
        <v>9</v>
      </c>
      <c r="F324" t="s">
        <v>995</v>
      </c>
      <c r="G324" t="s">
        <v>1100</v>
      </c>
    </row>
    <row r="325" spans="1:7" hidden="1" x14ac:dyDescent="0.25">
      <c r="A325" t="s">
        <v>4</v>
      </c>
      <c r="B325" t="s">
        <v>9</v>
      </c>
      <c r="F325" t="s">
        <v>998</v>
      </c>
      <c r="G325" t="s">
        <v>1100</v>
      </c>
    </row>
    <row r="326" spans="1:7" hidden="1" x14ac:dyDescent="0.25">
      <c r="A326" t="s">
        <v>4</v>
      </c>
      <c r="B326" t="s">
        <v>9</v>
      </c>
      <c r="F326" t="s">
        <v>1001</v>
      </c>
      <c r="G326" t="s">
        <v>1100</v>
      </c>
    </row>
    <row r="327" spans="1:7" hidden="1" x14ac:dyDescent="0.25">
      <c r="A327" t="s">
        <v>4</v>
      </c>
      <c r="B327" t="s">
        <v>9</v>
      </c>
      <c r="F327" t="s">
        <v>1004</v>
      </c>
      <c r="G327" t="s">
        <v>1100</v>
      </c>
    </row>
    <row r="328" spans="1:7" hidden="1" x14ac:dyDescent="0.25">
      <c r="A328" t="s">
        <v>4</v>
      </c>
      <c r="B328" t="s">
        <v>9</v>
      </c>
      <c r="F328" t="s">
        <v>1007</v>
      </c>
      <c r="G328" t="s">
        <v>1100</v>
      </c>
    </row>
    <row r="329" spans="1:7" hidden="1" x14ac:dyDescent="0.25">
      <c r="A329" t="s">
        <v>2024</v>
      </c>
      <c r="B329" t="s">
        <v>1304</v>
      </c>
      <c r="F329" t="s">
        <v>1010</v>
      </c>
      <c r="G329" t="s">
        <v>1100</v>
      </c>
    </row>
    <row r="330" spans="1:7" hidden="1" x14ac:dyDescent="0.25">
      <c r="A330" t="s">
        <v>4</v>
      </c>
      <c r="B330" t="s">
        <v>9</v>
      </c>
      <c r="F330" t="s">
        <v>1013</v>
      </c>
      <c r="G330" t="s">
        <v>1100</v>
      </c>
    </row>
    <row r="331" spans="1:7" hidden="1" x14ac:dyDescent="0.25">
      <c r="A331" t="s">
        <v>4</v>
      </c>
      <c r="B331" t="s">
        <v>9</v>
      </c>
      <c r="F331" t="s">
        <v>1016</v>
      </c>
      <c r="G331" t="s">
        <v>1100</v>
      </c>
    </row>
    <row r="332" spans="1:7" hidden="1" x14ac:dyDescent="0.25">
      <c r="A332" t="s">
        <v>4</v>
      </c>
      <c r="B332" t="s">
        <v>9</v>
      </c>
      <c r="F332" t="s">
        <v>1019</v>
      </c>
      <c r="G332" t="s">
        <v>1100</v>
      </c>
    </row>
    <row r="333" spans="1:7" hidden="1" x14ac:dyDescent="0.25">
      <c r="A333" t="s">
        <v>1091</v>
      </c>
      <c r="B333" t="s">
        <v>1095</v>
      </c>
      <c r="F333" t="s">
        <v>1022</v>
      </c>
      <c r="G333" t="s">
        <v>1100</v>
      </c>
    </row>
    <row r="334" spans="1:7" hidden="1" x14ac:dyDescent="0.25">
      <c r="A334" t="s">
        <v>1091</v>
      </c>
      <c r="B334" t="s">
        <v>1095</v>
      </c>
      <c r="F334" t="s">
        <v>1025</v>
      </c>
      <c r="G334" t="s">
        <v>1100</v>
      </c>
    </row>
    <row r="335" spans="1:7" hidden="1" x14ac:dyDescent="0.25">
      <c r="A335" t="s">
        <v>4</v>
      </c>
      <c r="B335" t="s">
        <v>9</v>
      </c>
      <c r="F335" t="s">
        <v>1028</v>
      </c>
      <c r="G335" t="s">
        <v>1100</v>
      </c>
    </row>
    <row r="336" spans="1:7" hidden="1" x14ac:dyDescent="0.25">
      <c r="A336" t="s">
        <v>4</v>
      </c>
      <c r="B336" t="s">
        <v>9</v>
      </c>
      <c r="F336" t="s">
        <v>1031</v>
      </c>
      <c r="G336" t="s">
        <v>1100</v>
      </c>
    </row>
    <row r="337" spans="1:7" hidden="1" x14ac:dyDescent="0.25">
      <c r="A337" t="s">
        <v>4</v>
      </c>
      <c r="B337" t="s">
        <v>9</v>
      </c>
      <c r="F337" t="s">
        <v>1034</v>
      </c>
      <c r="G337" t="s">
        <v>1100</v>
      </c>
    </row>
    <row r="338" spans="1:7" hidden="1" x14ac:dyDescent="0.25">
      <c r="A338" t="s">
        <v>4</v>
      </c>
      <c r="B338" t="s">
        <v>9</v>
      </c>
      <c r="F338" t="s">
        <v>1037</v>
      </c>
      <c r="G338" t="s">
        <v>1100</v>
      </c>
    </row>
    <row r="339" spans="1:7" hidden="1" x14ac:dyDescent="0.25">
      <c r="A339" t="s">
        <v>4</v>
      </c>
      <c r="B339" t="s">
        <v>9</v>
      </c>
      <c r="F339" t="s">
        <v>1040</v>
      </c>
      <c r="G339" t="s">
        <v>1100</v>
      </c>
    </row>
    <row r="340" spans="1:7" hidden="1" x14ac:dyDescent="0.25">
      <c r="A340" t="s">
        <v>4</v>
      </c>
      <c r="B340" t="s">
        <v>9</v>
      </c>
      <c r="F340" t="s">
        <v>1043</v>
      </c>
      <c r="G340" t="s">
        <v>1100</v>
      </c>
    </row>
    <row r="341" spans="1:7" hidden="1" x14ac:dyDescent="0.25">
      <c r="A341" t="s">
        <v>4</v>
      </c>
      <c r="B341" t="s">
        <v>9</v>
      </c>
      <c r="F341" t="s">
        <v>1046</v>
      </c>
      <c r="G341" t="s">
        <v>1100</v>
      </c>
    </row>
    <row r="342" spans="1:7" hidden="1" x14ac:dyDescent="0.25">
      <c r="A342" t="s">
        <v>2024</v>
      </c>
      <c r="B342" t="s">
        <v>1304</v>
      </c>
      <c r="F342" t="s">
        <v>1049</v>
      </c>
      <c r="G342" t="s">
        <v>1100</v>
      </c>
    </row>
    <row r="343" spans="1:7" hidden="1" x14ac:dyDescent="0.25">
      <c r="A343" t="s">
        <v>4</v>
      </c>
      <c r="B343" t="s">
        <v>9</v>
      </c>
      <c r="F343" t="s">
        <v>1052</v>
      </c>
      <c r="G343" t="s">
        <v>1100</v>
      </c>
    </row>
    <row r="344" spans="1:7" hidden="1" x14ac:dyDescent="0.25">
      <c r="A344" t="s">
        <v>795</v>
      </c>
      <c r="B344" t="s">
        <v>1304</v>
      </c>
      <c r="F344" t="s">
        <v>1055</v>
      </c>
      <c r="G344" t="s">
        <v>1100</v>
      </c>
    </row>
    <row r="345" spans="1:7" hidden="1" x14ac:dyDescent="0.25">
      <c r="A345" t="s">
        <v>4</v>
      </c>
      <c r="B345" t="s">
        <v>9</v>
      </c>
      <c r="F345" t="s">
        <v>1058</v>
      </c>
      <c r="G345" t="s">
        <v>1100</v>
      </c>
    </row>
    <row r="346" spans="1:7" hidden="1" x14ac:dyDescent="0.25">
      <c r="A346" t="s">
        <v>4</v>
      </c>
      <c r="B346" t="s">
        <v>9</v>
      </c>
      <c r="F346" t="s">
        <v>1061</v>
      </c>
      <c r="G346" t="s">
        <v>1100</v>
      </c>
    </row>
    <row r="347" spans="1:7" hidden="1" x14ac:dyDescent="0.25">
      <c r="A347" t="s">
        <v>4</v>
      </c>
      <c r="B347" t="s">
        <v>9</v>
      </c>
      <c r="F347" t="s">
        <v>1064</v>
      </c>
      <c r="G347" t="s">
        <v>1100</v>
      </c>
    </row>
    <row r="348" spans="1:7" hidden="1" x14ac:dyDescent="0.25">
      <c r="A348" t="s">
        <v>4</v>
      </c>
      <c r="B348" t="s">
        <v>9</v>
      </c>
      <c r="F348" t="s">
        <v>1067</v>
      </c>
      <c r="G348" t="s">
        <v>1100</v>
      </c>
    </row>
    <row r="349" spans="1:7" hidden="1" x14ac:dyDescent="0.25">
      <c r="A349" t="s">
        <v>4</v>
      </c>
      <c r="B349" t="s">
        <v>9</v>
      </c>
      <c r="F349" t="s">
        <v>1070</v>
      </c>
      <c r="G349" t="s">
        <v>1100</v>
      </c>
    </row>
    <row r="350" spans="1:7" hidden="1" x14ac:dyDescent="0.25">
      <c r="A350" t="s">
        <v>4</v>
      </c>
      <c r="B350" t="s">
        <v>9</v>
      </c>
      <c r="F350" t="s">
        <v>1073</v>
      </c>
      <c r="G350" t="s">
        <v>1100</v>
      </c>
    </row>
    <row r="351" spans="1:7" hidden="1" x14ac:dyDescent="0.25">
      <c r="A351" t="s">
        <v>4</v>
      </c>
      <c r="B351" t="s">
        <v>9</v>
      </c>
      <c r="F351" t="s">
        <v>1076</v>
      </c>
      <c r="G351" t="s">
        <v>1100</v>
      </c>
    </row>
    <row r="352" spans="1:7" hidden="1" x14ac:dyDescent="0.25">
      <c r="A352" t="s">
        <v>4</v>
      </c>
      <c r="B352" t="s">
        <v>9</v>
      </c>
      <c r="F352" t="s">
        <v>1079</v>
      </c>
      <c r="G352" t="s">
        <v>1100</v>
      </c>
    </row>
    <row r="353" spans="1:7" hidden="1" x14ac:dyDescent="0.25">
      <c r="A353" t="s">
        <v>4</v>
      </c>
      <c r="B353" t="s">
        <v>9</v>
      </c>
      <c r="F353" t="s">
        <v>1082</v>
      </c>
      <c r="G353" t="s">
        <v>1100</v>
      </c>
    </row>
    <row r="354" spans="1:7" hidden="1" x14ac:dyDescent="0.25">
      <c r="A354" t="s">
        <v>4</v>
      </c>
      <c r="B354" t="s">
        <v>9</v>
      </c>
      <c r="F354" t="s">
        <v>1085</v>
      </c>
      <c r="G354" t="s">
        <v>1100</v>
      </c>
    </row>
    <row r="355" spans="1:7" hidden="1" x14ac:dyDescent="0.25">
      <c r="A355" t="s">
        <v>4</v>
      </c>
      <c r="B355" t="s">
        <v>9</v>
      </c>
      <c r="F355" t="s">
        <v>1088</v>
      </c>
      <c r="G355" t="s">
        <v>1100</v>
      </c>
    </row>
    <row r="356" spans="1:7" hidden="1" x14ac:dyDescent="0.25">
      <c r="A356" t="s">
        <v>2024</v>
      </c>
      <c r="B356" t="s">
        <v>1304</v>
      </c>
      <c r="F356" t="s">
        <v>1190</v>
      </c>
      <c r="G356" t="s">
        <v>1100</v>
      </c>
    </row>
    <row r="357" spans="1:7" hidden="1" x14ac:dyDescent="0.25">
      <c r="A357" t="s">
        <v>4</v>
      </c>
      <c r="B357" t="s">
        <v>9</v>
      </c>
      <c r="F357" t="s">
        <v>1193</v>
      </c>
      <c r="G357" t="s">
        <v>1100</v>
      </c>
    </row>
    <row r="358" spans="1:7" hidden="1" x14ac:dyDescent="0.25">
      <c r="A358" t="s">
        <v>4</v>
      </c>
      <c r="B358" t="s">
        <v>9</v>
      </c>
      <c r="F358" t="s">
        <v>1196</v>
      </c>
      <c r="G358" t="s">
        <v>1100</v>
      </c>
    </row>
    <row r="359" spans="1:7" hidden="1" x14ac:dyDescent="0.25">
      <c r="A359" t="s">
        <v>4</v>
      </c>
      <c r="B359" t="s">
        <v>9</v>
      </c>
      <c r="F359" t="s">
        <v>1199</v>
      </c>
      <c r="G359" t="s">
        <v>1100</v>
      </c>
    </row>
    <row r="360" spans="1:7" hidden="1" x14ac:dyDescent="0.25">
      <c r="A360" t="s">
        <v>4</v>
      </c>
      <c r="B360" t="s">
        <v>9</v>
      </c>
      <c r="F360" t="s">
        <v>1202</v>
      </c>
      <c r="G360" t="s">
        <v>1100</v>
      </c>
    </row>
    <row r="361" spans="1:7" hidden="1" x14ac:dyDescent="0.25">
      <c r="A361" t="s">
        <v>4</v>
      </c>
      <c r="B361" t="s">
        <v>9</v>
      </c>
      <c r="F361" t="s">
        <v>1205</v>
      </c>
      <c r="G361" t="s">
        <v>1100</v>
      </c>
    </row>
    <row r="362" spans="1:7" hidden="1" x14ac:dyDescent="0.25">
      <c r="A362" t="s">
        <v>4</v>
      </c>
      <c r="B362" t="s">
        <v>9</v>
      </c>
      <c r="E362" t="s">
        <v>10</v>
      </c>
      <c r="F362" t="s">
        <v>1208</v>
      </c>
      <c r="G362" t="s">
        <v>1100</v>
      </c>
    </row>
    <row r="363" spans="1:7" hidden="1" x14ac:dyDescent="0.25">
      <c r="A363" t="s">
        <v>4</v>
      </c>
      <c r="B363" t="s">
        <v>8</v>
      </c>
      <c r="E363" t="s">
        <v>5</v>
      </c>
      <c r="F363" t="s">
        <v>1307</v>
      </c>
      <c r="G363" t="s">
        <v>1603</v>
      </c>
    </row>
    <row r="364" spans="1:7" hidden="1" x14ac:dyDescent="0.25">
      <c r="A364" t="s">
        <v>4</v>
      </c>
      <c r="B364" t="s">
        <v>8</v>
      </c>
      <c r="F364" t="s">
        <v>1311</v>
      </c>
      <c r="G364" t="s">
        <v>1603</v>
      </c>
    </row>
    <row r="365" spans="1:7" hidden="1" x14ac:dyDescent="0.25">
      <c r="A365" t="s">
        <v>4</v>
      </c>
      <c r="B365" t="s">
        <v>8</v>
      </c>
      <c r="F365" t="s">
        <v>1314</v>
      </c>
      <c r="G365" t="s">
        <v>1603</v>
      </c>
    </row>
    <row r="366" spans="1:7" hidden="1" x14ac:dyDescent="0.25">
      <c r="A366" t="s">
        <v>1604</v>
      </c>
      <c r="B366" t="s">
        <v>1097</v>
      </c>
      <c r="F366" t="s">
        <v>1317</v>
      </c>
      <c r="G366" t="s">
        <v>1603</v>
      </c>
    </row>
    <row r="367" spans="1:7" hidden="1" x14ac:dyDescent="0.25">
      <c r="A367" t="s">
        <v>1604</v>
      </c>
      <c r="B367" t="s">
        <v>1097</v>
      </c>
      <c r="F367" t="s">
        <v>1320</v>
      </c>
      <c r="G367" t="s">
        <v>1603</v>
      </c>
    </row>
    <row r="368" spans="1:7" hidden="1" x14ac:dyDescent="0.25">
      <c r="A368" t="s">
        <v>1604</v>
      </c>
      <c r="B368" t="s">
        <v>1097</v>
      </c>
      <c r="F368" t="s">
        <v>1323</v>
      </c>
      <c r="G368" t="s">
        <v>1603</v>
      </c>
    </row>
    <row r="369" spans="1:7" hidden="1" x14ac:dyDescent="0.25">
      <c r="A369" t="s">
        <v>1604</v>
      </c>
      <c r="B369" t="s">
        <v>1097</v>
      </c>
      <c r="F369" t="s">
        <v>1326</v>
      </c>
      <c r="G369" t="s">
        <v>1603</v>
      </c>
    </row>
    <row r="370" spans="1:7" hidden="1" x14ac:dyDescent="0.25">
      <c r="A370" t="s">
        <v>159</v>
      </c>
      <c r="B370" t="s">
        <v>86</v>
      </c>
      <c r="C370" t="s">
        <v>60</v>
      </c>
      <c r="E370" t="s">
        <v>1605</v>
      </c>
      <c r="F370" t="s">
        <v>1329</v>
      </c>
      <c r="G370" t="s">
        <v>1603</v>
      </c>
    </row>
    <row r="371" spans="1:7" hidden="1" x14ac:dyDescent="0.25">
      <c r="A371" t="s">
        <v>1094</v>
      </c>
      <c r="B371" t="s">
        <v>1095</v>
      </c>
      <c r="F371" t="s">
        <v>1332</v>
      </c>
      <c r="G371" t="s">
        <v>1603</v>
      </c>
    </row>
    <row r="372" spans="1:7" hidden="1" x14ac:dyDescent="0.25">
      <c r="A372" t="s">
        <v>1094</v>
      </c>
      <c r="B372" t="s">
        <v>1095</v>
      </c>
      <c r="F372" t="s">
        <v>1335</v>
      </c>
      <c r="G372" t="s">
        <v>1603</v>
      </c>
    </row>
    <row r="373" spans="1:7" hidden="1" x14ac:dyDescent="0.25">
      <c r="A373" t="s">
        <v>159</v>
      </c>
      <c r="B373" t="s">
        <v>86</v>
      </c>
      <c r="C373" t="s">
        <v>51</v>
      </c>
      <c r="F373" t="s">
        <v>1338</v>
      </c>
      <c r="G373" t="s">
        <v>1603</v>
      </c>
    </row>
    <row r="374" spans="1:7" hidden="1" x14ac:dyDescent="0.25">
      <c r="A374" t="s">
        <v>1606</v>
      </c>
      <c r="B374" t="s">
        <v>86</v>
      </c>
      <c r="C374" t="s">
        <v>51</v>
      </c>
      <c r="F374" t="s">
        <v>1341</v>
      </c>
      <c r="G374" t="s">
        <v>1603</v>
      </c>
    </row>
    <row r="375" spans="1:7" hidden="1" x14ac:dyDescent="0.25">
      <c r="A375" t="s">
        <v>289</v>
      </c>
      <c r="B375" t="s">
        <v>86</v>
      </c>
      <c r="C375" t="s">
        <v>53</v>
      </c>
      <c r="D375">
        <v>1</v>
      </c>
      <c r="F375" t="s">
        <v>1344</v>
      </c>
      <c r="G375" t="s">
        <v>1603</v>
      </c>
    </row>
    <row r="376" spans="1:7" hidden="1" x14ac:dyDescent="0.25">
      <c r="A376" t="s">
        <v>650</v>
      </c>
      <c r="B376" t="s">
        <v>86</v>
      </c>
      <c r="C376" t="s">
        <v>1609</v>
      </c>
      <c r="F376" t="s">
        <v>1347</v>
      </c>
      <c r="G376" t="s">
        <v>1603</v>
      </c>
    </row>
    <row r="377" spans="1:7" hidden="1" x14ac:dyDescent="0.25">
      <c r="A377" t="s">
        <v>4</v>
      </c>
      <c r="B377" t="s">
        <v>8</v>
      </c>
      <c r="F377" t="s">
        <v>1350</v>
      </c>
      <c r="G377" t="s">
        <v>1603</v>
      </c>
    </row>
    <row r="378" spans="1:7" hidden="1" x14ac:dyDescent="0.25">
      <c r="A378" t="s">
        <v>1606</v>
      </c>
      <c r="B378" t="s">
        <v>86</v>
      </c>
      <c r="C378" t="s">
        <v>51</v>
      </c>
      <c r="F378" t="s">
        <v>1353</v>
      </c>
      <c r="G378" t="s">
        <v>1603</v>
      </c>
    </row>
    <row r="379" spans="1:7" hidden="1" x14ac:dyDescent="0.25">
      <c r="A379" t="s">
        <v>289</v>
      </c>
      <c r="B379" t="s">
        <v>86</v>
      </c>
      <c r="C379" t="s">
        <v>53</v>
      </c>
      <c r="D379">
        <v>1</v>
      </c>
      <c r="F379" t="s">
        <v>1356</v>
      </c>
      <c r="G379" t="s">
        <v>1603</v>
      </c>
    </row>
    <row r="380" spans="1:7" hidden="1" x14ac:dyDescent="0.25">
      <c r="A380" t="s">
        <v>650</v>
      </c>
      <c r="B380" t="s">
        <v>86</v>
      </c>
      <c r="C380" t="s">
        <v>1609</v>
      </c>
      <c r="F380" t="s">
        <v>1359</v>
      </c>
      <c r="G380" t="s">
        <v>1603</v>
      </c>
    </row>
    <row r="381" spans="1:7" hidden="1" x14ac:dyDescent="0.25">
      <c r="A381" t="s">
        <v>1606</v>
      </c>
      <c r="B381" t="s">
        <v>86</v>
      </c>
      <c r="C381" t="s">
        <v>51</v>
      </c>
      <c r="F381" t="s">
        <v>1362</v>
      </c>
      <c r="G381" t="s">
        <v>1603</v>
      </c>
    </row>
    <row r="382" spans="1:7" hidden="1" x14ac:dyDescent="0.25">
      <c r="A382" t="s">
        <v>289</v>
      </c>
      <c r="B382" t="s">
        <v>86</v>
      </c>
      <c r="C382" t="s">
        <v>53</v>
      </c>
      <c r="D382">
        <v>1</v>
      </c>
      <c r="F382" t="s">
        <v>1365</v>
      </c>
      <c r="G382" t="s">
        <v>1603</v>
      </c>
    </row>
    <row r="383" spans="1:7" hidden="1" x14ac:dyDescent="0.25">
      <c r="A383" t="s">
        <v>650</v>
      </c>
      <c r="B383" t="s">
        <v>86</v>
      </c>
      <c r="C383" t="s">
        <v>1609</v>
      </c>
      <c r="F383" t="s">
        <v>1368</v>
      </c>
      <c r="G383" t="s">
        <v>1603</v>
      </c>
    </row>
    <row r="384" spans="1:7" hidden="1" x14ac:dyDescent="0.25">
      <c r="A384" t="s">
        <v>4</v>
      </c>
      <c r="B384" t="s">
        <v>1607</v>
      </c>
      <c r="C384" t="s">
        <v>1608</v>
      </c>
      <c r="F384" t="s">
        <v>1371</v>
      </c>
      <c r="G384" t="s">
        <v>1603</v>
      </c>
    </row>
    <row r="385" spans="1:7" hidden="1" x14ac:dyDescent="0.25">
      <c r="A385" t="s">
        <v>4</v>
      </c>
      <c r="B385" t="s">
        <v>1607</v>
      </c>
      <c r="C385" t="s">
        <v>1608</v>
      </c>
      <c r="F385" t="s">
        <v>1374</v>
      </c>
      <c r="G385" t="s">
        <v>1603</v>
      </c>
    </row>
    <row r="386" spans="1:7" hidden="1" x14ac:dyDescent="0.25">
      <c r="A386" t="s">
        <v>159</v>
      </c>
      <c r="B386" t="s">
        <v>86</v>
      </c>
      <c r="C386" t="s">
        <v>60</v>
      </c>
      <c r="E386" t="s">
        <v>1605</v>
      </c>
      <c r="F386" t="s">
        <v>1377</v>
      </c>
      <c r="G386" t="s">
        <v>1603</v>
      </c>
    </row>
    <row r="387" spans="1:7" hidden="1" x14ac:dyDescent="0.25">
      <c r="A387" t="s">
        <v>4</v>
      </c>
      <c r="B387" t="s">
        <v>8</v>
      </c>
      <c r="F387" t="s">
        <v>1380</v>
      </c>
      <c r="G387" t="s">
        <v>1603</v>
      </c>
    </row>
    <row r="388" spans="1:7" hidden="1" x14ac:dyDescent="0.25">
      <c r="A388" t="s">
        <v>1606</v>
      </c>
      <c r="B388" t="s">
        <v>86</v>
      </c>
      <c r="C388" t="s">
        <v>51</v>
      </c>
      <c r="F388" t="s">
        <v>1383</v>
      </c>
      <c r="G388" t="s">
        <v>1603</v>
      </c>
    </row>
    <row r="389" spans="1:7" hidden="1" x14ac:dyDescent="0.25">
      <c r="A389" t="s">
        <v>4</v>
      </c>
      <c r="B389" t="s">
        <v>8</v>
      </c>
      <c r="F389" t="s">
        <v>1386</v>
      </c>
      <c r="G389" t="s">
        <v>1603</v>
      </c>
    </row>
    <row r="390" spans="1:7" hidden="1" x14ac:dyDescent="0.25">
      <c r="A390" t="s">
        <v>650</v>
      </c>
      <c r="B390" t="s">
        <v>86</v>
      </c>
      <c r="C390" t="s">
        <v>51</v>
      </c>
      <c r="F390" t="s">
        <v>1389</v>
      </c>
      <c r="G390" t="s">
        <v>1603</v>
      </c>
    </row>
    <row r="391" spans="1:7" hidden="1" x14ac:dyDescent="0.25">
      <c r="A391" t="s">
        <v>4</v>
      </c>
      <c r="B391" t="s">
        <v>8</v>
      </c>
      <c r="F391" t="s">
        <v>1392</v>
      </c>
      <c r="G391" t="s">
        <v>1603</v>
      </c>
    </row>
    <row r="392" spans="1:7" hidden="1" x14ac:dyDescent="0.25">
      <c r="A392" t="s">
        <v>1606</v>
      </c>
      <c r="B392" t="s">
        <v>56</v>
      </c>
      <c r="C392" t="s">
        <v>51</v>
      </c>
      <c r="F392" t="s">
        <v>1395</v>
      </c>
      <c r="G392" t="s">
        <v>1603</v>
      </c>
    </row>
    <row r="393" spans="1:7" hidden="1" x14ac:dyDescent="0.25">
      <c r="A393" t="s">
        <v>289</v>
      </c>
      <c r="B393" t="s">
        <v>56</v>
      </c>
      <c r="C393" t="s">
        <v>53</v>
      </c>
      <c r="D393">
        <v>3</v>
      </c>
      <c r="F393" t="s">
        <v>1398</v>
      </c>
      <c r="G393" t="s">
        <v>1603</v>
      </c>
    </row>
    <row r="394" spans="1:7" hidden="1" x14ac:dyDescent="0.25">
      <c r="A394" t="s">
        <v>650</v>
      </c>
      <c r="B394" t="s">
        <v>56</v>
      </c>
      <c r="C394" t="s">
        <v>1609</v>
      </c>
      <c r="F394" t="s">
        <v>1401</v>
      </c>
      <c r="G394" t="s">
        <v>1603</v>
      </c>
    </row>
    <row r="395" spans="1:7" hidden="1" x14ac:dyDescent="0.25">
      <c r="A395" t="s">
        <v>533</v>
      </c>
      <c r="B395" t="s">
        <v>531</v>
      </c>
      <c r="C395" t="s">
        <v>58</v>
      </c>
      <c r="E395" t="s">
        <v>1612</v>
      </c>
      <c r="F395" t="s">
        <v>1404</v>
      </c>
      <c r="G395" t="s">
        <v>1603</v>
      </c>
    </row>
    <row r="396" spans="1:7" hidden="1" x14ac:dyDescent="0.25">
      <c r="A396" t="s">
        <v>533</v>
      </c>
      <c r="B396" t="s">
        <v>531</v>
      </c>
      <c r="C396" t="s">
        <v>58</v>
      </c>
      <c r="E396" t="s">
        <v>1612</v>
      </c>
      <c r="F396" t="s">
        <v>1407</v>
      </c>
      <c r="G396" t="s">
        <v>1603</v>
      </c>
    </row>
    <row r="397" spans="1:7" hidden="1" x14ac:dyDescent="0.25">
      <c r="A397" t="s">
        <v>533</v>
      </c>
      <c r="B397" t="s">
        <v>531</v>
      </c>
      <c r="C397" t="s">
        <v>58</v>
      </c>
      <c r="E397" t="s">
        <v>1612</v>
      </c>
      <c r="F397" t="s">
        <v>1410</v>
      </c>
      <c r="G397" t="s">
        <v>1603</v>
      </c>
    </row>
    <row r="398" spans="1:7" hidden="1" x14ac:dyDescent="0.25">
      <c r="A398" t="s">
        <v>533</v>
      </c>
      <c r="B398" t="s">
        <v>531</v>
      </c>
      <c r="C398" t="s">
        <v>58</v>
      </c>
      <c r="E398" t="s">
        <v>1612</v>
      </c>
      <c r="F398" t="s">
        <v>1413</v>
      </c>
      <c r="G398" t="s">
        <v>1603</v>
      </c>
    </row>
    <row r="399" spans="1:7" hidden="1" x14ac:dyDescent="0.25">
      <c r="A399" t="s">
        <v>4</v>
      </c>
      <c r="B399" t="s">
        <v>8</v>
      </c>
      <c r="F399" t="s">
        <v>1416</v>
      </c>
      <c r="G399" t="s">
        <v>1603</v>
      </c>
    </row>
    <row r="400" spans="1:7" hidden="1" x14ac:dyDescent="0.25">
      <c r="A400" t="s">
        <v>533</v>
      </c>
      <c r="B400" t="s">
        <v>1610</v>
      </c>
      <c r="C400" t="s">
        <v>58</v>
      </c>
      <c r="E400" t="s">
        <v>1611</v>
      </c>
      <c r="F400" t="s">
        <v>1419</v>
      </c>
      <c r="G400" t="s">
        <v>1603</v>
      </c>
    </row>
    <row r="401" spans="1:7" hidden="1" x14ac:dyDescent="0.25">
      <c r="A401" t="s">
        <v>533</v>
      </c>
      <c r="B401" t="s">
        <v>1610</v>
      </c>
      <c r="C401" t="s">
        <v>58</v>
      </c>
      <c r="E401" t="s">
        <v>1611</v>
      </c>
      <c r="F401" t="s">
        <v>1422</v>
      </c>
      <c r="G401" t="s">
        <v>1603</v>
      </c>
    </row>
    <row r="402" spans="1:7" hidden="1" x14ac:dyDescent="0.25">
      <c r="A402" t="s">
        <v>533</v>
      </c>
      <c r="B402" t="s">
        <v>1610</v>
      </c>
      <c r="C402" t="s">
        <v>58</v>
      </c>
      <c r="E402" t="s">
        <v>1611</v>
      </c>
      <c r="F402" t="s">
        <v>1425</v>
      </c>
      <c r="G402" t="s">
        <v>1603</v>
      </c>
    </row>
    <row r="403" spans="1:7" hidden="1" x14ac:dyDescent="0.25">
      <c r="A403" t="s">
        <v>533</v>
      </c>
      <c r="B403" t="s">
        <v>531</v>
      </c>
      <c r="C403" t="s">
        <v>58</v>
      </c>
      <c r="E403" t="s">
        <v>1612</v>
      </c>
      <c r="F403" t="s">
        <v>1428</v>
      </c>
      <c r="G403" t="s">
        <v>1603</v>
      </c>
    </row>
    <row r="404" spans="1:7" hidden="1" x14ac:dyDescent="0.25">
      <c r="A404" t="s">
        <v>533</v>
      </c>
      <c r="B404" t="s">
        <v>531</v>
      </c>
      <c r="C404" t="s">
        <v>58</v>
      </c>
      <c r="E404" t="s">
        <v>1612</v>
      </c>
      <c r="F404" t="s">
        <v>1431</v>
      </c>
      <c r="G404" t="s">
        <v>1603</v>
      </c>
    </row>
    <row r="405" spans="1:7" hidden="1" x14ac:dyDescent="0.25">
      <c r="A405" t="s">
        <v>533</v>
      </c>
      <c r="B405" t="s">
        <v>531</v>
      </c>
      <c r="C405" t="s">
        <v>58</v>
      </c>
      <c r="E405" t="s">
        <v>1612</v>
      </c>
      <c r="F405" t="s">
        <v>1432</v>
      </c>
      <c r="G405" t="s">
        <v>1603</v>
      </c>
    </row>
    <row r="406" spans="1:7" hidden="1" x14ac:dyDescent="0.25">
      <c r="A406" t="s">
        <v>4</v>
      </c>
      <c r="B406" t="s">
        <v>8</v>
      </c>
      <c r="E406" t="s">
        <v>5</v>
      </c>
      <c r="F406" t="s">
        <v>1435</v>
      </c>
      <c r="G406" t="s">
        <v>1603</v>
      </c>
    </row>
    <row r="407" spans="1:7" hidden="1" x14ac:dyDescent="0.25">
      <c r="A407" t="s">
        <v>4</v>
      </c>
      <c r="B407" t="s">
        <v>8</v>
      </c>
      <c r="F407" t="s">
        <v>1438</v>
      </c>
      <c r="G407" t="s">
        <v>1603</v>
      </c>
    </row>
    <row r="408" spans="1:7" hidden="1" x14ac:dyDescent="0.25">
      <c r="A408" t="s">
        <v>289</v>
      </c>
      <c r="B408" t="s">
        <v>86</v>
      </c>
      <c r="C408" t="s">
        <v>1097</v>
      </c>
      <c r="F408" t="s">
        <v>1441</v>
      </c>
      <c r="G408" t="s">
        <v>1603</v>
      </c>
    </row>
    <row r="409" spans="1:7" hidden="1" x14ac:dyDescent="0.25">
      <c r="A409" t="s">
        <v>289</v>
      </c>
      <c r="B409" t="s">
        <v>86</v>
      </c>
      <c r="C409" t="s">
        <v>1095</v>
      </c>
      <c r="F409" t="s">
        <v>1444</v>
      </c>
      <c r="G409" t="s">
        <v>1603</v>
      </c>
    </row>
    <row r="410" spans="1:7" hidden="1" x14ac:dyDescent="0.25">
      <c r="A410" t="s">
        <v>533</v>
      </c>
      <c r="B410" t="s">
        <v>86</v>
      </c>
      <c r="C410" t="s">
        <v>1613</v>
      </c>
      <c r="E410" t="s">
        <v>1612</v>
      </c>
      <c r="F410" t="s">
        <v>1447</v>
      </c>
      <c r="G410" t="s">
        <v>1603</v>
      </c>
    </row>
    <row r="411" spans="1:7" hidden="1" x14ac:dyDescent="0.25">
      <c r="A411" t="s">
        <v>1615</v>
      </c>
      <c r="B411" t="s">
        <v>86</v>
      </c>
      <c r="C411" t="s">
        <v>1614</v>
      </c>
      <c r="F411" t="s">
        <v>1450</v>
      </c>
      <c r="G411" t="s">
        <v>1603</v>
      </c>
    </row>
    <row r="412" spans="1:7" hidden="1" x14ac:dyDescent="0.25">
      <c r="A412" t="s">
        <v>1606</v>
      </c>
      <c r="B412" t="s">
        <v>63</v>
      </c>
      <c r="C412" t="s">
        <v>51</v>
      </c>
      <c r="F412" t="s">
        <v>1453</v>
      </c>
      <c r="G412" t="s">
        <v>1603</v>
      </c>
    </row>
    <row r="413" spans="1:7" hidden="1" x14ac:dyDescent="0.25">
      <c r="A413" t="s">
        <v>289</v>
      </c>
      <c r="B413" t="s">
        <v>63</v>
      </c>
      <c r="C413" t="s">
        <v>58</v>
      </c>
      <c r="E413" t="s">
        <v>1620</v>
      </c>
      <c r="F413" t="s">
        <v>1456</v>
      </c>
      <c r="G413" t="s">
        <v>1603</v>
      </c>
    </row>
    <row r="414" spans="1:7" hidden="1" x14ac:dyDescent="0.25">
      <c r="A414" t="s">
        <v>1999</v>
      </c>
      <c r="B414" t="s">
        <v>63</v>
      </c>
      <c r="C414" t="s">
        <v>58</v>
      </c>
      <c r="E414" t="s">
        <v>1620</v>
      </c>
      <c r="F414" t="s">
        <v>1459</v>
      </c>
      <c r="G414" t="s">
        <v>1603</v>
      </c>
    </row>
    <row r="415" spans="1:7" hidden="1" x14ac:dyDescent="0.25">
      <c r="A415" t="s">
        <v>1999</v>
      </c>
      <c r="B415" t="s">
        <v>63</v>
      </c>
      <c r="C415" t="s">
        <v>58</v>
      </c>
      <c r="E415" t="s">
        <v>1620</v>
      </c>
      <c r="F415" t="s">
        <v>1462</v>
      </c>
      <c r="G415" t="s">
        <v>1603</v>
      </c>
    </row>
    <row r="416" spans="1:7" hidden="1" x14ac:dyDescent="0.25">
      <c r="A416" t="s">
        <v>650</v>
      </c>
      <c r="B416" t="s">
        <v>63</v>
      </c>
      <c r="C416" t="s">
        <v>58</v>
      </c>
      <c r="F416" t="s">
        <v>1465</v>
      </c>
      <c r="G416" t="s">
        <v>1603</v>
      </c>
    </row>
    <row r="417" spans="1:7" hidden="1" x14ac:dyDescent="0.25">
      <c r="A417" t="s">
        <v>1606</v>
      </c>
      <c r="B417" t="s">
        <v>55</v>
      </c>
      <c r="C417" t="s">
        <v>51</v>
      </c>
      <c r="F417" t="s">
        <v>1468</v>
      </c>
      <c r="G417" t="s">
        <v>1603</v>
      </c>
    </row>
    <row r="418" spans="1:7" hidden="1" x14ac:dyDescent="0.25">
      <c r="A418" t="s">
        <v>289</v>
      </c>
      <c r="B418" t="s">
        <v>55</v>
      </c>
      <c r="C418" t="s">
        <v>1617</v>
      </c>
      <c r="E418" t="s">
        <v>1618</v>
      </c>
      <c r="F418" t="s">
        <v>1471</v>
      </c>
      <c r="G418" t="s">
        <v>1603</v>
      </c>
    </row>
    <row r="419" spans="1:7" hidden="1" x14ac:dyDescent="0.25">
      <c r="A419" t="s">
        <v>1616</v>
      </c>
      <c r="B419" t="s">
        <v>55</v>
      </c>
      <c r="C419" t="s">
        <v>1617</v>
      </c>
      <c r="E419" t="s">
        <v>1618</v>
      </c>
      <c r="F419" t="s">
        <v>1474</v>
      </c>
      <c r="G419" t="s">
        <v>1603</v>
      </c>
    </row>
    <row r="420" spans="1:7" hidden="1" x14ac:dyDescent="0.25">
      <c r="A420" t="s">
        <v>1616</v>
      </c>
      <c r="B420" t="s">
        <v>55</v>
      </c>
      <c r="C420" t="s">
        <v>1617</v>
      </c>
      <c r="E420" t="s">
        <v>1618</v>
      </c>
      <c r="F420" t="s">
        <v>1477</v>
      </c>
      <c r="G420" t="s">
        <v>1603</v>
      </c>
    </row>
    <row r="421" spans="1:7" hidden="1" x14ac:dyDescent="0.25">
      <c r="A421" t="s">
        <v>1616</v>
      </c>
      <c r="B421" t="s">
        <v>55</v>
      </c>
      <c r="C421" t="s">
        <v>1619</v>
      </c>
      <c r="E421" t="s">
        <v>1620</v>
      </c>
      <c r="F421" t="s">
        <v>1480</v>
      </c>
      <c r="G421" t="s">
        <v>1603</v>
      </c>
    </row>
    <row r="422" spans="1:7" hidden="1" x14ac:dyDescent="0.25">
      <c r="A422" t="s">
        <v>1616</v>
      </c>
      <c r="B422" t="s">
        <v>55</v>
      </c>
      <c r="C422" t="s">
        <v>1621</v>
      </c>
      <c r="F422" t="s">
        <v>1483</v>
      </c>
      <c r="G422" t="s">
        <v>1603</v>
      </c>
    </row>
    <row r="423" spans="1:7" hidden="1" x14ac:dyDescent="0.25">
      <c r="A423" t="s">
        <v>1616</v>
      </c>
      <c r="B423" t="s">
        <v>55</v>
      </c>
      <c r="C423" t="s">
        <v>1622</v>
      </c>
      <c r="F423" t="s">
        <v>1486</v>
      </c>
      <c r="G423" t="s">
        <v>1603</v>
      </c>
    </row>
    <row r="424" spans="1:7" hidden="1" x14ac:dyDescent="0.25">
      <c r="A424" t="s">
        <v>650</v>
      </c>
      <c r="B424" t="s">
        <v>55</v>
      </c>
      <c r="C424" t="s">
        <v>1622</v>
      </c>
      <c r="D424">
        <v>6</v>
      </c>
      <c r="E424" t="s">
        <v>1620</v>
      </c>
      <c r="F424" t="s">
        <v>1489</v>
      </c>
      <c r="G424" t="s">
        <v>1603</v>
      </c>
    </row>
    <row r="425" spans="1:7" hidden="1" x14ac:dyDescent="0.25">
      <c r="A425" t="s">
        <v>4</v>
      </c>
      <c r="B425" t="s">
        <v>8</v>
      </c>
      <c r="F425" t="s">
        <v>1492</v>
      </c>
      <c r="G425" t="s">
        <v>1603</v>
      </c>
    </row>
    <row r="426" spans="1:7" hidden="1" x14ac:dyDescent="0.25">
      <c r="A426" t="s">
        <v>159</v>
      </c>
      <c r="B426" t="s">
        <v>86</v>
      </c>
      <c r="C426" t="s">
        <v>60</v>
      </c>
      <c r="E426" t="s">
        <v>1605</v>
      </c>
      <c r="F426" t="s">
        <v>1495</v>
      </c>
      <c r="G426" t="s">
        <v>1603</v>
      </c>
    </row>
    <row r="427" spans="1:7" hidden="1" x14ac:dyDescent="0.25">
      <c r="A427" t="s">
        <v>159</v>
      </c>
      <c r="B427" t="s">
        <v>86</v>
      </c>
      <c r="C427" t="s">
        <v>60</v>
      </c>
      <c r="E427" t="s">
        <v>1605</v>
      </c>
      <c r="F427" t="s">
        <v>1498</v>
      </c>
      <c r="G427" t="s">
        <v>1603</v>
      </c>
    </row>
    <row r="428" spans="1:7" hidden="1" x14ac:dyDescent="0.25">
      <c r="A428" t="s">
        <v>159</v>
      </c>
      <c r="B428" t="s">
        <v>86</v>
      </c>
      <c r="C428" t="s">
        <v>60</v>
      </c>
      <c r="E428" t="s">
        <v>1605</v>
      </c>
      <c r="F428" t="s">
        <v>1501</v>
      </c>
      <c r="G428" t="s">
        <v>1603</v>
      </c>
    </row>
    <row r="429" spans="1:7" hidden="1" x14ac:dyDescent="0.25">
      <c r="A429" t="s">
        <v>159</v>
      </c>
      <c r="B429" t="s">
        <v>86</v>
      </c>
      <c r="C429" t="s">
        <v>60</v>
      </c>
      <c r="E429" t="s">
        <v>1605</v>
      </c>
      <c r="F429" t="s">
        <v>1504</v>
      </c>
      <c r="G429" t="s">
        <v>1603</v>
      </c>
    </row>
    <row r="430" spans="1:7" hidden="1" x14ac:dyDescent="0.25">
      <c r="A430" t="s">
        <v>159</v>
      </c>
      <c r="B430" t="s">
        <v>86</v>
      </c>
      <c r="C430" t="s">
        <v>1621</v>
      </c>
      <c r="E430" t="s">
        <v>1605</v>
      </c>
      <c r="F430" t="s">
        <v>1507</v>
      </c>
      <c r="G430" t="s">
        <v>1603</v>
      </c>
    </row>
    <row r="431" spans="1:7" hidden="1" x14ac:dyDescent="0.25">
      <c r="A431" t="s">
        <v>4</v>
      </c>
      <c r="B431" t="s">
        <v>8</v>
      </c>
      <c r="F431" t="s">
        <v>1510</v>
      </c>
      <c r="G431" t="s">
        <v>1603</v>
      </c>
    </row>
    <row r="432" spans="1:7" hidden="1" x14ac:dyDescent="0.25">
      <c r="A432" t="s">
        <v>1623</v>
      </c>
      <c r="F432" t="s">
        <v>1513</v>
      </c>
      <c r="G432" t="s">
        <v>1603</v>
      </c>
    </row>
    <row r="433" spans="1:7" hidden="1" x14ac:dyDescent="0.25">
      <c r="A433" t="s">
        <v>533</v>
      </c>
      <c r="B433" t="s">
        <v>531</v>
      </c>
      <c r="C433" t="s">
        <v>1624</v>
      </c>
      <c r="F433" t="s">
        <v>1516</v>
      </c>
      <c r="G433" t="s">
        <v>1603</v>
      </c>
    </row>
    <row r="434" spans="1:7" hidden="1" x14ac:dyDescent="0.25">
      <c r="A434" t="s">
        <v>1606</v>
      </c>
      <c r="B434" t="s">
        <v>70</v>
      </c>
      <c r="C434" t="s">
        <v>51</v>
      </c>
      <c r="F434" t="s">
        <v>1519</v>
      </c>
      <c r="G434" t="s">
        <v>1603</v>
      </c>
    </row>
    <row r="435" spans="1:7" hidden="1" x14ac:dyDescent="0.25">
      <c r="A435" t="s">
        <v>466</v>
      </c>
      <c r="B435" t="s">
        <v>70</v>
      </c>
      <c r="C435" t="s">
        <v>58</v>
      </c>
      <c r="E435" t="s">
        <v>1620</v>
      </c>
      <c r="F435" t="s">
        <v>1522</v>
      </c>
      <c r="G435" t="s">
        <v>1603</v>
      </c>
    </row>
    <row r="436" spans="1:7" hidden="1" x14ac:dyDescent="0.25">
      <c r="A436" t="s">
        <v>466</v>
      </c>
      <c r="B436" t="s">
        <v>70</v>
      </c>
      <c r="C436" t="s">
        <v>58</v>
      </c>
      <c r="E436" t="s">
        <v>1620</v>
      </c>
      <c r="F436" t="s">
        <v>1525</v>
      </c>
      <c r="G436" t="s">
        <v>1603</v>
      </c>
    </row>
    <row r="437" spans="1:7" hidden="1" x14ac:dyDescent="0.25">
      <c r="A437" t="s">
        <v>4</v>
      </c>
      <c r="B437" t="s">
        <v>8</v>
      </c>
      <c r="F437" t="s">
        <v>1528</v>
      </c>
      <c r="G437" t="s">
        <v>1603</v>
      </c>
    </row>
    <row r="438" spans="1:7" hidden="1" x14ac:dyDescent="0.25">
      <c r="A438" t="s">
        <v>159</v>
      </c>
      <c r="B438" t="s">
        <v>86</v>
      </c>
      <c r="C438" t="s">
        <v>60</v>
      </c>
      <c r="E438" t="s">
        <v>1605</v>
      </c>
      <c r="F438" t="s">
        <v>1531</v>
      </c>
      <c r="G438" t="s">
        <v>1603</v>
      </c>
    </row>
    <row r="439" spans="1:7" hidden="1" x14ac:dyDescent="0.25">
      <c r="A439" t="s">
        <v>4</v>
      </c>
      <c r="B439" t="s">
        <v>8</v>
      </c>
      <c r="E439" t="s">
        <v>1625</v>
      </c>
      <c r="F439" t="s">
        <v>1534</v>
      </c>
      <c r="G439" t="s">
        <v>1603</v>
      </c>
    </row>
    <row r="440" spans="1:7" hidden="1" x14ac:dyDescent="0.25">
      <c r="A440" t="s">
        <v>4</v>
      </c>
      <c r="B440" t="s">
        <v>8</v>
      </c>
      <c r="E440" t="s">
        <v>5</v>
      </c>
      <c r="F440" t="s">
        <v>1537</v>
      </c>
      <c r="G440" t="s">
        <v>1603</v>
      </c>
    </row>
    <row r="441" spans="1:7" hidden="1" x14ac:dyDescent="0.25">
      <c r="A441" t="s">
        <v>1623</v>
      </c>
      <c r="F441" t="s">
        <v>1540</v>
      </c>
      <c r="G441" t="s">
        <v>1603</v>
      </c>
    </row>
    <row r="442" spans="1:7" hidden="1" x14ac:dyDescent="0.25">
      <c r="A442" t="s">
        <v>159</v>
      </c>
      <c r="B442" t="s">
        <v>86</v>
      </c>
      <c r="C442" t="s">
        <v>200</v>
      </c>
      <c r="F442" t="s">
        <v>1543</v>
      </c>
      <c r="G442" t="s">
        <v>1603</v>
      </c>
    </row>
    <row r="443" spans="1:7" hidden="1" x14ac:dyDescent="0.25">
      <c r="A443" t="s">
        <v>159</v>
      </c>
      <c r="B443" t="s">
        <v>86</v>
      </c>
      <c r="C443" t="s">
        <v>200</v>
      </c>
      <c r="F443" t="s">
        <v>1546</v>
      </c>
      <c r="G443" t="s">
        <v>1603</v>
      </c>
    </row>
    <row r="444" spans="1:7" hidden="1" x14ac:dyDescent="0.25">
      <c r="A444" t="s">
        <v>159</v>
      </c>
      <c r="B444" t="s">
        <v>86</v>
      </c>
      <c r="C444" t="s">
        <v>200</v>
      </c>
      <c r="F444" t="s">
        <v>1549</v>
      </c>
      <c r="G444" t="s">
        <v>1603</v>
      </c>
    </row>
    <row r="445" spans="1:7" hidden="1" x14ac:dyDescent="0.25">
      <c r="A445" t="s">
        <v>4</v>
      </c>
      <c r="B445" t="s">
        <v>8</v>
      </c>
      <c r="F445" t="s">
        <v>1552</v>
      </c>
      <c r="G445" t="s">
        <v>1603</v>
      </c>
    </row>
    <row r="446" spans="1:7" hidden="1" x14ac:dyDescent="0.25">
      <c r="A446" t="s">
        <v>159</v>
      </c>
      <c r="B446" t="s">
        <v>86</v>
      </c>
      <c r="C446" t="s">
        <v>60</v>
      </c>
      <c r="F446" t="s">
        <v>1555</v>
      </c>
      <c r="G446" t="s">
        <v>1603</v>
      </c>
    </row>
    <row r="447" spans="1:7" hidden="1" x14ac:dyDescent="0.25">
      <c r="A447" t="s">
        <v>159</v>
      </c>
      <c r="B447" t="s">
        <v>86</v>
      </c>
      <c r="C447" t="s">
        <v>200</v>
      </c>
      <c r="F447" t="s">
        <v>1558</v>
      </c>
      <c r="G447" t="s">
        <v>1603</v>
      </c>
    </row>
    <row r="448" spans="1:7" hidden="1" x14ac:dyDescent="0.25">
      <c r="A448" t="s">
        <v>159</v>
      </c>
      <c r="B448" t="s">
        <v>86</v>
      </c>
      <c r="C448" t="s">
        <v>200</v>
      </c>
      <c r="F448" t="s">
        <v>1561</v>
      </c>
      <c r="G448" t="s">
        <v>1603</v>
      </c>
    </row>
    <row r="449" spans="1:7" hidden="1" x14ac:dyDescent="0.25">
      <c r="A449" t="s">
        <v>159</v>
      </c>
      <c r="B449" t="s">
        <v>86</v>
      </c>
      <c r="C449" t="s">
        <v>200</v>
      </c>
      <c r="F449" t="s">
        <v>1564</v>
      </c>
      <c r="G449" t="s">
        <v>1603</v>
      </c>
    </row>
    <row r="450" spans="1:7" hidden="1" x14ac:dyDescent="0.25">
      <c r="A450" t="s">
        <v>159</v>
      </c>
      <c r="B450" t="s">
        <v>86</v>
      </c>
      <c r="C450" t="s">
        <v>87</v>
      </c>
      <c r="E450" t="s">
        <v>1626</v>
      </c>
      <c r="F450" t="s">
        <v>1567</v>
      </c>
      <c r="G450" t="s">
        <v>1603</v>
      </c>
    </row>
    <row r="451" spans="1:7" hidden="1" x14ac:dyDescent="0.25">
      <c r="A451" t="s">
        <v>1623</v>
      </c>
      <c r="F451" t="s">
        <v>1570</v>
      </c>
      <c r="G451" t="s">
        <v>1603</v>
      </c>
    </row>
    <row r="452" spans="1:7" hidden="1" x14ac:dyDescent="0.25">
      <c r="A452" t="s">
        <v>4</v>
      </c>
      <c r="B452" t="s">
        <v>8</v>
      </c>
      <c r="E452" t="s">
        <v>1625</v>
      </c>
      <c r="F452" t="s">
        <v>1573</v>
      </c>
      <c r="G452" t="s">
        <v>1603</v>
      </c>
    </row>
    <row r="453" spans="1:7" hidden="1" x14ac:dyDescent="0.25">
      <c r="A453" t="s">
        <v>4</v>
      </c>
      <c r="B453" t="s">
        <v>8</v>
      </c>
      <c r="E453" t="s">
        <v>5</v>
      </c>
      <c r="F453" t="s">
        <v>1576</v>
      </c>
      <c r="G453" t="s">
        <v>1603</v>
      </c>
    </row>
    <row r="454" spans="1:7" hidden="1" x14ac:dyDescent="0.25">
      <c r="A454" t="s">
        <v>1623</v>
      </c>
      <c r="F454" t="s">
        <v>1579</v>
      </c>
      <c r="G454" t="s">
        <v>1603</v>
      </c>
    </row>
    <row r="455" spans="1:7" hidden="1" x14ac:dyDescent="0.25">
      <c r="A455" t="s">
        <v>4</v>
      </c>
      <c r="B455" t="s">
        <v>8</v>
      </c>
      <c r="F455" t="s">
        <v>1582</v>
      </c>
      <c r="G455" t="s">
        <v>1603</v>
      </c>
    </row>
    <row r="456" spans="1:7" hidden="1" x14ac:dyDescent="0.25">
      <c r="A456" t="s">
        <v>4</v>
      </c>
      <c r="B456" t="s">
        <v>8</v>
      </c>
      <c r="E456" t="s">
        <v>1625</v>
      </c>
      <c r="F456" t="s">
        <v>1585</v>
      </c>
      <c r="G456" t="s">
        <v>1603</v>
      </c>
    </row>
    <row r="457" spans="1:7" hidden="1" x14ac:dyDescent="0.25">
      <c r="A457" t="s">
        <v>4</v>
      </c>
      <c r="B457" t="s">
        <v>8</v>
      </c>
      <c r="E457" t="s">
        <v>5</v>
      </c>
      <c r="F457" t="s">
        <v>1588</v>
      </c>
      <c r="G457" t="s">
        <v>1603</v>
      </c>
    </row>
    <row r="458" spans="1:7" hidden="1" x14ac:dyDescent="0.25">
      <c r="A458" t="s">
        <v>1623</v>
      </c>
      <c r="F458" t="s">
        <v>1591</v>
      </c>
      <c r="G458" t="s">
        <v>1603</v>
      </c>
    </row>
    <row r="459" spans="1:7" hidden="1" x14ac:dyDescent="0.25">
      <c r="A459" t="s">
        <v>4</v>
      </c>
      <c r="B459" t="s">
        <v>8</v>
      </c>
      <c r="F459" t="s">
        <v>1594</v>
      </c>
      <c r="G459" t="s">
        <v>1603</v>
      </c>
    </row>
    <row r="460" spans="1:7" hidden="1" x14ac:dyDescent="0.25">
      <c r="A460" t="s">
        <v>4</v>
      </c>
      <c r="B460" t="s">
        <v>8</v>
      </c>
      <c r="E460" t="s">
        <v>1625</v>
      </c>
      <c r="F460" t="s">
        <v>1597</v>
      </c>
      <c r="G460" t="s">
        <v>1603</v>
      </c>
    </row>
    <row r="461" spans="1:7" hidden="1" x14ac:dyDescent="0.25">
      <c r="A461" s="1" t="s">
        <v>1623</v>
      </c>
      <c r="B461" s="1"/>
      <c r="C461" s="1"/>
      <c r="D461" s="1"/>
      <c r="E461" s="1"/>
      <c r="F461" s="1" t="s">
        <v>1600</v>
      </c>
      <c r="G461" s="1" t="s">
        <v>1603</v>
      </c>
    </row>
    <row r="462" spans="1:7" hidden="1" x14ac:dyDescent="0.25">
      <c r="A462" t="s">
        <v>4</v>
      </c>
      <c r="B462" t="s">
        <v>8</v>
      </c>
      <c r="E462" t="s">
        <v>5</v>
      </c>
      <c r="F462" t="s">
        <v>1627</v>
      </c>
      <c r="G462" t="s">
        <v>1817</v>
      </c>
    </row>
    <row r="463" spans="1:7" hidden="1" x14ac:dyDescent="0.25">
      <c r="A463" t="s">
        <v>159</v>
      </c>
      <c r="B463" t="s">
        <v>86</v>
      </c>
      <c r="C463" t="s">
        <v>60</v>
      </c>
      <c r="F463" t="s">
        <v>1631</v>
      </c>
      <c r="G463" t="s">
        <v>1817</v>
      </c>
    </row>
    <row r="464" spans="1:7" hidden="1" x14ac:dyDescent="0.25">
      <c r="A464" t="s">
        <v>1819</v>
      </c>
      <c r="B464" t="s">
        <v>86</v>
      </c>
      <c r="C464" t="s">
        <v>60</v>
      </c>
      <c r="E464" t="s">
        <v>1818</v>
      </c>
      <c r="F464" t="s">
        <v>1634</v>
      </c>
      <c r="G464" t="s">
        <v>1817</v>
      </c>
    </row>
    <row r="465" spans="1:7" hidden="1" x14ac:dyDescent="0.25">
      <c r="A465" t="s">
        <v>159</v>
      </c>
      <c r="B465" t="s">
        <v>86</v>
      </c>
      <c r="C465" t="s">
        <v>60</v>
      </c>
      <c r="F465" t="s">
        <v>1637</v>
      </c>
      <c r="G465" t="s">
        <v>1817</v>
      </c>
    </row>
    <row r="466" spans="1:7" hidden="1" x14ac:dyDescent="0.25">
      <c r="A466" t="s">
        <v>1819</v>
      </c>
      <c r="B466" t="s">
        <v>86</v>
      </c>
      <c r="C466" t="s">
        <v>60</v>
      </c>
      <c r="F466" t="s">
        <v>1640</v>
      </c>
      <c r="G466" t="s">
        <v>1817</v>
      </c>
    </row>
    <row r="467" spans="1:7" hidden="1" x14ac:dyDescent="0.25">
      <c r="A467" t="s">
        <v>1819</v>
      </c>
      <c r="B467" t="s">
        <v>86</v>
      </c>
      <c r="C467" t="s">
        <v>60</v>
      </c>
      <c r="E467" t="s">
        <v>1818</v>
      </c>
      <c r="F467" t="s">
        <v>1643</v>
      </c>
      <c r="G467" t="s">
        <v>1817</v>
      </c>
    </row>
    <row r="468" spans="1:7" hidden="1" x14ac:dyDescent="0.25">
      <c r="A468" t="s">
        <v>1819</v>
      </c>
      <c r="B468" t="s">
        <v>86</v>
      </c>
      <c r="C468" t="s">
        <v>60</v>
      </c>
      <c r="F468" t="s">
        <v>1646</v>
      </c>
      <c r="G468" t="s">
        <v>1817</v>
      </c>
    </row>
    <row r="469" spans="1:7" hidden="1" x14ac:dyDescent="0.25">
      <c r="A469" t="s">
        <v>1819</v>
      </c>
      <c r="B469" t="s">
        <v>86</v>
      </c>
      <c r="C469" t="s">
        <v>60</v>
      </c>
      <c r="E469" t="s">
        <v>1818</v>
      </c>
      <c r="F469" t="s">
        <v>1649</v>
      </c>
      <c r="G469" t="s">
        <v>1817</v>
      </c>
    </row>
    <row r="470" spans="1:7" hidden="1" x14ac:dyDescent="0.25">
      <c r="A470" t="s">
        <v>159</v>
      </c>
      <c r="B470" t="s">
        <v>86</v>
      </c>
      <c r="C470" t="s">
        <v>60</v>
      </c>
      <c r="F470" t="s">
        <v>1652</v>
      </c>
      <c r="G470" t="s">
        <v>1817</v>
      </c>
    </row>
    <row r="471" spans="1:7" hidden="1" x14ac:dyDescent="0.25">
      <c r="A471" t="s">
        <v>1819</v>
      </c>
      <c r="B471" t="s">
        <v>86</v>
      </c>
      <c r="C471" t="s">
        <v>60</v>
      </c>
      <c r="F471" t="s">
        <v>1655</v>
      </c>
      <c r="G471" t="s">
        <v>1817</v>
      </c>
    </row>
    <row r="472" spans="1:7" hidden="1" x14ac:dyDescent="0.25">
      <c r="A472" t="s">
        <v>1819</v>
      </c>
      <c r="B472" t="s">
        <v>86</v>
      </c>
      <c r="C472" t="s">
        <v>60</v>
      </c>
      <c r="E472" t="s">
        <v>1818</v>
      </c>
      <c r="F472" t="s">
        <v>1658</v>
      </c>
      <c r="G472" t="s">
        <v>1817</v>
      </c>
    </row>
    <row r="473" spans="1:7" hidden="1" x14ac:dyDescent="0.25">
      <c r="A473" t="s">
        <v>159</v>
      </c>
      <c r="B473" t="s">
        <v>86</v>
      </c>
      <c r="C473" t="s">
        <v>60</v>
      </c>
      <c r="F473" t="s">
        <v>1661</v>
      </c>
      <c r="G473" t="s">
        <v>1817</v>
      </c>
    </row>
    <row r="474" spans="1:7" hidden="1" x14ac:dyDescent="0.25">
      <c r="A474" t="s">
        <v>1819</v>
      </c>
      <c r="B474" t="s">
        <v>86</v>
      </c>
      <c r="C474" t="s">
        <v>60</v>
      </c>
      <c r="E474" t="s">
        <v>1818</v>
      </c>
      <c r="F474" t="s">
        <v>1664</v>
      </c>
      <c r="G474" t="s">
        <v>1817</v>
      </c>
    </row>
    <row r="475" spans="1:7" hidden="1" x14ac:dyDescent="0.25">
      <c r="A475" t="s">
        <v>159</v>
      </c>
      <c r="B475" t="s">
        <v>86</v>
      </c>
      <c r="C475" t="s">
        <v>60</v>
      </c>
      <c r="F475" t="s">
        <v>1667</v>
      </c>
      <c r="G475" t="s">
        <v>1817</v>
      </c>
    </row>
    <row r="476" spans="1:7" hidden="1" x14ac:dyDescent="0.25">
      <c r="A476" t="s">
        <v>1819</v>
      </c>
      <c r="B476" t="s">
        <v>86</v>
      </c>
      <c r="C476" t="s">
        <v>60</v>
      </c>
      <c r="E476" t="s">
        <v>1818</v>
      </c>
      <c r="F476" t="s">
        <v>1670</v>
      </c>
      <c r="G476" t="s">
        <v>1817</v>
      </c>
    </row>
    <row r="477" spans="1:7" hidden="1" x14ac:dyDescent="0.25">
      <c r="A477" t="s">
        <v>159</v>
      </c>
      <c r="B477" t="s">
        <v>86</v>
      </c>
      <c r="C477" t="s">
        <v>53</v>
      </c>
      <c r="E477" t="s">
        <v>1818</v>
      </c>
      <c r="F477" t="s">
        <v>1673</v>
      </c>
      <c r="G477" t="s">
        <v>1817</v>
      </c>
    </row>
    <row r="478" spans="1:7" hidden="1" x14ac:dyDescent="0.25">
      <c r="A478" t="s">
        <v>1606</v>
      </c>
      <c r="B478" t="s">
        <v>55</v>
      </c>
      <c r="C478" t="s">
        <v>58</v>
      </c>
      <c r="F478" t="s">
        <v>1676</v>
      </c>
      <c r="G478" t="s">
        <v>1817</v>
      </c>
    </row>
    <row r="479" spans="1:7" hidden="1" x14ac:dyDescent="0.25">
      <c r="A479" t="s">
        <v>290</v>
      </c>
      <c r="B479" t="s">
        <v>55</v>
      </c>
      <c r="C479" t="s">
        <v>58</v>
      </c>
      <c r="F479" t="s">
        <v>1679</v>
      </c>
      <c r="G479" t="s">
        <v>1817</v>
      </c>
    </row>
    <row r="480" spans="1:7" hidden="1" x14ac:dyDescent="0.25">
      <c r="A480" t="s">
        <v>1820</v>
      </c>
      <c r="B480" t="s">
        <v>55</v>
      </c>
      <c r="C480" t="s">
        <v>58</v>
      </c>
      <c r="F480" t="s">
        <v>1682</v>
      </c>
      <c r="G480" t="s">
        <v>1817</v>
      </c>
    </row>
    <row r="481" spans="1:7" hidden="1" x14ac:dyDescent="0.25">
      <c r="A481" t="s">
        <v>1820</v>
      </c>
      <c r="B481" t="s">
        <v>55</v>
      </c>
      <c r="C481" t="s">
        <v>58</v>
      </c>
      <c r="F481" t="s">
        <v>1685</v>
      </c>
      <c r="G481" t="s">
        <v>1817</v>
      </c>
    </row>
    <row r="482" spans="1:7" hidden="1" x14ac:dyDescent="0.25">
      <c r="A482" t="s">
        <v>1820</v>
      </c>
      <c r="B482" t="s">
        <v>55</v>
      </c>
      <c r="C482" t="s">
        <v>58</v>
      </c>
      <c r="F482" t="s">
        <v>1688</v>
      </c>
      <c r="G482" t="s">
        <v>1817</v>
      </c>
    </row>
    <row r="483" spans="1:7" hidden="1" x14ac:dyDescent="0.25">
      <c r="A483" t="s">
        <v>1820</v>
      </c>
      <c r="B483" t="s">
        <v>55</v>
      </c>
      <c r="C483" t="s">
        <v>58</v>
      </c>
      <c r="F483" t="s">
        <v>1691</v>
      </c>
      <c r="G483" t="s">
        <v>1817</v>
      </c>
    </row>
    <row r="484" spans="1:7" hidden="1" x14ac:dyDescent="0.25">
      <c r="A484" t="s">
        <v>1821</v>
      </c>
      <c r="B484" t="s">
        <v>55</v>
      </c>
      <c r="F484" t="s">
        <v>1694</v>
      </c>
      <c r="G484" t="s">
        <v>1817</v>
      </c>
    </row>
    <row r="485" spans="1:7" hidden="1" x14ac:dyDescent="0.25">
      <c r="A485" t="s">
        <v>290</v>
      </c>
      <c r="B485" t="s">
        <v>55</v>
      </c>
      <c r="C485" t="s">
        <v>58</v>
      </c>
      <c r="F485" t="s">
        <v>1697</v>
      </c>
      <c r="G485" t="s">
        <v>1817</v>
      </c>
    </row>
    <row r="486" spans="1:7" hidden="1" x14ac:dyDescent="0.25">
      <c r="A486" t="s">
        <v>1820</v>
      </c>
      <c r="B486" t="s">
        <v>55</v>
      </c>
      <c r="C486" t="s">
        <v>58</v>
      </c>
      <c r="F486" t="s">
        <v>1700</v>
      </c>
      <c r="G486" t="s">
        <v>1817</v>
      </c>
    </row>
    <row r="487" spans="1:7" hidden="1" x14ac:dyDescent="0.25">
      <c r="A487" t="s">
        <v>1820</v>
      </c>
      <c r="B487" t="s">
        <v>55</v>
      </c>
      <c r="C487" t="s">
        <v>58</v>
      </c>
      <c r="F487" t="s">
        <v>1703</v>
      </c>
      <c r="G487" t="s">
        <v>1817</v>
      </c>
    </row>
    <row r="488" spans="1:7" hidden="1" x14ac:dyDescent="0.25">
      <c r="A488" t="s">
        <v>4</v>
      </c>
      <c r="B488" t="s">
        <v>8</v>
      </c>
      <c r="E488" t="s">
        <v>1625</v>
      </c>
      <c r="F488" t="s">
        <v>1706</v>
      </c>
      <c r="G488" t="s">
        <v>1817</v>
      </c>
    </row>
    <row r="489" spans="1:7" hidden="1" x14ac:dyDescent="0.25">
      <c r="A489" t="s">
        <v>4</v>
      </c>
      <c r="B489" t="s">
        <v>8</v>
      </c>
      <c r="E489" t="s">
        <v>5</v>
      </c>
      <c r="F489" t="s">
        <v>1709</v>
      </c>
      <c r="G489" t="s">
        <v>1817</v>
      </c>
    </row>
    <row r="490" spans="1:7" hidden="1" x14ac:dyDescent="0.25">
      <c r="A490" t="s">
        <v>159</v>
      </c>
      <c r="B490" t="s">
        <v>86</v>
      </c>
      <c r="C490" t="s">
        <v>1097</v>
      </c>
      <c r="F490" t="s">
        <v>1712</v>
      </c>
      <c r="G490" t="s">
        <v>1817</v>
      </c>
    </row>
    <row r="491" spans="1:7" hidden="1" x14ac:dyDescent="0.25">
      <c r="A491" t="s">
        <v>1819</v>
      </c>
      <c r="B491" t="s">
        <v>86</v>
      </c>
      <c r="C491" t="s">
        <v>1097</v>
      </c>
      <c r="E491" t="s">
        <v>1818</v>
      </c>
      <c r="F491" t="s">
        <v>1715</v>
      </c>
      <c r="G491" t="s">
        <v>1817</v>
      </c>
    </row>
    <row r="492" spans="1:7" hidden="1" x14ac:dyDescent="0.25">
      <c r="A492" t="s">
        <v>4</v>
      </c>
      <c r="B492" t="s">
        <v>8</v>
      </c>
      <c r="F492" t="s">
        <v>1718</v>
      </c>
      <c r="G492" t="s">
        <v>1817</v>
      </c>
    </row>
    <row r="493" spans="1:7" hidden="1" x14ac:dyDescent="0.25">
      <c r="A493" t="s">
        <v>1615</v>
      </c>
      <c r="B493" t="s">
        <v>86</v>
      </c>
      <c r="C493" t="s">
        <v>60</v>
      </c>
      <c r="F493" t="s">
        <v>1721</v>
      </c>
      <c r="G493" t="s">
        <v>1817</v>
      </c>
    </row>
    <row r="494" spans="1:7" hidden="1" x14ac:dyDescent="0.25">
      <c r="A494" t="s">
        <v>1615</v>
      </c>
      <c r="B494" t="s">
        <v>86</v>
      </c>
      <c r="C494" t="s">
        <v>60</v>
      </c>
      <c r="F494" t="s">
        <v>1724</v>
      </c>
      <c r="G494" t="s">
        <v>1817</v>
      </c>
    </row>
    <row r="495" spans="1:7" hidden="1" x14ac:dyDescent="0.25">
      <c r="A495" t="s">
        <v>1615</v>
      </c>
      <c r="B495" t="s">
        <v>86</v>
      </c>
      <c r="C495" t="s">
        <v>60</v>
      </c>
      <c r="F495" t="s">
        <v>1727</v>
      </c>
      <c r="G495" t="s">
        <v>1817</v>
      </c>
    </row>
    <row r="496" spans="1:7" hidden="1" x14ac:dyDescent="0.25">
      <c r="A496" t="s">
        <v>1615</v>
      </c>
      <c r="B496" t="s">
        <v>86</v>
      </c>
      <c r="C496" t="s">
        <v>60</v>
      </c>
      <c r="F496" t="s">
        <v>1730</v>
      </c>
      <c r="G496" t="s">
        <v>1817</v>
      </c>
    </row>
    <row r="497" spans="1:7" hidden="1" x14ac:dyDescent="0.25">
      <c r="A497" t="s">
        <v>1615</v>
      </c>
      <c r="B497" t="s">
        <v>86</v>
      </c>
      <c r="C497" t="s">
        <v>60</v>
      </c>
      <c r="F497" t="s">
        <v>1733</v>
      </c>
      <c r="G497" t="s">
        <v>1817</v>
      </c>
    </row>
    <row r="498" spans="1:7" hidden="1" x14ac:dyDescent="0.25">
      <c r="A498" t="s">
        <v>4</v>
      </c>
      <c r="B498" t="s">
        <v>8</v>
      </c>
      <c r="F498" t="s">
        <v>1736</v>
      </c>
      <c r="G498" t="s">
        <v>1817</v>
      </c>
    </row>
    <row r="499" spans="1:7" hidden="1" x14ac:dyDescent="0.25">
      <c r="A499" t="s">
        <v>4</v>
      </c>
      <c r="B499" t="s">
        <v>8</v>
      </c>
      <c r="E499" t="s">
        <v>1625</v>
      </c>
      <c r="F499" t="s">
        <v>1739</v>
      </c>
      <c r="G499" t="s">
        <v>1817</v>
      </c>
    </row>
    <row r="500" spans="1:7" hidden="1" x14ac:dyDescent="0.25">
      <c r="A500" t="s">
        <v>4</v>
      </c>
      <c r="B500" t="s">
        <v>8</v>
      </c>
      <c r="E500" t="s">
        <v>5</v>
      </c>
      <c r="F500" t="s">
        <v>1742</v>
      </c>
      <c r="G500" t="s">
        <v>1817</v>
      </c>
    </row>
    <row r="501" spans="1:7" hidden="1" x14ac:dyDescent="0.25">
      <c r="A501" t="s">
        <v>289</v>
      </c>
      <c r="B501" t="s">
        <v>86</v>
      </c>
      <c r="C501" t="s">
        <v>60</v>
      </c>
      <c r="E501" t="s">
        <v>1822</v>
      </c>
      <c r="F501" t="s">
        <v>1745</v>
      </c>
      <c r="G501" t="s">
        <v>1817</v>
      </c>
    </row>
    <row r="502" spans="1:7" hidden="1" x14ac:dyDescent="0.25">
      <c r="A502" t="s">
        <v>1606</v>
      </c>
      <c r="B502" t="s">
        <v>66</v>
      </c>
      <c r="C502" t="s">
        <v>69</v>
      </c>
      <c r="F502" t="s">
        <v>1748</v>
      </c>
      <c r="G502" t="s">
        <v>1817</v>
      </c>
    </row>
    <row r="503" spans="1:7" hidden="1" x14ac:dyDescent="0.25">
      <c r="A503" t="s">
        <v>290</v>
      </c>
      <c r="B503" t="s">
        <v>66</v>
      </c>
      <c r="C503" t="s">
        <v>69</v>
      </c>
      <c r="F503" t="s">
        <v>1751</v>
      </c>
      <c r="G503" t="s">
        <v>1817</v>
      </c>
    </row>
    <row r="504" spans="1:7" hidden="1" x14ac:dyDescent="0.25">
      <c r="A504" t="s">
        <v>650</v>
      </c>
      <c r="B504" t="s">
        <v>66</v>
      </c>
      <c r="C504" t="s">
        <v>51</v>
      </c>
      <c r="F504" t="s">
        <v>1754</v>
      </c>
      <c r="G504" t="s">
        <v>1817</v>
      </c>
    </row>
    <row r="505" spans="1:7" hidden="1" x14ac:dyDescent="0.25">
      <c r="A505" t="s">
        <v>4</v>
      </c>
      <c r="B505" t="s">
        <v>8</v>
      </c>
      <c r="E505" t="s">
        <v>1625</v>
      </c>
      <c r="F505" t="s">
        <v>1757</v>
      </c>
      <c r="G505" t="s">
        <v>1817</v>
      </c>
    </row>
    <row r="506" spans="1:7" hidden="1" x14ac:dyDescent="0.25">
      <c r="A506" t="s">
        <v>4</v>
      </c>
      <c r="B506" t="s">
        <v>8</v>
      </c>
      <c r="E506" t="s">
        <v>5</v>
      </c>
      <c r="F506" t="s">
        <v>1760</v>
      </c>
      <c r="G506" t="s">
        <v>1817</v>
      </c>
    </row>
    <row r="507" spans="1:7" hidden="1" x14ac:dyDescent="0.25">
      <c r="A507" t="s">
        <v>4</v>
      </c>
      <c r="B507" t="s">
        <v>70</v>
      </c>
      <c r="E507" t="s">
        <v>1823</v>
      </c>
      <c r="F507" t="s">
        <v>1763</v>
      </c>
      <c r="G507" t="s">
        <v>1817</v>
      </c>
    </row>
    <row r="508" spans="1:7" hidden="1" x14ac:dyDescent="0.25">
      <c r="A508" t="s">
        <v>4</v>
      </c>
      <c r="B508" t="s">
        <v>86</v>
      </c>
      <c r="E508" t="s">
        <v>1824</v>
      </c>
      <c r="F508" t="s">
        <v>1766</v>
      </c>
      <c r="G508" t="s">
        <v>1817</v>
      </c>
    </row>
    <row r="509" spans="1:7" hidden="1" x14ac:dyDescent="0.25">
      <c r="A509" t="s">
        <v>159</v>
      </c>
      <c r="B509" t="s">
        <v>86</v>
      </c>
      <c r="C509" t="s">
        <v>528</v>
      </c>
      <c r="F509" t="s">
        <v>1769</v>
      </c>
      <c r="G509" t="s">
        <v>1817</v>
      </c>
    </row>
    <row r="510" spans="1:7" hidden="1" x14ac:dyDescent="0.25">
      <c r="A510" t="s">
        <v>4</v>
      </c>
      <c r="B510" t="s">
        <v>8</v>
      </c>
      <c r="E510" t="s">
        <v>1625</v>
      </c>
      <c r="F510" t="s">
        <v>1772</v>
      </c>
      <c r="G510" t="s">
        <v>1817</v>
      </c>
    </row>
    <row r="511" spans="1:7" hidden="1" x14ac:dyDescent="0.25">
      <c r="A511" t="s">
        <v>4</v>
      </c>
      <c r="B511" t="s">
        <v>8</v>
      </c>
      <c r="E511" t="s">
        <v>5</v>
      </c>
      <c r="F511" t="s">
        <v>1775</v>
      </c>
      <c r="G511" t="s">
        <v>1817</v>
      </c>
    </row>
    <row r="512" spans="1:7" hidden="1" x14ac:dyDescent="0.25">
      <c r="A512" t="s">
        <v>159</v>
      </c>
      <c r="B512" t="s">
        <v>86</v>
      </c>
      <c r="C512" t="s">
        <v>200</v>
      </c>
      <c r="F512" t="s">
        <v>1778</v>
      </c>
      <c r="G512" t="s">
        <v>1817</v>
      </c>
    </row>
    <row r="513" spans="1:7" hidden="1" x14ac:dyDescent="0.25">
      <c r="A513" t="s">
        <v>1819</v>
      </c>
      <c r="B513" t="s">
        <v>86</v>
      </c>
      <c r="E513" t="s">
        <v>1818</v>
      </c>
      <c r="F513" t="s">
        <v>1781</v>
      </c>
      <c r="G513" t="s">
        <v>1817</v>
      </c>
    </row>
    <row r="514" spans="1:7" hidden="1" x14ac:dyDescent="0.25">
      <c r="A514" t="s">
        <v>159</v>
      </c>
      <c r="B514" t="s">
        <v>86</v>
      </c>
      <c r="C514" t="s">
        <v>200</v>
      </c>
      <c r="E514" t="s">
        <v>1818</v>
      </c>
      <c r="F514" t="s">
        <v>1784</v>
      </c>
      <c r="G514" t="s">
        <v>1817</v>
      </c>
    </row>
    <row r="515" spans="1:7" hidden="1" x14ac:dyDescent="0.25">
      <c r="A515" t="s">
        <v>4</v>
      </c>
      <c r="B515" t="s">
        <v>8</v>
      </c>
      <c r="F515" t="s">
        <v>1787</v>
      </c>
      <c r="G515" t="s">
        <v>1817</v>
      </c>
    </row>
    <row r="516" spans="1:7" hidden="1" x14ac:dyDescent="0.25">
      <c r="A516" t="s">
        <v>159</v>
      </c>
      <c r="B516" t="s">
        <v>86</v>
      </c>
      <c r="C516" t="s">
        <v>200</v>
      </c>
      <c r="E516" t="s">
        <v>1825</v>
      </c>
      <c r="F516" t="s">
        <v>1790</v>
      </c>
      <c r="G516" t="s">
        <v>1817</v>
      </c>
    </row>
    <row r="517" spans="1:7" hidden="1" x14ac:dyDescent="0.25">
      <c r="A517" t="s">
        <v>159</v>
      </c>
      <c r="B517" t="s">
        <v>86</v>
      </c>
      <c r="C517" t="s">
        <v>200</v>
      </c>
      <c r="E517" t="s">
        <v>1825</v>
      </c>
      <c r="F517" t="s">
        <v>1793</v>
      </c>
      <c r="G517" t="s">
        <v>1817</v>
      </c>
    </row>
    <row r="518" spans="1:7" hidden="1" x14ac:dyDescent="0.25">
      <c r="A518" t="s">
        <v>4</v>
      </c>
      <c r="B518" t="s">
        <v>8</v>
      </c>
      <c r="E518" t="s">
        <v>1625</v>
      </c>
      <c r="F518" t="s">
        <v>1796</v>
      </c>
      <c r="G518" t="s">
        <v>1817</v>
      </c>
    </row>
    <row r="519" spans="1:7" hidden="1" x14ac:dyDescent="0.25">
      <c r="A519" t="s">
        <v>4</v>
      </c>
      <c r="B519" t="s">
        <v>8</v>
      </c>
      <c r="E519" t="s">
        <v>5</v>
      </c>
      <c r="F519" t="s">
        <v>1799</v>
      </c>
      <c r="G519" t="s">
        <v>1817</v>
      </c>
    </row>
    <row r="520" spans="1:7" hidden="1" x14ac:dyDescent="0.25">
      <c r="A520" t="s">
        <v>4</v>
      </c>
      <c r="B520" t="s">
        <v>8</v>
      </c>
      <c r="F520" t="s">
        <v>1802</v>
      </c>
      <c r="G520" t="s">
        <v>1817</v>
      </c>
    </row>
    <row r="521" spans="1:7" hidden="1" x14ac:dyDescent="0.25">
      <c r="A521" t="s">
        <v>4</v>
      </c>
      <c r="B521" t="s">
        <v>8</v>
      </c>
      <c r="E521" t="s">
        <v>1625</v>
      </c>
      <c r="F521" t="s">
        <v>1805</v>
      </c>
      <c r="G521" t="s">
        <v>1817</v>
      </c>
    </row>
    <row r="522" spans="1:7" hidden="1" x14ac:dyDescent="0.25">
      <c r="A522" t="s">
        <v>4</v>
      </c>
      <c r="B522" t="s">
        <v>8</v>
      </c>
      <c r="E522" t="s">
        <v>5</v>
      </c>
      <c r="F522" t="s">
        <v>1808</v>
      </c>
      <c r="G522" t="s">
        <v>1817</v>
      </c>
    </row>
    <row r="523" spans="1:7" hidden="1" x14ac:dyDescent="0.25">
      <c r="A523" t="s">
        <v>4</v>
      </c>
      <c r="B523" t="s">
        <v>8</v>
      </c>
      <c r="F523" t="s">
        <v>1811</v>
      </c>
      <c r="G523" t="s">
        <v>1817</v>
      </c>
    </row>
    <row r="524" spans="1:7" hidden="1" x14ac:dyDescent="0.25">
      <c r="A524" t="s">
        <v>4</v>
      </c>
      <c r="B524" t="s">
        <v>8</v>
      </c>
      <c r="E524" t="s">
        <v>1625</v>
      </c>
      <c r="F524" t="s">
        <v>1814</v>
      </c>
      <c r="G524" t="s">
        <v>1817</v>
      </c>
    </row>
    <row r="525" spans="1:7" hidden="1" x14ac:dyDescent="0.25">
      <c r="A525" t="s">
        <v>4</v>
      </c>
      <c r="B525" t="s">
        <v>8</v>
      </c>
      <c r="E525" t="s">
        <v>5</v>
      </c>
      <c r="F525" t="s">
        <v>1826</v>
      </c>
      <c r="G525" t="s">
        <v>1934</v>
      </c>
    </row>
    <row r="526" spans="1:7" hidden="1" x14ac:dyDescent="0.25">
      <c r="A526" t="s">
        <v>4</v>
      </c>
      <c r="B526" t="s">
        <v>8</v>
      </c>
      <c r="F526" t="s">
        <v>1829</v>
      </c>
      <c r="G526" t="s">
        <v>1934</v>
      </c>
    </row>
    <row r="527" spans="1:7" hidden="1" x14ac:dyDescent="0.25">
      <c r="A527" t="s">
        <v>4</v>
      </c>
      <c r="B527" t="s">
        <v>8</v>
      </c>
      <c r="F527" t="s">
        <v>1832</v>
      </c>
      <c r="G527" t="s">
        <v>1934</v>
      </c>
    </row>
    <row r="528" spans="1:7" hidden="1" x14ac:dyDescent="0.25">
      <c r="A528" t="s">
        <v>4</v>
      </c>
      <c r="B528" t="s">
        <v>1935</v>
      </c>
      <c r="F528" t="s">
        <v>1835</v>
      </c>
      <c r="G528" t="s">
        <v>1934</v>
      </c>
    </row>
    <row r="529" spans="1:7" hidden="1" x14ac:dyDescent="0.25">
      <c r="A529" t="s">
        <v>4</v>
      </c>
      <c r="B529" t="s">
        <v>8</v>
      </c>
      <c r="F529" t="s">
        <v>1838</v>
      </c>
      <c r="G529" t="s">
        <v>1934</v>
      </c>
    </row>
    <row r="530" spans="1:7" hidden="1" x14ac:dyDescent="0.25">
      <c r="A530" t="s">
        <v>4</v>
      </c>
      <c r="B530" t="s">
        <v>8</v>
      </c>
      <c r="F530" t="s">
        <v>1841</v>
      </c>
      <c r="G530" t="s">
        <v>1934</v>
      </c>
    </row>
    <row r="531" spans="1:7" hidden="1" x14ac:dyDescent="0.25">
      <c r="A531" t="s">
        <v>4</v>
      </c>
      <c r="B531" t="s">
        <v>21</v>
      </c>
      <c r="F531" t="s">
        <v>1844</v>
      </c>
      <c r="G531" t="s">
        <v>1934</v>
      </c>
    </row>
    <row r="532" spans="1:7" hidden="1" x14ac:dyDescent="0.25">
      <c r="A532" t="s">
        <v>4</v>
      </c>
      <c r="B532" t="s">
        <v>8</v>
      </c>
      <c r="F532" t="s">
        <v>1847</v>
      </c>
      <c r="G532" t="s">
        <v>1934</v>
      </c>
    </row>
    <row r="533" spans="1:7" hidden="1" x14ac:dyDescent="0.25">
      <c r="A533" t="s">
        <v>4</v>
      </c>
      <c r="B533" t="s">
        <v>8</v>
      </c>
      <c r="F533" t="s">
        <v>1850</v>
      </c>
      <c r="G533" t="s">
        <v>1934</v>
      </c>
    </row>
    <row r="534" spans="1:7" hidden="1" x14ac:dyDescent="0.25">
      <c r="A534" t="s">
        <v>4</v>
      </c>
      <c r="B534" t="s">
        <v>8</v>
      </c>
      <c r="E534" t="s">
        <v>1625</v>
      </c>
      <c r="F534" t="s">
        <v>1853</v>
      </c>
      <c r="G534" t="s">
        <v>1934</v>
      </c>
    </row>
    <row r="535" spans="1:7" hidden="1" x14ac:dyDescent="0.25">
      <c r="A535" t="s">
        <v>4</v>
      </c>
      <c r="B535" t="s">
        <v>1936</v>
      </c>
      <c r="F535" t="s">
        <v>1856</v>
      </c>
      <c r="G535" t="s">
        <v>1934</v>
      </c>
    </row>
    <row r="536" spans="1:7" hidden="1" x14ac:dyDescent="0.25">
      <c r="A536" t="s">
        <v>4</v>
      </c>
      <c r="B536" t="s">
        <v>1936</v>
      </c>
      <c r="F536" t="s">
        <v>1859</v>
      </c>
      <c r="G536" t="s">
        <v>1934</v>
      </c>
    </row>
    <row r="537" spans="1:7" hidden="1" x14ac:dyDescent="0.25">
      <c r="A537" t="s">
        <v>4</v>
      </c>
      <c r="B537" t="s">
        <v>8</v>
      </c>
      <c r="E537" t="s">
        <v>5</v>
      </c>
      <c r="F537" t="s">
        <v>1862</v>
      </c>
      <c r="G537" t="s">
        <v>1934</v>
      </c>
    </row>
    <row r="538" spans="1:7" hidden="1" x14ac:dyDescent="0.25">
      <c r="A538" t="s">
        <v>4</v>
      </c>
      <c r="B538" t="s">
        <v>8</v>
      </c>
      <c r="F538" t="s">
        <v>1865</v>
      </c>
      <c r="G538" t="s">
        <v>1934</v>
      </c>
    </row>
    <row r="539" spans="1:7" hidden="1" x14ac:dyDescent="0.25">
      <c r="A539" t="s">
        <v>4</v>
      </c>
      <c r="B539" t="s">
        <v>8</v>
      </c>
      <c r="F539" t="s">
        <v>1868</v>
      </c>
      <c r="G539" t="s">
        <v>1934</v>
      </c>
    </row>
    <row r="540" spans="1:7" hidden="1" x14ac:dyDescent="0.25">
      <c r="A540" t="s">
        <v>4</v>
      </c>
      <c r="B540" t="s">
        <v>8</v>
      </c>
      <c r="F540" t="s">
        <v>1871</v>
      </c>
      <c r="G540" t="s">
        <v>1934</v>
      </c>
    </row>
    <row r="541" spans="1:7" hidden="1" x14ac:dyDescent="0.25">
      <c r="A541" t="s">
        <v>4</v>
      </c>
      <c r="B541" t="s">
        <v>8</v>
      </c>
      <c r="E541" t="s">
        <v>1625</v>
      </c>
      <c r="F541" t="s">
        <v>1874</v>
      </c>
      <c r="G541" t="s">
        <v>1934</v>
      </c>
    </row>
    <row r="542" spans="1:7" hidden="1" x14ac:dyDescent="0.25">
      <c r="A542" t="s">
        <v>4</v>
      </c>
      <c r="B542" t="s">
        <v>8</v>
      </c>
      <c r="F542" t="s">
        <v>1877</v>
      </c>
      <c r="G542" t="s">
        <v>1934</v>
      </c>
    </row>
    <row r="543" spans="1:7" hidden="1" x14ac:dyDescent="0.25">
      <c r="A543" t="s">
        <v>4</v>
      </c>
      <c r="B543" t="s">
        <v>8</v>
      </c>
      <c r="F543" t="s">
        <v>1880</v>
      </c>
      <c r="G543" t="s">
        <v>1934</v>
      </c>
    </row>
    <row r="544" spans="1:7" hidden="1" x14ac:dyDescent="0.25">
      <c r="A544" t="s">
        <v>4</v>
      </c>
      <c r="B544" t="s">
        <v>21</v>
      </c>
      <c r="F544" t="s">
        <v>1883</v>
      </c>
      <c r="G544" t="s">
        <v>1934</v>
      </c>
    </row>
    <row r="545" spans="1:7" hidden="1" x14ac:dyDescent="0.25">
      <c r="A545" t="s">
        <v>4</v>
      </c>
      <c r="B545" t="s">
        <v>8</v>
      </c>
      <c r="F545" t="s">
        <v>1886</v>
      </c>
      <c r="G545" t="s">
        <v>1934</v>
      </c>
    </row>
    <row r="546" spans="1:7" hidden="1" x14ac:dyDescent="0.25">
      <c r="A546" t="s">
        <v>4</v>
      </c>
      <c r="B546" t="s">
        <v>21</v>
      </c>
      <c r="F546" t="s">
        <v>1889</v>
      </c>
      <c r="G546" t="s">
        <v>1934</v>
      </c>
    </row>
    <row r="547" spans="1:7" hidden="1" x14ac:dyDescent="0.25">
      <c r="A547" t="s">
        <v>4</v>
      </c>
      <c r="B547" t="s">
        <v>8</v>
      </c>
      <c r="F547" t="s">
        <v>1892</v>
      </c>
      <c r="G547" t="s">
        <v>1934</v>
      </c>
    </row>
    <row r="548" spans="1:7" hidden="1" x14ac:dyDescent="0.25">
      <c r="A548" t="s">
        <v>4</v>
      </c>
      <c r="B548" t="s">
        <v>21</v>
      </c>
      <c r="F548" t="s">
        <v>1895</v>
      </c>
      <c r="G548" t="s">
        <v>1934</v>
      </c>
    </row>
    <row r="549" spans="1:7" hidden="1" x14ac:dyDescent="0.25">
      <c r="A549" t="s">
        <v>4</v>
      </c>
      <c r="B549" t="s">
        <v>8</v>
      </c>
      <c r="E549" t="s">
        <v>1625</v>
      </c>
      <c r="F549" t="s">
        <v>1898</v>
      </c>
      <c r="G549" t="s">
        <v>1934</v>
      </c>
    </row>
    <row r="550" spans="1:7" hidden="1" x14ac:dyDescent="0.25">
      <c r="A550" t="s">
        <v>4</v>
      </c>
      <c r="B550" t="s">
        <v>8</v>
      </c>
      <c r="F550" t="s">
        <v>1901</v>
      </c>
      <c r="G550" t="s">
        <v>1934</v>
      </c>
    </row>
    <row r="551" spans="1:7" hidden="1" x14ac:dyDescent="0.25">
      <c r="A551" t="s">
        <v>289</v>
      </c>
      <c r="B551" t="s">
        <v>86</v>
      </c>
      <c r="C551" t="s">
        <v>200</v>
      </c>
      <c r="F551" t="s">
        <v>1904</v>
      </c>
      <c r="G551" t="s">
        <v>1934</v>
      </c>
    </row>
    <row r="552" spans="1:7" hidden="1" x14ac:dyDescent="0.25">
      <c r="A552" t="s">
        <v>289</v>
      </c>
      <c r="B552" t="s">
        <v>86</v>
      </c>
      <c r="C552" t="s">
        <v>200</v>
      </c>
      <c r="F552" t="s">
        <v>1907</v>
      </c>
      <c r="G552" t="s">
        <v>1934</v>
      </c>
    </row>
    <row r="553" spans="1:7" hidden="1" x14ac:dyDescent="0.25">
      <c r="A553" t="s">
        <v>289</v>
      </c>
      <c r="B553" t="s">
        <v>86</v>
      </c>
      <c r="C553" t="s">
        <v>200</v>
      </c>
      <c r="F553" t="s">
        <v>1910</v>
      </c>
      <c r="G553" t="s">
        <v>1934</v>
      </c>
    </row>
    <row r="554" spans="1:7" hidden="1" x14ac:dyDescent="0.25">
      <c r="A554" t="s">
        <v>289</v>
      </c>
      <c r="B554" t="s">
        <v>86</v>
      </c>
      <c r="C554" t="s">
        <v>200</v>
      </c>
      <c r="F554" t="s">
        <v>1913</v>
      </c>
      <c r="G554" t="s">
        <v>1934</v>
      </c>
    </row>
    <row r="555" spans="1:7" hidden="1" x14ac:dyDescent="0.25">
      <c r="A555" t="s">
        <v>4</v>
      </c>
      <c r="B555" t="s">
        <v>8</v>
      </c>
      <c r="E555" t="s">
        <v>1625</v>
      </c>
      <c r="F555" t="s">
        <v>1916</v>
      </c>
      <c r="G555" t="s">
        <v>1934</v>
      </c>
    </row>
    <row r="556" spans="1:7" hidden="1" x14ac:dyDescent="0.25">
      <c r="A556" t="s">
        <v>4</v>
      </c>
      <c r="B556" t="s">
        <v>8</v>
      </c>
      <c r="E556" t="s">
        <v>5</v>
      </c>
      <c r="F556" t="s">
        <v>1919</v>
      </c>
      <c r="G556" t="s">
        <v>1934</v>
      </c>
    </row>
    <row r="557" spans="1:7" hidden="1" x14ac:dyDescent="0.25">
      <c r="A557" t="s">
        <v>4</v>
      </c>
      <c r="B557" t="s">
        <v>8</v>
      </c>
      <c r="E557" t="s">
        <v>1625</v>
      </c>
      <c r="F557" t="s">
        <v>1922</v>
      </c>
      <c r="G557" t="s">
        <v>1934</v>
      </c>
    </row>
    <row r="558" spans="1:7" hidden="1" x14ac:dyDescent="0.25">
      <c r="A558" t="s">
        <v>4</v>
      </c>
      <c r="B558" t="s">
        <v>8</v>
      </c>
      <c r="E558" t="s">
        <v>5</v>
      </c>
      <c r="F558" t="s">
        <v>1925</v>
      </c>
      <c r="G558" t="s">
        <v>1934</v>
      </c>
    </row>
    <row r="559" spans="1:7" hidden="1" x14ac:dyDescent="0.25">
      <c r="A559" t="s">
        <v>4</v>
      </c>
      <c r="B559" t="s">
        <v>8</v>
      </c>
      <c r="F559" t="s">
        <v>1928</v>
      </c>
      <c r="G559" t="s">
        <v>1934</v>
      </c>
    </row>
    <row r="560" spans="1:7" hidden="1" x14ac:dyDescent="0.25">
      <c r="A560" t="s">
        <v>4</v>
      </c>
      <c r="B560" t="s">
        <v>8</v>
      </c>
      <c r="F560" t="s">
        <v>1931</v>
      </c>
      <c r="G560" t="s">
        <v>1934</v>
      </c>
    </row>
    <row r="561" spans="1:7" x14ac:dyDescent="0.25">
      <c r="A561" t="s">
        <v>4</v>
      </c>
      <c r="B561" t="s">
        <v>8</v>
      </c>
      <c r="F561" t="s">
        <v>1937</v>
      </c>
      <c r="G561" t="s">
        <v>1997</v>
      </c>
    </row>
    <row r="562" spans="1:7" x14ac:dyDescent="0.25">
      <c r="A562" t="s">
        <v>4</v>
      </c>
      <c r="B562" t="s">
        <v>8</v>
      </c>
      <c r="F562" t="s">
        <v>1940</v>
      </c>
      <c r="G562" t="s">
        <v>1997</v>
      </c>
    </row>
    <row r="563" spans="1:7" x14ac:dyDescent="0.25">
      <c r="A563" t="s">
        <v>4</v>
      </c>
      <c r="B563" t="s">
        <v>8</v>
      </c>
      <c r="F563" t="s">
        <v>1943</v>
      </c>
      <c r="G563" t="s">
        <v>1997</v>
      </c>
    </row>
    <row r="564" spans="1:7" x14ac:dyDescent="0.25">
      <c r="A564" t="s">
        <v>4</v>
      </c>
      <c r="B564" t="s">
        <v>8</v>
      </c>
      <c r="F564" t="s">
        <v>1946</v>
      </c>
      <c r="G564" t="s">
        <v>1997</v>
      </c>
    </row>
    <row r="565" spans="1:7" x14ac:dyDescent="0.25">
      <c r="A565" t="s">
        <v>4</v>
      </c>
      <c r="B565" t="s">
        <v>8</v>
      </c>
      <c r="F565" t="s">
        <v>1949</v>
      </c>
      <c r="G565" t="s">
        <v>1997</v>
      </c>
    </row>
    <row r="566" spans="1:7" x14ac:dyDescent="0.25">
      <c r="A566" t="s">
        <v>289</v>
      </c>
      <c r="B566" t="s">
        <v>86</v>
      </c>
      <c r="C566" t="s">
        <v>1998</v>
      </c>
      <c r="F566" t="s">
        <v>1952</v>
      </c>
      <c r="G566" t="s">
        <v>1997</v>
      </c>
    </row>
    <row r="567" spans="1:7" x14ac:dyDescent="0.25">
      <c r="A567" t="s">
        <v>1999</v>
      </c>
      <c r="B567" t="s">
        <v>86</v>
      </c>
      <c r="C567" t="s">
        <v>1998</v>
      </c>
      <c r="F567" t="s">
        <v>1955</v>
      </c>
      <c r="G567" t="s">
        <v>1997</v>
      </c>
    </row>
    <row r="568" spans="1:7" x14ac:dyDescent="0.25">
      <c r="A568" t="s">
        <v>1999</v>
      </c>
      <c r="B568" t="s">
        <v>86</v>
      </c>
      <c r="C568" t="s">
        <v>1998</v>
      </c>
      <c r="F568" t="s">
        <v>1958</v>
      </c>
      <c r="G568" t="s">
        <v>1997</v>
      </c>
    </row>
    <row r="569" spans="1:7" x14ac:dyDescent="0.25">
      <c r="A569" t="s">
        <v>4</v>
      </c>
      <c r="B569" t="s">
        <v>8</v>
      </c>
      <c r="F569" t="s">
        <v>1961</v>
      </c>
      <c r="G569" t="s">
        <v>1997</v>
      </c>
    </row>
    <row r="570" spans="1:7" x14ac:dyDescent="0.25">
      <c r="A570" t="s">
        <v>4</v>
      </c>
      <c r="B570" t="s">
        <v>8</v>
      </c>
      <c r="F570" t="s">
        <v>1964</v>
      </c>
      <c r="G570" t="s">
        <v>1997</v>
      </c>
    </row>
    <row r="571" spans="1:7" x14ac:dyDescent="0.25">
      <c r="A571" t="s">
        <v>4</v>
      </c>
      <c r="B571" t="s">
        <v>8</v>
      </c>
      <c r="F571" t="s">
        <v>1967</v>
      </c>
      <c r="G571" t="s">
        <v>1997</v>
      </c>
    </row>
    <row r="572" spans="1:7" x14ac:dyDescent="0.25">
      <c r="A572" t="s">
        <v>4</v>
      </c>
      <c r="B572" t="s">
        <v>8</v>
      </c>
      <c r="F572" t="s">
        <v>1970</v>
      </c>
      <c r="G572" t="s">
        <v>1997</v>
      </c>
    </row>
    <row r="573" spans="1:7" x14ac:dyDescent="0.25">
      <c r="A573" t="s">
        <v>4</v>
      </c>
      <c r="B573" t="s">
        <v>8</v>
      </c>
      <c r="F573" t="s">
        <v>1973</v>
      </c>
      <c r="G573" t="s">
        <v>1997</v>
      </c>
    </row>
    <row r="574" spans="1:7" x14ac:dyDescent="0.25">
      <c r="A574" t="s">
        <v>4</v>
      </c>
      <c r="B574" t="s">
        <v>8</v>
      </c>
      <c r="F574" t="s">
        <v>1976</v>
      </c>
      <c r="G574" t="s">
        <v>1997</v>
      </c>
    </row>
    <row r="575" spans="1:7" x14ac:dyDescent="0.25">
      <c r="A575" t="s">
        <v>4</v>
      </c>
      <c r="B575" t="s">
        <v>8</v>
      </c>
      <c r="F575" t="s">
        <v>1979</v>
      </c>
      <c r="G575" t="s">
        <v>1997</v>
      </c>
    </row>
    <row r="576" spans="1:7" x14ac:dyDescent="0.25">
      <c r="A576" t="s">
        <v>4</v>
      </c>
      <c r="B576" t="s">
        <v>8</v>
      </c>
      <c r="F576" t="s">
        <v>1982</v>
      </c>
      <c r="G576" t="s">
        <v>1997</v>
      </c>
    </row>
    <row r="577" spans="1:7" x14ac:dyDescent="0.25">
      <c r="A577" t="s">
        <v>4</v>
      </c>
      <c r="B577" t="s">
        <v>8</v>
      </c>
      <c r="F577" t="s">
        <v>1985</v>
      </c>
      <c r="G577" t="s">
        <v>1997</v>
      </c>
    </row>
    <row r="578" spans="1:7" x14ac:dyDescent="0.25">
      <c r="A578" t="s">
        <v>4</v>
      </c>
      <c r="B578" t="s">
        <v>8</v>
      </c>
      <c r="F578" t="s">
        <v>1988</v>
      </c>
      <c r="G578" t="s">
        <v>1997</v>
      </c>
    </row>
    <row r="579" spans="1:7" x14ac:dyDescent="0.25">
      <c r="A579" t="s">
        <v>4</v>
      </c>
      <c r="B579" t="s">
        <v>8</v>
      </c>
      <c r="F579" t="s">
        <v>1991</v>
      </c>
      <c r="G579" t="s">
        <v>1997</v>
      </c>
    </row>
    <row r="580" spans="1:7" x14ac:dyDescent="0.25">
      <c r="A580" t="s">
        <v>4</v>
      </c>
      <c r="B580" t="s">
        <v>8</v>
      </c>
      <c r="F580" t="s">
        <v>1994</v>
      </c>
      <c r="G580" t="s">
        <v>1997</v>
      </c>
    </row>
    <row r="581" spans="1:7" hidden="1" x14ac:dyDescent="0.25">
      <c r="A581" t="s">
        <v>91</v>
      </c>
      <c r="B581" t="s">
        <v>56</v>
      </c>
      <c r="C581" t="s">
        <v>2000</v>
      </c>
      <c r="F581" t="s">
        <v>1108</v>
      </c>
      <c r="G581" t="s">
        <v>1102</v>
      </c>
    </row>
    <row r="582" spans="1:7" hidden="1" x14ac:dyDescent="0.25">
      <c r="A582" t="s">
        <v>62</v>
      </c>
      <c r="B582" t="s">
        <v>55</v>
      </c>
      <c r="C582" t="s">
        <v>2000</v>
      </c>
      <c r="F582" t="s">
        <v>1109</v>
      </c>
      <c r="G582" t="s">
        <v>1102</v>
      </c>
    </row>
    <row r="583" spans="1:7" hidden="1" x14ac:dyDescent="0.25">
      <c r="A583" t="s">
        <v>91</v>
      </c>
      <c r="B583" t="s">
        <v>2001</v>
      </c>
      <c r="F583" t="s">
        <v>1110</v>
      </c>
      <c r="G583" t="s">
        <v>1102</v>
      </c>
    </row>
    <row r="584" spans="1:7" hidden="1" x14ac:dyDescent="0.25">
      <c r="A584" t="s">
        <v>62</v>
      </c>
      <c r="B584" t="s">
        <v>2001</v>
      </c>
      <c r="F584" t="s">
        <v>1111</v>
      </c>
      <c r="G584" t="s">
        <v>1102</v>
      </c>
    </row>
    <row r="585" spans="1:7" hidden="1" x14ac:dyDescent="0.25">
      <c r="A585" t="s">
        <v>91</v>
      </c>
      <c r="B585" t="s">
        <v>2002</v>
      </c>
      <c r="F585" t="s">
        <v>1112</v>
      </c>
      <c r="G585" t="s">
        <v>1102</v>
      </c>
    </row>
    <row r="586" spans="1:7" hidden="1" x14ac:dyDescent="0.25">
      <c r="A586" t="s">
        <v>91</v>
      </c>
      <c r="B586" t="s">
        <v>55</v>
      </c>
      <c r="C586" t="s">
        <v>2000</v>
      </c>
      <c r="F586" t="s">
        <v>1113</v>
      </c>
      <c r="G586" t="s">
        <v>1102</v>
      </c>
    </row>
    <row r="587" spans="1:7" hidden="1" x14ac:dyDescent="0.25">
      <c r="A587" t="s">
        <v>62</v>
      </c>
      <c r="B587" t="s">
        <v>2002</v>
      </c>
      <c r="F587" t="s">
        <v>1114</v>
      </c>
      <c r="G587" t="s">
        <v>1102</v>
      </c>
    </row>
    <row r="588" spans="1:7" hidden="1" x14ac:dyDescent="0.25">
      <c r="A588" t="s">
        <v>62</v>
      </c>
      <c r="B588" t="s">
        <v>56</v>
      </c>
      <c r="C588" t="s">
        <v>200</v>
      </c>
      <c r="F588" t="s">
        <v>2003</v>
      </c>
      <c r="G588" t="s">
        <v>1102</v>
      </c>
    </row>
    <row r="589" spans="1:7" hidden="1" x14ac:dyDescent="0.25">
      <c r="A589" t="s">
        <v>4</v>
      </c>
      <c r="B589" t="s">
        <v>8</v>
      </c>
      <c r="E589" t="s">
        <v>2004</v>
      </c>
      <c r="F589" t="s">
        <v>1178</v>
      </c>
      <c r="G589" t="s">
        <v>1103</v>
      </c>
    </row>
    <row r="590" spans="1:7" hidden="1" x14ac:dyDescent="0.25">
      <c r="A590" t="s">
        <v>4</v>
      </c>
      <c r="B590" t="s">
        <v>8</v>
      </c>
      <c r="F590" t="s">
        <v>1181</v>
      </c>
      <c r="G590" t="s">
        <v>1103</v>
      </c>
    </row>
    <row r="591" spans="1:7" hidden="1" x14ac:dyDescent="0.25">
      <c r="A591" t="s">
        <v>4</v>
      </c>
      <c r="B591" t="s">
        <v>8</v>
      </c>
      <c r="E591" t="s">
        <v>2004</v>
      </c>
      <c r="F591" t="s">
        <v>1184</v>
      </c>
      <c r="G591" t="s">
        <v>1103</v>
      </c>
    </row>
    <row r="592" spans="1:7" hidden="1" x14ac:dyDescent="0.25">
      <c r="A592" t="s">
        <v>4</v>
      </c>
      <c r="B592" t="s">
        <v>8</v>
      </c>
      <c r="F592" t="s">
        <v>1187</v>
      </c>
      <c r="G592" t="s">
        <v>1103</v>
      </c>
    </row>
    <row r="593" spans="1:7" hidden="1" x14ac:dyDescent="0.25">
      <c r="A593" t="s">
        <v>4</v>
      </c>
      <c r="B593" t="s">
        <v>8</v>
      </c>
      <c r="F593" t="s">
        <v>1211</v>
      </c>
      <c r="G593" t="s">
        <v>91</v>
      </c>
    </row>
    <row r="594" spans="1:7" hidden="1" x14ac:dyDescent="0.25">
      <c r="A594" t="s">
        <v>4</v>
      </c>
      <c r="B594" t="s">
        <v>2005</v>
      </c>
      <c r="E594" t="s">
        <v>2006</v>
      </c>
      <c r="F594" t="s">
        <v>1214</v>
      </c>
      <c r="G594" t="s">
        <v>91</v>
      </c>
    </row>
    <row r="595" spans="1:7" hidden="1" x14ac:dyDescent="0.25">
      <c r="A595" t="s">
        <v>4</v>
      </c>
      <c r="B595" t="s">
        <v>2005</v>
      </c>
      <c r="E595" t="s">
        <v>2007</v>
      </c>
      <c r="F595" t="s">
        <v>1217</v>
      </c>
      <c r="G595" t="s">
        <v>91</v>
      </c>
    </row>
    <row r="596" spans="1:7" hidden="1" x14ac:dyDescent="0.25">
      <c r="A596" t="s">
        <v>4</v>
      </c>
      <c r="B596" t="s">
        <v>56</v>
      </c>
      <c r="E596" t="s">
        <v>2008</v>
      </c>
      <c r="F596" t="s">
        <v>1220</v>
      </c>
      <c r="G596" t="s">
        <v>91</v>
      </c>
    </row>
    <row r="597" spans="1:7" hidden="1" x14ac:dyDescent="0.25">
      <c r="A597" t="s">
        <v>4</v>
      </c>
      <c r="B597" t="s">
        <v>8</v>
      </c>
      <c r="F597" t="s">
        <v>1223</v>
      </c>
      <c r="G597" t="s">
        <v>91</v>
      </c>
    </row>
    <row r="598" spans="1:7" hidden="1" x14ac:dyDescent="0.25">
      <c r="A598" t="s">
        <v>4</v>
      </c>
      <c r="B598" t="s">
        <v>8</v>
      </c>
      <c r="E598" t="s">
        <v>1625</v>
      </c>
      <c r="F598" t="s">
        <v>1226</v>
      </c>
      <c r="G598" t="s">
        <v>91</v>
      </c>
    </row>
    <row r="599" spans="1:7" hidden="1" x14ac:dyDescent="0.25">
      <c r="A599" t="s">
        <v>4</v>
      </c>
      <c r="B599" t="s">
        <v>8</v>
      </c>
      <c r="E599" t="s">
        <v>2009</v>
      </c>
      <c r="F599" t="s">
        <v>1229</v>
      </c>
      <c r="G599" t="s">
        <v>91</v>
      </c>
    </row>
    <row r="600" spans="1:7" hidden="1" x14ac:dyDescent="0.25">
      <c r="A600" t="s">
        <v>4</v>
      </c>
      <c r="B600" t="s">
        <v>8</v>
      </c>
      <c r="E600" t="s">
        <v>2004</v>
      </c>
      <c r="F600" t="s">
        <v>1232</v>
      </c>
      <c r="G600" t="s">
        <v>91</v>
      </c>
    </row>
    <row r="601" spans="1:7" hidden="1" x14ac:dyDescent="0.25">
      <c r="A601" t="s">
        <v>4</v>
      </c>
      <c r="B601" t="s">
        <v>8</v>
      </c>
      <c r="E601" t="s">
        <v>1625</v>
      </c>
      <c r="F601" t="s">
        <v>1235</v>
      </c>
      <c r="G601" t="s">
        <v>91</v>
      </c>
    </row>
    <row r="602" spans="1:7" hidden="1" x14ac:dyDescent="0.25">
      <c r="A602" t="s">
        <v>4</v>
      </c>
      <c r="B602" t="s">
        <v>8</v>
      </c>
      <c r="E602" t="s">
        <v>2009</v>
      </c>
      <c r="F602" t="s">
        <v>1238</v>
      </c>
      <c r="G602" t="s">
        <v>1104</v>
      </c>
    </row>
    <row r="603" spans="1:7" hidden="1" x14ac:dyDescent="0.25">
      <c r="A603" t="s">
        <v>1606</v>
      </c>
      <c r="B603" t="s">
        <v>56</v>
      </c>
      <c r="C603" t="s">
        <v>2010</v>
      </c>
      <c r="D603">
        <v>1</v>
      </c>
      <c r="F603" t="s">
        <v>1241</v>
      </c>
      <c r="G603" t="s">
        <v>1104</v>
      </c>
    </row>
    <row r="604" spans="1:7" hidden="1" x14ac:dyDescent="0.25">
      <c r="A604" t="s">
        <v>1094</v>
      </c>
      <c r="B604" t="s">
        <v>70</v>
      </c>
      <c r="C604" t="s">
        <v>2010</v>
      </c>
      <c r="E604" t="s">
        <v>2011</v>
      </c>
      <c r="F604" t="s">
        <v>1244</v>
      </c>
      <c r="G604" t="s">
        <v>1104</v>
      </c>
    </row>
    <row r="605" spans="1:7" hidden="1" x14ac:dyDescent="0.25">
      <c r="A605" t="s">
        <v>2012</v>
      </c>
      <c r="B605" t="s">
        <v>70</v>
      </c>
      <c r="C605" t="s">
        <v>2010</v>
      </c>
      <c r="E605" t="s">
        <v>2011</v>
      </c>
      <c r="F605" t="s">
        <v>1247</v>
      </c>
      <c r="G605" t="s">
        <v>1104</v>
      </c>
    </row>
    <row r="606" spans="1:7" hidden="1" x14ac:dyDescent="0.25">
      <c r="A606" t="s">
        <v>650</v>
      </c>
      <c r="B606" t="s">
        <v>70</v>
      </c>
      <c r="C606" t="s">
        <v>2010</v>
      </c>
      <c r="F606" t="s">
        <v>1250</v>
      </c>
      <c r="G606" t="s">
        <v>1104</v>
      </c>
    </row>
    <row r="607" spans="1:7" hidden="1" x14ac:dyDescent="0.25">
      <c r="A607" t="s">
        <v>1606</v>
      </c>
      <c r="B607" t="s">
        <v>2001</v>
      </c>
      <c r="F607" t="s">
        <v>1253</v>
      </c>
      <c r="G607" t="s">
        <v>1104</v>
      </c>
    </row>
    <row r="608" spans="1:7" hidden="1" x14ac:dyDescent="0.25">
      <c r="A608" t="s">
        <v>650</v>
      </c>
      <c r="B608" t="s">
        <v>2001</v>
      </c>
      <c r="F608" t="s">
        <v>1256</v>
      </c>
      <c r="G608" t="s">
        <v>1104</v>
      </c>
    </row>
    <row r="609" spans="1:7" hidden="1" x14ac:dyDescent="0.25">
      <c r="A609" t="s">
        <v>1606</v>
      </c>
      <c r="B609" t="s">
        <v>2002</v>
      </c>
      <c r="F609" t="s">
        <v>1259</v>
      </c>
      <c r="G609" t="s">
        <v>1104</v>
      </c>
    </row>
    <row r="610" spans="1:7" hidden="1" x14ac:dyDescent="0.25">
      <c r="A610" t="s">
        <v>1606</v>
      </c>
      <c r="B610" t="s">
        <v>70</v>
      </c>
      <c r="C610" t="s">
        <v>2010</v>
      </c>
      <c r="F610" t="s">
        <v>1262</v>
      </c>
      <c r="G610" t="s">
        <v>1104</v>
      </c>
    </row>
    <row r="611" spans="1:7" hidden="1" x14ac:dyDescent="0.25">
      <c r="A611" t="s">
        <v>4</v>
      </c>
      <c r="B611" t="s">
        <v>8</v>
      </c>
      <c r="F611" t="s">
        <v>1265</v>
      </c>
      <c r="G611" t="s">
        <v>1104</v>
      </c>
    </row>
    <row r="612" spans="1:7" hidden="1" x14ac:dyDescent="0.25">
      <c r="A612" t="s">
        <v>2013</v>
      </c>
      <c r="B612" t="s">
        <v>56</v>
      </c>
      <c r="F612" t="s">
        <v>1268</v>
      </c>
      <c r="G612" t="s">
        <v>1104</v>
      </c>
    </row>
    <row r="613" spans="1:7" hidden="1" x14ac:dyDescent="0.25">
      <c r="A613" t="s">
        <v>289</v>
      </c>
      <c r="B613" t="s">
        <v>56</v>
      </c>
      <c r="C613" t="s">
        <v>200</v>
      </c>
      <c r="F613" t="s">
        <v>1271</v>
      </c>
      <c r="G613" t="s">
        <v>1104</v>
      </c>
    </row>
    <row r="614" spans="1:7" hidden="1" x14ac:dyDescent="0.25">
      <c r="A614" t="s">
        <v>650</v>
      </c>
      <c r="B614" t="s">
        <v>2002</v>
      </c>
      <c r="F614" t="s">
        <v>1274</v>
      </c>
      <c r="G614" t="s">
        <v>1104</v>
      </c>
    </row>
    <row r="615" spans="1:7" hidden="1" x14ac:dyDescent="0.25">
      <c r="A615" t="s">
        <v>650</v>
      </c>
      <c r="B615" t="s">
        <v>56</v>
      </c>
      <c r="C615" t="s">
        <v>200</v>
      </c>
      <c r="F615" t="s">
        <v>1277</v>
      </c>
      <c r="G615" t="s">
        <v>1104</v>
      </c>
    </row>
    <row r="616" spans="1:7" hidden="1" x14ac:dyDescent="0.25">
      <c r="A616" t="s">
        <v>4</v>
      </c>
      <c r="B616" t="s">
        <v>8</v>
      </c>
      <c r="F616" t="s">
        <v>1280</v>
      </c>
      <c r="G616" t="s">
        <v>1104</v>
      </c>
    </row>
    <row r="617" spans="1:7" hidden="1" x14ac:dyDescent="0.25">
      <c r="A617" t="s">
        <v>4</v>
      </c>
      <c r="B617" t="s">
        <v>8</v>
      </c>
      <c r="E617" t="s">
        <v>1625</v>
      </c>
      <c r="F617" t="s">
        <v>1283</v>
      </c>
      <c r="G617" t="s">
        <v>1104</v>
      </c>
    </row>
    <row r="618" spans="1:7" hidden="1" x14ac:dyDescent="0.25">
      <c r="A618" t="s">
        <v>4</v>
      </c>
      <c r="B618" t="s">
        <v>8</v>
      </c>
      <c r="E618" t="s">
        <v>2009</v>
      </c>
      <c r="F618" t="s">
        <v>1286</v>
      </c>
      <c r="G618" t="s">
        <v>1104</v>
      </c>
    </row>
    <row r="619" spans="1:7" hidden="1" x14ac:dyDescent="0.25">
      <c r="A619" t="s">
        <v>4</v>
      </c>
      <c r="B619" t="s">
        <v>8</v>
      </c>
      <c r="E619" t="s">
        <v>2004</v>
      </c>
      <c r="F619" t="s">
        <v>1289</v>
      </c>
      <c r="G619" t="s">
        <v>1104</v>
      </c>
    </row>
    <row r="620" spans="1:7" hidden="1" x14ac:dyDescent="0.25">
      <c r="A620" t="s">
        <v>4</v>
      </c>
      <c r="B620" t="s">
        <v>8</v>
      </c>
      <c r="E620" t="s">
        <v>1625</v>
      </c>
      <c r="F620" t="s">
        <v>1292</v>
      </c>
      <c r="G620" t="s">
        <v>1104</v>
      </c>
    </row>
    <row r="621" spans="1:7" hidden="1" x14ac:dyDescent="0.25">
      <c r="A621" t="s">
        <v>4</v>
      </c>
      <c r="B621" t="s">
        <v>8</v>
      </c>
      <c r="E621" t="s">
        <v>1625</v>
      </c>
      <c r="F621" t="s">
        <v>1295</v>
      </c>
      <c r="G621" t="s">
        <v>1105</v>
      </c>
    </row>
    <row r="622" spans="1:7" hidden="1" x14ac:dyDescent="0.25">
      <c r="A622" t="s">
        <v>4</v>
      </c>
      <c r="B622" t="s">
        <v>8</v>
      </c>
      <c r="E622" t="s">
        <v>2009</v>
      </c>
      <c r="F622" t="s">
        <v>1298</v>
      </c>
      <c r="G622" t="s">
        <v>1105</v>
      </c>
    </row>
    <row r="623" spans="1:7" hidden="1" x14ac:dyDescent="0.25">
      <c r="A623" t="s">
        <v>4</v>
      </c>
      <c r="B623" t="s">
        <v>2014</v>
      </c>
      <c r="E623" t="s">
        <v>1625</v>
      </c>
      <c r="F623" t="s">
        <v>1301</v>
      </c>
      <c r="G623" t="s">
        <v>1105</v>
      </c>
    </row>
    <row r="624" spans="1:7" hidden="1" x14ac:dyDescent="0.25">
      <c r="A624" t="s">
        <v>4</v>
      </c>
      <c r="B624" t="s">
        <v>8</v>
      </c>
      <c r="E624" t="s">
        <v>2009</v>
      </c>
      <c r="F624" t="s">
        <v>2015</v>
      </c>
      <c r="G624" t="s">
        <v>1106</v>
      </c>
    </row>
    <row r="625" spans="1:7" hidden="1" x14ac:dyDescent="0.25">
      <c r="A625" t="s">
        <v>4</v>
      </c>
      <c r="B625" t="s">
        <v>8</v>
      </c>
      <c r="E625" t="s">
        <v>2004</v>
      </c>
      <c r="F625" t="s">
        <v>2018</v>
      </c>
      <c r="G625" t="s">
        <v>1106</v>
      </c>
    </row>
    <row r="626" spans="1:7" hidden="1" x14ac:dyDescent="0.25">
      <c r="A626" t="s">
        <v>4</v>
      </c>
      <c r="B626" t="s">
        <v>8</v>
      </c>
      <c r="E626" t="s">
        <v>2004</v>
      </c>
      <c r="F626" t="s">
        <v>2021</v>
      </c>
      <c r="G626" t="s">
        <v>1106</v>
      </c>
    </row>
    <row r="627" spans="1:7" hidden="1" x14ac:dyDescent="0.25">
      <c r="A627" t="s">
        <v>4</v>
      </c>
      <c r="B627" t="s">
        <v>8</v>
      </c>
      <c r="F627" t="s">
        <v>1115</v>
      </c>
      <c r="G627" t="s">
        <v>1107</v>
      </c>
    </row>
    <row r="628" spans="1:7" hidden="1" x14ac:dyDescent="0.25">
      <c r="A628" t="s">
        <v>4</v>
      </c>
      <c r="B628" t="s">
        <v>8</v>
      </c>
      <c r="E628" t="s">
        <v>2004</v>
      </c>
      <c r="F628" t="s">
        <v>1118</v>
      </c>
      <c r="G628" t="s">
        <v>1107</v>
      </c>
    </row>
    <row r="629" spans="1:7" hidden="1" x14ac:dyDescent="0.25">
      <c r="A629" t="s">
        <v>4</v>
      </c>
      <c r="B629" t="s">
        <v>8</v>
      </c>
      <c r="F629" t="s">
        <v>1121</v>
      </c>
      <c r="G629" t="s">
        <v>1107</v>
      </c>
    </row>
    <row r="630" spans="1:7" hidden="1" x14ac:dyDescent="0.25">
      <c r="A630" t="s">
        <v>4</v>
      </c>
      <c r="B630" t="s">
        <v>8</v>
      </c>
      <c r="E630" t="s">
        <v>2004</v>
      </c>
      <c r="F630" t="s">
        <v>1124</v>
      </c>
      <c r="G630" t="s">
        <v>1107</v>
      </c>
    </row>
    <row r="631" spans="1:7" hidden="1" x14ac:dyDescent="0.25">
      <c r="A631" t="s">
        <v>4</v>
      </c>
      <c r="B631" t="s">
        <v>8</v>
      </c>
      <c r="F631" t="s">
        <v>1127</v>
      </c>
      <c r="G631" t="s">
        <v>1107</v>
      </c>
    </row>
    <row r="632" spans="1:7" hidden="1" x14ac:dyDescent="0.25">
      <c r="A632" t="s">
        <v>4</v>
      </c>
      <c r="B632" t="s">
        <v>9</v>
      </c>
      <c r="F632" t="s">
        <v>1130</v>
      </c>
      <c r="G632" t="s">
        <v>796</v>
      </c>
    </row>
    <row r="633" spans="1:7" hidden="1" x14ac:dyDescent="0.25">
      <c r="A633" t="s">
        <v>4</v>
      </c>
      <c r="B633" t="s">
        <v>9</v>
      </c>
      <c r="F633" t="s">
        <v>1133</v>
      </c>
      <c r="G633" t="s">
        <v>796</v>
      </c>
    </row>
    <row r="634" spans="1:7" hidden="1" x14ac:dyDescent="0.25">
      <c r="A634" t="s">
        <v>4</v>
      </c>
      <c r="B634" t="s">
        <v>9</v>
      </c>
      <c r="F634" t="s">
        <v>1136</v>
      </c>
      <c r="G634" t="s">
        <v>796</v>
      </c>
    </row>
    <row r="635" spans="1:7" hidden="1" x14ac:dyDescent="0.25">
      <c r="A635" t="s">
        <v>2024</v>
      </c>
      <c r="B635" t="s">
        <v>796</v>
      </c>
      <c r="F635" t="s">
        <v>1139</v>
      </c>
      <c r="G635" t="s">
        <v>796</v>
      </c>
    </row>
    <row r="636" spans="1:7" hidden="1" x14ac:dyDescent="0.25">
      <c r="A636" t="s">
        <v>4</v>
      </c>
      <c r="B636" t="s">
        <v>9</v>
      </c>
      <c r="F636" t="s">
        <v>1142</v>
      </c>
      <c r="G636" t="s">
        <v>796</v>
      </c>
    </row>
    <row r="637" spans="1:7" hidden="1" x14ac:dyDescent="0.25">
      <c r="A637" t="s">
        <v>2024</v>
      </c>
      <c r="B637" t="s">
        <v>796</v>
      </c>
      <c r="F637" t="s">
        <v>1145</v>
      </c>
      <c r="G637" t="s">
        <v>796</v>
      </c>
    </row>
    <row r="638" spans="1:7" hidden="1" x14ac:dyDescent="0.25">
      <c r="A638" t="s">
        <v>2024</v>
      </c>
      <c r="B638" t="s">
        <v>796</v>
      </c>
      <c r="F638" t="s">
        <v>1148</v>
      </c>
      <c r="G638" t="s">
        <v>796</v>
      </c>
    </row>
    <row r="639" spans="1:7" hidden="1" x14ac:dyDescent="0.25">
      <c r="A639" t="s">
        <v>2024</v>
      </c>
      <c r="B639" t="s">
        <v>796</v>
      </c>
      <c r="F639" t="s">
        <v>1151</v>
      </c>
      <c r="G639" t="s">
        <v>796</v>
      </c>
    </row>
    <row r="640" spans="1:7" hidden="1" x14ac:dyDescent="0.25">
      <c r="A640" t="s">
        <v>2024</v>
      </c>
      <c r="B640" t="s">
        <v>796</v>
      </c>
      <c r="F640" t="s">
        <v>1154</v>
      </c>
      <c r="G640" t="s">
        <v>796</v>
      </c>
    </row>
    <row r="641" spans="1:7" hidden="1" x14ac:dyDescent="0.25">
      <c r="A641" t="s">
        <v>4</v>
      </c>
      <c r="B641" t="s">
        <v>9</v>
      </c>
      <c r="E641" t="s">
        <v>2936</v>
      </c>
      <c r="F641" t="s">
        <v>1157</v>
      </c>
      <c r="G641" t="s">
        <v>796</v>
      </c>
    </row>
    <row r="642" spans="1:7" hidden="1" x14ac:dyDescent="0.25">
      <c r="A642" t="s">
        <v>4</v>
      </c>
      <c r="B642" t="s">
        <v>9</v>
      </c>
      <c r="E642" t="s">
        <v>2936</v>
      </c>
      <c r="F642" t="s">
        <v>1160</v>
      </c>
      <c r="G642" t="s">
        <v>796</v>
      </c>
    </row>
    <row r="643" spans="1:7" hidden="1" x14ac:dyDescent="0.25">
      <c r="A643" t="s">
        <v>4</v>
      </c>
      <c r="B643" t="s">
        <v>9</v>
      </c>
      <c r="E643" t="s">
        <v>2936</v>
      </c>
      <c r="F643" t="s">
        <v>1163</v>
      </c>
      <c r="G643" t="s">
        <v>796</v>
      </c>
    </row>
    <row r="644" spans="1:7" hidden="1" x14ac:dyDescent="0.25">
      <c r="A644" t="s">
        <v>4</v>
      </c>
      <c r="B644" t="s">
        <v>9</v>
      </c>
      <c r="E644" t="s">
        <v>2936</v>
      </c>
      <c r="F644" t="s">
        <v>1166</v>
      </c>
      <c r="G644" t="s">
        <v>796</v>
      </c>
    </row>
    <row r="645" spans="1:7" hidden="1" x14ac:dyDescent="0.25">
      <c r="A645" t="s">
        <v>4</v>
      </c>
      <c r="B645" t="s">
        <v>9</v>
      </c>
      <c r="E645" t="s">
        <v>2936</v>
      </c>
      <c r="F645" t="s">
        <v>1169</v>
      </c>
      <c r="G645" t="s">
        <v>796</v>
      </c>
    </row>
    <row r="646" spans="1:7" hidden="1" x14ac:dyDescent="0.25">
      <c r="A646" t="s">
        <v>4</v>
      </c>
      <c r="B646" t="s">
        <v>9</v>
      </c>
      <c r="E646" t="s">
        <v>2936</v>
      </c>
      <c r="F646" t="s">
        <v>1172</v>
      </c>
      <c r="G646" t="s">
        <v>796</v>
      </c>
    </row>
    <row r="647" spans="1:7" hidden="1" x14ac:dyDescent="0.25">
      <c r="A647" t="s">
        <v>4</v>
      </c>
      <c r="B647" t="s">
        <v>9</v>
      </c>
      <c r="E647" t="s">
        <v>2936</v>
      </c>
      <c r="F647" t="s">
        <v>1175</v>
      </c>
      <c r="G647" t="s">
        <v>796</v>
      </c>
    </row>
    <row r="648" spans="1:7" hidden="1" x14ac:dyDescent="0.25">
      <c r="A648" t="s">
        <v>2004</v>
      </c>
      <c r="F648" t="s">
        <v>2049</v>
      </c>
      <c r="G648" t="s">
        <v>1102</v>
      </c>
    </row>
    <row r="649" spans="1:7" hidden="1" x14ac:dyDescent="0.25">
      <c r="A649" t="s">
        <v>64</v>
      </c>
      <c r="B649" t="s">
        <v>70</v>
      </c>
      <c r="C649" t="s">
        <v>51</v>
      </c>
      <c r="F649" t="s">
        <v>2050</v>
      </c>
      <c r="G649" t="s">
        <v>1102</v>
      </c>
    </row>
    <row r="650" spans="1:7" hidden="1" x14ac:dyDescent="0.25">
      <c r="A650" t="s">
        <v>62</v>
      </c>
      <c r="B650" t="s">
        <v>70</v>
      </c>
      <c r="C650" t="s">
        <v>58</v>
      </c>
      <c r="F650" t="s">
        <v>2051</v>
      </c>
      <c r="G650" t="s">
        <v>1102</v>
      </c>
    </row>
    <row r="651" spans="1:7" hidden="1" x14ac:dyDescent="0.25">
      <c r="A651" t="s">
        <v>64</v>
      </c>
      <c r="B651" t="s">
        <v>2920</v>
      </c>
      <c r="C651" t="s">
        <v>2921</v>
      </c>
      <c r="F651" t="s">
        <v>2052</v>
      </c>
      <c r="G651" t="s">
        <v>1102</v>
      </c>
    </row>
    <row r="652" spans="1:7" hidden="1" x14ac:dyDescent="0.25">
      <c r="A652" t="s">
        <v>62</v>
      </c>
      <c r="B652" t="s">
        <v>2920</v>
      </c>
      <c r="C652" t="s">
        <v>2922</v>
      </c>
      <c r="F652" t="s">
        <v>2053</v>
      </c>
      <c r="G652" t="s">
        <v>1102</v>
      </c>
    </row>
    <row r="653" spans="1:7" hidden="1" x14ac:dyDescent="0.25">
      <c r="A653" t="s">
        <v>62</v>
      </c>
      <c r="B653" t="s">
        <v>2923</v>
      </c>
      <c r="C653" t="s">
        <v>58</v>
      </c>
      <c r="F653" t="s">
        <v>2054</v>
      </c>
      <c r="G653" t="s">
        <v>1102</v>
      </c>
    </row>
    <row r="654" spans="1:7" hidden="1" x14ac:dyDescent="0.25">
      <c r="A654" t="s">
        <v>64</v>
      </c>
      <c r="B654" t="s">
        <v>70</v>
      </c>
      <c r="C654" t="s">
        <v>51</v>
      </c>
      <c r="F654" t="s">
        <v>2055</v>
      </c>
      <c r="G654" t="s">
        <v>1102</v>
      </c>
    </row>
    <row r="655" spans="1:7" hidden="1" x14ac:dyDescent="0.25">
      <c r="A655" t="s">
        <v>62</v>
      </c>
      <c r="B655" t="s">
        <v>70</v>
      </c>
      <c r="C655" t="s">
        <v>58</v>
      </c>
      <c r="F655" t="s">
        <v>2056</v>
      </c>
      <c r="G655" t="s">
        <v>1102</v>
      </c>
    </row>
    <row r="656" spans="1:7" hidden="1" x14ac:dyDescent="0.25">
      <c r="A656" t="s">
        <v>91</v>
      </c>
      <c r="B656" t="s">
        <v>2002</v>
      </c>
      <c r="F656" t="s">
        <v>2057</v>
      </c>
      <c r="G656" t="s">
        <v>1102</v>
      </c>
    </row>
    <row r="657" spans="1:7" hidden="1" x14ac:dyDescent="0.25">
      <c r="A657" t="s">
        <v>62</v>
      </c>
      <c r="B657" t="s">
        <v>2002</v>
      </c>
      <c r="F657" t="s">
        <v>2058</v>
      </c>
      <c r="G657" t="s">
        <v>1102</v>
      </c>
    </row>
    <row r="658" spans="1:7" hidden="1" x14ac:dyDescent="0.25">
      <c r="A658" t="s">
        <v>2004</v>
      </c>
      <c r="F658" t="s">
        <v>2059</v>
      </c>
      <c r="G658" t="s">
        <v>1102</v>
      </c>
    </row>
    <row r="659" spans="1:7" hidden="1" x14ac:dyDescent="0.25">
      <c r="A659" t="s">
        <v>91</v>
      </c>
      <c r="B659" t="s">
        <v>70</v>
      </c>
      <c r="F659" t="s">
        <v>2060</v>
      </c>
      <c r="G659" t="s">
        <v>1102</v>
      </c>
    </row>
    <row r="660" spans="1:7" hidden="1" x14ac:dyDescent="0.25">
      <c r="A660" t="s">
        <v>62</v>
      </c>
      <c r="B660" t="s">
        <v>70</v>
      </c>
      <c r="E660" t="s">
        <v>2924</v>
      </c>
      <c r="F660" t="s">
        <v>2061</v>
      </c>
      <c r="G660" t="s">
        <v>1102</v>
      </c>
    </row>
    <row r="661" spans="1:7" hidden="1" x14ac:dyDescent="0.25">
      <c r="A661" t="s">
        <v>2004</v>
      </c>
      <c r="F661" t="s">
        <v>2062</v>
      </c>
      <c r="G661" t="s">
        <v>1102</v>
      </c>
    </row>
    <row r="662" spans="1:7" hidden="1" x14ac:dyDescent="0.25">
      <c r="A662" t="s">
        <v>2004</v>
      </c>
      <c r="F662" t="s">
        <v>2063</v>
      </c>
      <c r="G662" t="s">
        <v>1102</v>
      </c>
    </row>
    <row r="663" spans="1:7" hidden="1" x14ac:dyDescent="0.25">
      <c r="A663" t="s">
        <v>2004</v>
      </c>
      <c r="F663" t="s">
        <v>2025</v>
      </c>
      <c r="G663" t="s">
        <v>1103</v>
      </c>
    </row>
    <row r="664" spans="1:7" hidden="1" x14ac:dyDescent="0.25">
      <c r="A664" t="s">
        <v>2004</v>
      </c>
      <c r="F664" t="s">
        <v>2028</v>
      </c>
      <c r="G664" t="s">
        <v>1103</v>
      </c>
    </row>
    <row r="665" spans="1:7" hidden="1" x14ac:dyDescent="0.25">
      <c r="A665" t="s">
        <v>2004</v>
      </c>
      <c r="F665" t="s">
        <v>2031</v>
      </c>
      <c r="G665" t="s">
        <v>1103</v>
      </c>
    </row>
    <row r="666" spans="1:7" hidden="1" x14ac:dyDescent="0.25">
      <c r="A666" t="s">
        <v>2926</v>
      </c>
      <c r="F666" t="s">
        <v>2034</v>
      </c>
      <c r="G666" t="s">
        <v>1103</v>
      </c>
    </row>
    <row r="667" spans="1:7" hidden="1" x14ac:dyDescent="0.25">
      <c r="A667" t="s">
        <v>4</v>
      </c>
      <c r="B667" t="s">
        <v>8</v>
      </c>
      <c r="F667" t="s">
        <v>2037</v>
      </c>
      <c r="G667" t="s">
        <v>1103</v>
      </c>
    </row>
    <row r="668" spans="1:7" hidden="1" x14ac:dyDescent="0.25">
      <c r="A668" t="s">
        <v>2004</v>
      </c>
      <c r="F668" t="s">
        <v>2040</v>
      </c>
      <c r="G668" t="s">
        <v>1103</v>
      </c>
    </row>
    <row r="669" spans="1:7" hidden="1" x14ac:dyDescent="0.25">
      <c r="A669" t="s">
        <v>2004</v>
      </c>
      <c r="F669" t="s">
        <v>2043</v>
      </c>
      <c r="G669" t="s">
        <v>1103</v>
      </c>
    </row>
    <row r="670" spans="1:7" hidden="1" x14ac:dyDescent="0.25">
      <c r="A670" t="s">
        <v>2004</v>
      </c>
      <c r="F670" t="s">
        <v>2046</v>
      </c>
      <c r="G670" t="s">
        <v>1103</v>
      </c>
    </row>
    <row r="671" spans="1:7" hidden="1" x14ac:dyDescent="0.25">
      <c r="A671" t="s">
        <v>2004</v>
      </c>
      <c r="F671" t="s">
        <v>2064</v>
      </c>
      <c r="G671" t="s">
        <v>91</v>
      </c>
    </row>
    <row r="672" spans="1:7" hidden="1" x14ac:dyDescent="0.25">
      <c r="A672" t="s">
        <v>4</v>
      </c>
      <c r="B672" t="s">
        <v>8</v>
      </c>
      <c r="F672" t="s">
        <v>2067</v>
      </c>
      <c r="G672" t="s">
        <v>91</v>
      </c>
    </row>
    <row r="673" spans="1:7" hidden="1" x14ac:dyDescent="0.25">
      <c r="A673" t="s">
        <v>289</v>
      </c>
      <c r="B673" t="s">
        <v>2927</v>
      </c>
      <c r="C673" t="s">
        <v>58</v>
      </c>
      <c r="E673" t="s">
        <v>2928</v>
      </c>
      <c r="F673" t="s">
        <v>2070</v>
      </c>
      <c r="G673" t="s">
        <v>91</v>
      </c>
    </row>
    <row r="674" spans="1:7" hidden="1" x14ac:dyDescent="0.25">
      <c r="A674" t="s">
        <v>4</v>
      </c>
      <c r="B674" t="s">
        <v>8</v>
      </c>
      <c r="F674" t="s">
        <v>2073</v>
      </c>
      <c r="G674" t="s">
        <v>91</v>
      </c>
    </row>
    <row r="675" spans="1:7" hidden="1" x14ac:dyDescent="0.25">
      <c r="A675" t="s">
        <v>4</v>
      </c>
      <c r="B675" t="s">
        <v>8</v>
      </c>
      <c r="F675" t="s">
        <v>2076</v>
      </c>
      <c r="G675" t="s">
        <v>91</v>
      </c>
    </row>
    <row r="676" spans="1:7" hidden="1" x14ac:dyDescent="0.25">
      <c r="A676" t="s">
        <v>4</v>
      </c>
      <c r="B676" t="s">
        <v>8</v>
      </c>
      <c r="F676" t="s">
        <v>2079</v>
      </c>
      <c r="G676" t="s">
        <v>91</v>
      </c>
    </row>
    <row r="677" spans="1:7" hidden="1" x14ac:dyDescent="0.25">
      <c r="A677" t="s">
        <v>289</v>
      </c>
      <c r="B677" t="s">
        <v>2927</v>
      </c>
      <c r="C677" t="s">
        <v>2929</v>
      </c>
      <c r="E677" t="s">
        <v>4203</v>
      </c>
      <c r="F677" t="s">
        <v>2082</v>
      </c>
      <c r="G677" t="s">
        <v>91</v>
      </c>
    </row>
    <row r="678" spans="1:7" hidden="1" x14ac:dyDescent="0.25">
      <c r="A678" t="s">
        <v>4</v>
      </c>
      <c r="B678" t="s">
        <v>8</v>
      </c>
      <c r="F678" t="s">
        <v>2085</v>
      </c>
      <c r="G678" t="s">
        <v>91</v>
      </c>
    </row>
    <row r="679" spans="1:7" hidden="1" x14ac:dyDescent="0.25">
      <c r="A679" t="s">
        <v>2004</v>
      </c>
      <c r="F679" t="s">
        <v>2088</v>
      </c>
      <c r="G679" t="s">
        <v>91</v>
      </c>
    </row>
    <row r="680" spans="1:7" hidden="1" x14ac:dyDescent="0.25">
      <c r="A680" t="s">
        <v>2004</v>
      </c>
      <c r="F680" t="s">
        <v>2091</v>
      </c>
      <c r="G680" t="s">
        <v>91</v>
      </c>
    </row>
    <row r="681" spans="1:7" hidden="1" x14ac:dyDescent="0.25">
      <c r="A681" t="s">
        <v>2004</v>
      </c>
      <c r="F681" t="s">
        <v>2133</v>
      </c>
      <c r="G681" t="s">
        <v>1104</v>
      </c>
    </row>
    <row r="682" spans="1:7" hidden="1" x14ac:dyDescent="0.25">
      <c r="A682" t="s">
        <v>4</v>
      </c>
      <c r="B682" t="s">
        <v>2927</v>
      </c>
      <c r="C682" t="s">
        <v>58</v>
      </c>
      <c r="F682" t="s">
        <v>2136</v>
      </c>
      <c r="G682" t="s">
        <v>1104</v>
      </c>
    </row>
    <row r="683" spans="1:7" hidden="1" x14ac:dyDescent="0.25">
      <c r="A683" t="s">
        <v>4</v>
      </c>
      <c r="B683" t="s">
        <v>8</v>
      </c>
      <c r="E683" t="s">
        <v>2931</v>
      </c>
      <c r="F683" t="s">
        <v>2139</v>
      </c>
      <c r="G683" t="s">
        <v>1104</v>
      </c>
    </row>
    <row r="684" spans="1:7" hidden="1" x14ac:dyDescent="0.25">
      <c r="A684" t="s">
        <v>2004</v>
      </c>
      <c r="F684" t="s">
        <v>2142</v>
      </c>
      <c r="G684" t="s">
        <v>1104</v>
      </c>
    </row>
    <row r="685" spans="1:7" hidden="1" x14ac:dyDescent="0.25">
      <c r="A685" t="s">
        <v>2004</v>
      </c>
      <c r="F685" t="s">
        <v>2145</v>
      </c>
      <c r="G685" t="s">
        <v>1104</v>
      </c>
    </row>
    <row r="686" spans="1:7" hidden="1" x14ac:dyDescent="0.25">
      <c r="A686" t="s">
        <v>2004</v>
      </c>
      <c r="F686" t="s">
        <v>2148</v>
      </c>
      <c r="G686" t="s">
        <v>1104</v>
      </c>
    </row>
    <row r="687" spans="1:7" hidden="1" x14ac:dyDescent="0.25">
      <c r="A687" t="s">
        <v>2004</v>
      </c>
      <c r="F687" t="s">
        <v>2151</v>
      </c>
      <c r="G687" t="s">
        <v>1104</v>
      </c>
    </row>
    <row r="688" spans="1:7" hidden="1" x14ac:dyDescent="0.25">
      <c r="A688" t="s">
        <v>4</v>
      </c>
      <c r="B688" t="s">
        <v>8</v>
      </c>
      <c r="F688" t="s">
        <v>2094</v>
      </c>
      <c r="G688" t="s">
        <v>1105</v>
      </c>
    </row>
    <row r="689" spans="1:7" hidden="1" x14ac:dyDescent="0.25">
      <c r="A689" t="s">
        <v>4</v>
      </c>
      <c r="B689" t="s">
        <v>8</v>
      </c>
      <c r="F689" t="s">
        <v>2097</v>
      </c>
      <c r="G689" t="s">
        <v>1105</v>
      </c>
    </row>
    <row r="690" spans="1:7" hidden="1" x14ac:dyDescent="0.25">
      <c r="A690" t="s">
        <v>4</v>
      </c>
      <c r="B690" t="s">
        <v>8</v>
      </c>
      <c r="F690" t="s">
        <v>2100</v>
      </c>
      <c r="G690" t="s">
        <v>1105</v>
      </c>
    </row>
    <row r="691" spans="1:7" hidden="1" x14ac:dyDescent="0.25">
      <c r="A691" t="s">
        <v>4</v>
      </c>
      <c r="B691" t="s">
        <v>8</v>
      </c>
      <c r="F691" t="s">
        <v>2103</v>
      </c>
      <c r="G691" t="s">
        <v>1105</v>
      </c>
    </row>
    <row r="692" spans="1:7" hidden="1" x14ac:dyDescent="0.25">
      <c r="A692" t="s">
        <v>4</v>
      </c>
      <c r="B692" t="s">
        <v>8</v>
      </c>
      <c r="F692" t="s">
        <v>2106</v>
      </c>
      <c r="G692" t="s">
        <v>1105</v>
      </c>
    </row>
    <row r="693" spans="1:7" hidden="1" x14ac:dyDescent="0.25">
      <c r="A693" t="s">
        <v>4</v>
      </c>
      <c r="B693" t="s">
        <v>8</v>
      </c>
      <c r="F693" t="s">
        <v>2109</v>
      </c>
      <c r="G693" t="s">
        <v>1105</v>
      </c>
    </row>
    <row r="694" spans="1:7" hidden="1" x14ac:dyDescent="0.25">
      <c r="A694" t="s">
        <v>4</v>
      </c>
      <c r="B694" t="s">
        <v>8</v>
      </c>
      <c r="F694" t="s">
        <v>2112</v>
      </c>
      <c r="G694" t="s">
        <v>1105</v>
      </c>
    </row>
    <row r="695" spans="1:7" hidden="1" x14ac:dyDescent="0.25">
      <c r="A695" t="s">
        <v>2004</v>
      </c>
      <c r="F695" t="s">
        <v>2115</v>
      </c>
      <c r="G695" t="s">
        <v>1106</v>
      </c>
    </row>
    <row r="696" spans="1:7" hidden="1" x14ac:dyDescent="0.25">
      <c r="A696" t="s">
        <v>4</v>
      </c>
      <c r="B696" t="s">
        <v>8</v>
      </c>
      <c r="E696" t="s">
        <v>2932</v>
      </c>
      <c r="F696" t="s">
        <v>2934</v>
      </c>
      <c r="G696" t="s">
        <v>1106</v>
      </c>
    </row>
    <row r="697" spans="1:7" hidden="1" x14ac:dyDescent="0.25">
      <c r="A697" t="s">
        <v>2004</v>
      </c>
      <c r="F697" t="s">
        <v>2118</v>
      </c>
      <c r="G697" t="s">
        <v>1106</v>
      </c>
    </row>
    <row r="698" spans="1:7" hidden="1" x14ac:dyDescent="0.25">
      <c r="A698" t="s">
        <v>2004</v>
      </c>
      <c r="F698" t="s">
        <v>2121</v>
      </c>
      <c r="G698" t="s">
        <v>1106</v>
      </c>
    </row>
    <row r="699" spans="1:7" hidden="1" x14ac:dyDescent="0.25">
      <c r="A699" t="s">
        <v>2004</v>
      </c>
      <c r="F699" t="s">
        <v>2124</v>
      </c>
      <c r="G699" t="s">
        <v>1106</v>
      </c>
    </row>
    <row r="700" spans="1:7" hidden="1" x14ac:dyDescent="0.25">
      <c r="A700" t="s">
        <v>2004</v>
      </c>
      <c r="F700" t="s">
        <v>2127</v>
      </c>
      <c r="G700" t="s">
        <v>1106</v>
      </c>
    </row>
    <row r="701" spans="1:7" hidden="1" x14ac:dyDescent="0.25">
      <c r="A701" t="s">
        <v>2004</v>
      </c>
      <c r="F701" t="s">
        <v>2130</v>
      </c>
      <c r="G701" t="s">
        <v>1106</v>
      </c>
    </row>
    <row r="702" spans="1:7" hidden="1" x14ac:dyDescent="0.25">
      <c r="A702" t="s">
        <v>11</v>
      </c>
      <c r="F702" t="s">
        <v>2154</v>
      </c>
      <c r="G702" t="s">
        <v>1107</v>
      </c>
    </row>
    <row r="703" spans="1:7" hidden="1" x14ac:dyDescent="0.25">
      <c r="A703" t="s">
        <v>11</v>
      </c>
      <c r="F703" t="s">
        <v>2157</v>
      </c>
      <c r="G703" t="s">
        <v>1107</v>
      </c>
    </row>
    <row r="704" spans="1:7" hidden="1" x14ac:dyDescent="0.25">
      <c r="A704" t="s">
        <v>11</v>
      </c>
      <c r="F704" t="s">
        <v>2160</v>
      </c>
      <c r="G704" t="s">
        <v>1107</v>
      </c>
    </row>
    <row r="705" spans="1:7" hidden="1" x14ac:dyDescent="0.25">
      <c r="A705" t="s">
        <v>11</v>
      </c>
      <c r="F705" t="s">
        <v>2163</v>
      </c>
      <c r="G705" t="s">
        <v>1107</v>
      </c>
    </row>
    <row r="706" spans="1:7" hidden="1" x14ac:dyDescent="0.25">
      <c r="A706" t="s">
        <v>11</v>
      </c>
      <c r="F706" t="s">
        <v>2166</v>
      </c>
      <c r="G706" t="s">
        <v>1107</v>
      </c>
    </row>
    <row r="707" spans="1:7" hidden="1" x14ac:dyDescent="0.25">
      <c r="A707" t="s">
        <v>11</v>
      </c>
      <c r="F707" t="s">
        <v>2169</v>
      </c>
      <c r="G707" t="s">
        <v>1107</v>
      </c>
    </row>
    <row r="708" spans="1:7" hidden="1" x14ac:dyDescent="0.25">
      <c r="A708" t="s">
        <v>11</v>
      </c>
      <c r="F708" t="s">
        <v>2172</v>
      </c>
      <c r="G708" t="s">
        <v>1107</v>
      </c>
    </row>
    <row r="709" spans="1:7" hidden="1" x14ac:dyDescent="0.25">
      <c r="A709" t="s">
        <v>11</v>
      </c>
      <c r="F709" t="s">
        <v>2175</v>
      </c>
      <c r="G709" t="s">
        <v>1107</v>
      </c>
    </row>
    <row r="710" spans="1:7" hidden="1" x14ac:dyDescent="0.25">
      <c r="A710" t="s">
        <v>11</v>
      </c>
      <c r="F710" t="s">
        <v>2178</v>
      </c>
      <c r="G710" t="s">
        <v>1107</v>
      </c>
    </row>
    <row r="711" spans="1:7" hidden="1" x14ac:dyDescent="0.25">
      <c r="A711" t="s">
        <v>4</v>
      </c>
      <c r="B711" t="s">
        <v>8</v>
      </c>
      <c r="E711" t="s">
        <v>1625</v>
      </c>
      <c r="F711" t="s">
        <v>2181</v>
      </c>
      <c r="G711" t="s">
        <v>1107</v>
      </c>
    </row>
    <row r="712" spans="1:7" hidden="1" x14ac:dyDescent="0.25">
      <c r="A712" t="s">
        <v>11</v>
      </c>
      <c r="F712" t="s">
        <v>2184</v>
      </c>
      <c r="G712" t="s">
        <v>1107</v>
      </c>
    </row>
    <row r="713" spans="1:7" hidden="1" x14ac:dyDescent="0.25">
      <c r="A713" t="s">
        <v>11</v>
      </c>
      <c r="F713" t="s">
        <v>2187</v>
      </c>
      <c r="G713" t="s">
        <v>1107</v>
      </c>
    </row>
    <row r="714" spans="1:7" hidden="1" x14ac:dyDescent="0.25">
      <c r="A714" t="s">
        <v>11</v>
      </c>
      <c r="F714" t="s">
        <v>2190</v>
      </c>
      <c r="G714" t="s">
        <v>1107</v>
      </c>
    </row>
    <row r="715" spans="1:7" hidden="1" x14ac:dyDescent="0.25">
      <c r="A715" t="s">
        <v>11</v>
      </c>
      <c r="F715" t="s">
        <v>2193</v>
      </c>
      <c r="G715" t="s">
        <v>1107</v>
      </c>
    </row>
    <row r="716" spans="1:7" hidden="1" x14ac:dyDescent="0.25">
      <c r="A716" t="s">
        <v>11</v>
      </c>
      <c r="F716" t="s">
        <v>2196</v>
      </c>
      <c r="G716" t="s">
        <v>1107</v>
      </c>
    </row>
    <row r="717" spans="1:7" hidden="1" x14ac:dyDescent="0.25">
      <c r="A717" t="s">
        <v>11</v>
      </c>
      <c r="F717" t="s">
        <v>2199</v>
      </c>
      <c r="G717" t="s">
        <v>1107</v>
      </c>
    </row>
    <row r="718" spans="1:7" hidden="1" x14ac:dyDescent="0.25">
      <c r="A718" t="s">
        <v>11</v>
      </c>
      <c r="F718" t="s">
        <v>2202</v>
      </c>
      <c r="G718" t="s">
        <v>1107</v>
      </c>
    </row>
    <row r="719" spans="1:7" hidden="1" x14ac:dyDescent="0.25">
      <c r="A719" t="s">
        <v>11</v>
      </c>
      <c r="F719" t="s">
        <v>2205</v>
      </c>
      <c r="G719" t="s">
        <v>1107</v>
      </c>
    </row>
    <row r="720" spans="1:7" hidden="1" x14ac:dyDescent="0.25">
      <c r="A720" t="s">
        <v>11</v>
      </c>
      <c r="F720" t="s">
        <v>2208</v>
      </c>
      <c r="G720" t="s">
        <v>1107</v>
      </c>
    </row>
    <row r="721" spans="1:7" hidden="1" x14ac:dyDescent="0.25">
      <c r="A721" t="s">
        <v>11</v>
      </c>
      <c r="F721" t="s">
        <v>2211</v>
      </c>
      <c r="G721" t="s">
        <v>1107</v>
      </c>
    </row>
    <row r="722" spans="1:7" hidden="1" x14ac:dyDescent="0.25">
      <c r="A722" t="s">
        <v>11</v>
      </c>
      <c r="F722" t="s">
        <v>2214</v>
      </c>
      <c r="G722" t="s">
        <v>1107</v>
      </c>
    </row>
    <row r="723" spans="1:7" hidden="1" x14ac:dyDescent="0.25">
      <c r="A723" t="s">
        <v>11</v>
      </c>
      <c r="F723" t="s">
        <v>2217</v>
      </c>
      <c r="G723" t="s">
        <v>1107</v>
      </c>
    </row>
    <row r="724" spans="1:7" hidden="1" x14ac:dyDescent="0.25">
      <c r="A724" t="s">
        <v>11</v>
      </c>
      <c r="F724" t="s">
        <v>2220</v>
      </c>
      <c r="G724" t="s">
        <v>1107</v>
      </c>
    </row>
    <row r="725" spans="1:7" hidden="1" x14ac:dyDescent="0.25">
      <c r="A725" t="s">
        <v>4</v>
      </c>
      <c r="B725" t="s">
        <v>8</v>
      </c>
      <c r="E725" t="s">
        <v>1625</v>
      </c>
      <c r="F725" t="s">
        <v>2223</v>
      </c>
      <c r="G725" t="s">
        <v>1107</v>
      </c>
    </row>
    <row r="726" spans="1:7" hidden="1" x14ac:dyDescent="0.25">
      <c r="A726" t="s">
        <v>2004</v>
      </c>
      <c r="F726" t="s">
        <v>2226</v>
      </c>
      <c r="G726" t="s">
        <v>1107</v>
      </c>
    </row>
    <row r="727" spans="1:7" hidden="1" x14ac:dyDescent="0.25">
      <c r="A727" t="s">
        <v>2004</v>
      </c>
      <c r="F727" t="s">
        <v>2229</v>
      </c>
      <c r="G727" t="s">
        <v>1107</v>
      </c>
    </row>
    <row r="728" spans="1:7" hidden="1" x14ac:dyDescent="0.25">
      <c r="A728" t="s">
        <v>4</v>
      </c>
      <c r="B728" t="s">
        <v>9</v>
      </c>
      <c r="E728" t="s">
        <v>2936</v>
      </c>
      <c r="F728" t="s">
        <v>2232</v>
      </c>
      <c r="G728" t="s">
        <v>796</v>
      </c>
    </row>
    <row r="729" spans="1:7" hidden="1" x14ac:dyDescent="0.25">
      <c r="A729" t="s">
        <v>4</v>
      </c>
      <c r="B729" t="s">
        <v>9</v>
      </c>
      <c r="E729" t="s">
        <v>2936</v>
      </c>
      <c r="F729" t="s">
        <v>2235</v>
      </c>
      <c r="G729" t="s">
        <v>796</v>
      </c>
    </row>
    <row r="730" spans="1:7" hidden="1" x14ac:dyDescent="0.25">
      <c r="A730" t="s">
        <v>4</v>
      </c>
      <c r="B730" t="s">
        <v>9</v>
      </c>
      <c r="E730" t="s">
        <v>2936</v>
      </c>
      <c r="F730" t="s">
        <v>2238</v>
      </c>
      <c r="G730" t="s">
        <v>796</v>
      </c>
    </row>
    <row r="731" spans="1:7" hidden="1" x14ac:dyDescent="0.25">
      <c r="A731" t="s">
        <v>2024</v>
      </c>
      <c r="B731" t="s">
        <v>796</v>
      </c>
      <c r="F731" t="s">
        <v>2241</v>
      </c>
      <c r="G731" t="s">
        <v>796</v>
      </c>
    </row>
    <row r="732" spans="1:7" hidden="1" x14ac:dyDescent="0.25">
      <c r="A732" t="s">
        <v>4</v>
      </c>
      <c r="B732" t="s">
        <v>9</v>
      </c>
      <c r="E732" t="s">
        <v>2936</v>
      </c>
      <c r="F732" t="s">
        <v>2244</v>
      </c>
      <c r="G732" t="s">
        <v>796</v>
      </c>
    </row>
    <row r="733" spans="1:7" hidden="1" x14ac:dyDescent="0.25">
      <c r="A733" t="s">
        <v>4</v>
      </c>
      <c r="B733" t="s">
        <v>9</v>
      </c>
      <c r="E733" t="s">
        <v>2936</v>
      </c>
      <c r="F733" t="s">
        <v>2247</v>
      </c>
      <c r="G733" t="s">
        <v>796</v>
      </c>
    </row>
    <row r="734" spans="1:7" hidden="1" x14ac:dyDescent="0.25">
      <c r="A734" t="s">
        <v>2024</v>
      </c>
      <c r="B734" t="s">
        <v>796</v>
      </c>
      <c r="F734" t="s">
        <v>2250</v>
      </c>
      <c r="G734" t="s">
        <v>796</v>
      </c>
    </row>
    <row r="735" spans="1:7" hidden="1" x14ac:dyDescent="0.25">
      <c r="A735" t="s">
        <v>2024</v>
      </c>
      <c r="B735" t="s">
        <v>796</v>
      </c>
      <c r="F735" t="s">
        <v>2253</v>
      </c>
      <c r="G735" t="s">
        <v>796</v>
      </c>
    </row>
    <row r="736" spans="1:7" hidden="1" x14ac:dyDescent="0.25">
      <c r="A736" t="s">
        <v>2024</v>
      </c>
      <c r="B736" t="s">
        <v>796</v>
      </c>
      <c r="F736" t="s">
        <v>2256</v>
      </c>
      <c r="G736" t="s">
        <v>796</v>
      </c>
    </row>
    <row r="737" spans="1:7" hidden="1" x14ac:dyDescent="0.25">
      <c r="A737" t="s">
        <v>4</v>
      </c>
      <c r="B737" t="s">
        <v>9</v>
      </c>
      <c r="E737" t="s">
        <v>2936</v>
      </c>
      <c r="F737" t="s">
        <v>2259</v>
      </c>
      <c r="G737" t="s">
        <v>796</v>
      </c>
    </row>
    <row r="738" spans="1:7" hidden="1" x14ac:dyDescent="0.25">
      <c r="A738" t="s">
        <v>4</v>
      </c>
      <c r="B738" t="s">
        <v>9</v>
      </c>
      <c r="E738" t="s">
        <v>2936</v>
      </c>
      <c r="F738" t="s">
        <v>2262</v>
      </c>
      <c r="G738" t="s">
        <v>796</v>
      </c>
    </row>
    <row r="739" spans="1:7" hidden="1" x14ac:dyDescent="0.25">
      <c r="A739" t="s">
        <v>4</v>
      </c>
      <c r="B739" t="s">
        <v>9</v>
      </c>
      <c r="E739" t="s">
        <v>2936</v>
      </c>
      <c r="F739" t="s">
        <v>2265</v>
      </c>
      <c r="G739" t="s">
        <v>796</v>
      </c>
    </row>
    <row r="740" spans="1:7" hidden="1" x14ac:dyDescent="0.25">
      <c r="A740" t="s">
        <v>4</v>
      </c>
      <c r="B740" t="s">
        <v>9</v>
      </c>
      <c r="E740" t="s">
        <v>2936</v>
      </c>
      <c r="F740" t="s">
        <v>2268</v>
      </c>
      <c r="G740" t="s">
        <v>796</v>
      </c>
    </row>
    <row r="741" spans="1:7" hidden="1" x14ac:dyDescent="0.25">
      <c r="A741" t="s">
        <v>2024</v>
      </c>
      <c r="B741" t="s">
        <v>1304</v>
      </c>
      <c r="F741" t="s">
        <v>2271</v>
      </c>
      <c r="G741" t="s">
        <v>796</v>
      </c>
    </row>
    <row r="742" spans="1:7" hidden="1" x14ac:dyDescent="0.25">
      <c r="A742" t="s">
        <v>4</v>
      </c>
      <c r="B742" t="s">
        <v>9</v>
      </c>
      <c r="E742" t="s">
        <v>2936</v>
      </c>
      <c r="F742" t="s">
        <v>2274</v>
      </c>
      <c r="G742" t="s">
        <v>796</v>
      </c>
    </row>
    <row r="743" spans="1:7" hidden="1" x14ac:dyDescent="0.25">
      <c r="A743" t="s">
        <v>4</v>
      </c>
      <c r="B743" t="s">
        <v>9</v>
      </c>
      <c r="E743" t="s">
        <v>2936</v>
      </c>
      <c r="F743" t="s">
        <v>2277</v>
      </c>
      <c r="G743" t="s">
        <v>796</v>
      </c>
    </row>
    <row r="744" spans="1:7" hidden="1" x14ac:dyDescent="0.25">
      <c r="A744" t="s">
        <v>2024</v>
      </c>
      <c r="B744" t="s">
        <v>1304</v>
      </c>
      <c r="F744" t="s">
        <v>2280</v>
      </c>
      <c r="G744" t="s">
        <v>796</v>
      </c>
    </row>
    <row r="745" spans="1:7" hidden="1" x14ac:dyDescent="0.25">
      <c r="A745" t="s">
        <v>4</v>
      </c>
      <c r="B745" t="s">
        <v>9</v>
      </c>
      <c r="E745" t="s">
        <v>2936</v>
      </c>
      <c r="F745" t="s">
        <v>2283</v>
      </c>
      <c r="G745" t="s">
        <v>796</v>
      </c>
    </row>
    <row r="746" spans="1:7" hidden="1" x14ac:dyDescent="0.25">
      <c r="A746" t="s">
        <v>4</v>
      </c>
      <c r="B746" t="s">
        <v>9</v>
      </c>
      <c r="E746" t="s">
        <v>2936</v>
      </c>
      <c r="F746" t="s">
        <v>2286</v>
      </c>
      <c r="G746" t="s">
        <v>796</v>
      </c>
    </row>
    <row r="747" spans="1:7" hidden="1" x14ac:dyDescent="0.25">
      <c r="A747" t="s">
        <v>4</v>
      </c>
      <c r="B747" t="s">
        <v>9</v>
      </c>
      <c r="E747" t="s">
        <v>2936</v>
      </c>
      <c r="F747" t="s">
        <v>2289</v>
      </c>
      <c r="G747" t="s">
        <v>796</v>
      </c>
    </row>
    <row r="748" spans="1:7" hidden="1" x14ac:dyDescent="0.25">
      <c r="A748" t="s">
        <v>4</v>
      </c>
      <c r="B748" t="s">
        <v>9</v>
      </c>
      <c r="E748" t="s">
        <v>2936</v>
      </c>
      <c r="F748" t="s">
        <v>2292</v>
      </c>
      <c r="G748" t="s">
        <v>796</v>
      </c>
    </row>
    <row r="749" spans="1:7" hidden="1" x14ac:dyDescent="0.25">
      <c r="A749" t="s">
        <v>4</v>
      </c>
      <c r="B749" t="s">
        <v>9</v>
      </c>
      <c r="E749" t="s">
        <v>2936</v>
      </c>
      <c r="F749" t="s">
        <v>2295</v>
      </c>
      <c r="G749" t="s">
        <v>796</v>
      </c>
    </row>
    <row r="750" spans="1:7" hidden="1" x14ac:dyDescent="0.25">
      <c r="A750" t="s">
        <v>4</v>
      </c>
      <c r="B750" t="s">
        <v>9</v>
      </c>
      <c r="E750" t="s">
        <v>2936</v>
      </c>
      <c r="F750" t="s">
        <v>2298</v>
      </c>
      <c r="G750" t="s">
        <v>796</v>
      </c>
    </row>
    <row r="751" spans="1:7" hidden="1" x14ac:dyDescent="0.25">
      <c r="A751" t="s">
        <v>4</v>
      </c>
      <c r="B751" t="s">
        <v>9</v>
      </c>
      <c r="E751" t="s">
        <v>2936</v>
      </c>
      <c r="F751" t="s">
        <v>2301</v>
      </c>
      <c r="G751" t="s">
        <v>796</v>
      </c>
    </row>
    <row r="752" spans="1:7" hidden="1" x14ac:dyDescent="0.25">
      <c r="A752" t="s">
        <v>2024</v>
      </c>
      <c r="B752" t="s">
        <v>796</v>
      </c>
      <c r="F752" t="s">
        <v>2304</v>
      </c>
      <c r="G752" t="s">
        <v>796</v>
      </c>
    </row>
    <row r="753" spans="1:7" hidden="1" x14ac:dyDescent="0.25">
      <c r="A753" t="s">
        <v>793</v>
      </c>
      <c r="B753" t="s">
        <v>531</v>
      </c>
      <c r="F753" t="s">
        <v>2307</v>
      </c>
      <c r="G753" t="s">
        <v>796</v>
      </c>
    </row>
    <row r="754" spans="1:7" hidden="1" x14ac:dyDescent="0.25">
      <c r="A754" t="s">
        <v>2004</v>
      </c>
      <c r="B754" t="s">
        <v>8</v>
      </c>
      <c r="F754" t="s">
        <v>2310</v>
      </c>
      <c r="G754" t="s">
        <v>796</v>
      </c>
    </row>
    <row r="755" spans="1:7" hidden="1" x14ac:dyDescent="0.25">
      <c r="A755" t="s">
        <v>4</v>
      </c>
      <c r="B755" t="s">
        <v>9</v>
      </c>
      <c r="E755" t="s">
        <v>2936</v>
      </c>
      <c r="F755" t="s">
        <v>2313</v>
      </c>
      <c r="G755" t="s">
        <v>796</v>
      </c>
    </row>
    <row r="756" spans="1:7" hidden="1" x14ac:dyDescent="0.25">
      <c r="A756" t="s">
        <v>4</v>
      </c>
      <c r="B756" t="s">
        <v>9</v>
      </c>
      <c r="E756" t="s">
        <v>2936</v>
      </c>
      <c r="F756" t="s">
        <v>2316</v>
      </c>
      <c r="G756" t="s">
        <v>796</v>
      </c>
    </row>
    <row r="757" spans="1:7" hidden="1" x14ac:dyDescent="0.25">
      <c r="A757" t="s">
        <v>4</v>
      </c>
      <c r="B757" t="s">
        <v>9</v>
      </c>
      <c r="E757" t="s">
        <v>2936</v>
      </c>
      <c r="F757" t="s">
        <v>2319</v>
      </c>
      <c r="G757" t="s">
        <v>796</v>
      </c>
    </row>
    <row r="758" spans="1:7" hidden="1" x14ac:dyDescent="0.25">
      <c r="A758" t="s">
        <v>2024</v>
      </c>
      <c r="B758" t="s">
        <v>796</v>
      </c>
      <c r="F758" t="s">
        <v>2322</v>
      </c>
      <c r="G758" t="s">
        <v>796</v>
      </c>
    </row>
    <row r="759" spans="1:7" hidden="1" x14ac:dyDescent="0.25">
      <c r="A759" t="s">
        <v>2937</v>
      </c>
      <c r="B759" t="s">
        <v>531</v>
      </c>
      <c r="C759" t="s">
        <v>2938</v>
      </c>
      <c r="F759" t="s">
        <v>2325</v>
      </c>
      <c r="G759" t="s">
        <v>796</v>
      </c>
    </row>
    <row r="760" spans="1:7" hidden="1" x14ac:dyDescent="0.25">
      <c r="A760" t="s">
        <v>4</v>
      </c>
      <c r="B760" t="s">
        <v>9</v>
      </c>
      <c r="E760" t="s">
        <v>2936</v>
      </c>
      <c r="F760" t="s">
        <v>2328</v>
      </c>
      <c r="G760" t="s">
        <v>796</v>
      </c>
    </row>
    <row r="761" spans="1:7" hidden="1" x14ac:dyDescent="0.25">
      <c r="A761" t="s">
        <v>4</v>
      </c>
      <c r="B761" t="s">
        <v>9</v>
      </c>
      <c r="E761" t="s">
        <v>2936</v>
      </c>
      <c r="F761" t="s">
        <v>2331</v>
      </c>
      <c r="G761" t="s">
        <v>796</v>
      </c>
    </row>
    <row r="762" spans="1:7" hidden="1" x14ac:dyDescent="0.25">
      <c r="A762" t="s">
        <v>2004</v>
      </c>
      <c r="B762" t="s">
        <v>8</v>
      </c>
      <c r="F762" t="s">
        <v>2334</v>
      </c>
      <c r="G762" t="s">
        <v>796</v>
      </c>
    </row>
    <row r="763" spans="1:7" hidden="1" x14ac:dyDescent="0.25">
      <c r="A763" t="s">
        <v>4</v>
      </c>
      <c r="B763" t="s">
        <v>9</v>
      </c>
      <c r="E763" t="s">
        <v>2004</v>
      </c>
      <c r="F763" t="s">
        <v>2337</v>
      </c>
      <c r="G763" t="s">
        <v>796</v>
      </c>
    </row>
    <row r="764" spans="1:7" hidden="1" x14ac:dyDescent="0.25">
      <c r="A764" t="s">
        <v>4</v>
      </c>
      <c r="B764" t="s">
        <v>9</v>
      </c>
      <c r="F764" t="s">
        <v>2340</v>
      </c>
      <c r="G764" t="s">
        <v>1100</v>
      </c>
    </row>
    <row r="765" spans="1:7" hidden="1" x14ac:dyDescent="0.25">
      <c r="A765" t="s">
        <v>4</v>
      </c>
      <c r="B765" t="s">
        <v>9</v>
      </c>
      <c r="E765" t="s">
        <v>2936</v>
      </c>
      <c r="F765" t="s">
        <v>2343</v>
      </c>
      <c r="G765" t="s">
        <v>1100</v>
      </c>
    </row>
    <row r="766" spans="1:7" hidden="1" x14ac:dyDescent="0.25">
      <c r="A766" t="s">
        <v>4</v>
      </c>
      <c r="B766" t="s">
        <v>9</v>
      </c>
      <c r="E766" t="s">
        <v>2936</v>
      </c>
      <c r="F766" t="s">
        <v>2346</v>
      </c>
      <c r="G766" t="s">
        <v>1100</v>
      </c>
    </row>
    <row r="767" spans="1:7" hidden="1" x14ac:dyDescent="0.25">
      <c r="A767" t="s">
        <v>4</v>
      </c>
      <c r="B767" t="s">
        <v>9</v>
      </c>
      <c r="E767" t="s">
        <v>2936</v>
      </c>
      <c r="F767" t="s">
        <v>2349</v>
      </c>
      <c r="G767" t="s">
        <v>1100</v>
      </c>
    </row>
    <row r="768" spans="1:7" hidden="1" x14ac:dyDescent="0.25">
      <c r="A768" t="s">
        <v>4</v>
      </c>
      <c r="B768" t="s">
        <v>9</v>
      </c>
      <c r="E768" t="s">
        <v>2936</v>
      </c>
      <c r="F768" t="s">
        <v>2352</v>
      </c>
      <c r="G768" t="s">
        <v>1100</v>
      </c>
    </row>
    <row r="769" spans="1:7" hidden="1" x14ac:dyDescent="0.25">
      <c r="A769" t="s">
        <v>2939</v>
      </c>
      <c r="B769" t="s">
        <v>2940</v>
      </c>
      <c r="C769" t="s">
        <v>2929</v>
      </c>
      <c r="D769">
        <v>1</v>
      </c>
      <c r="E769" t="s">
        <v>2941</v>
      </c>
      <c r="F769" t="s">
        <v>2355</v>
      </c>
      <c r="G769" t="s">
        <v>1100</v>
      </c>
    </row>
    <row r="770" spans="1:7" hidden="1" x14ac:dyDescent="0.25">
      <c r="A770" t="s">
        <v>2939</v>
      </c>
      <c r="B770" t="s">
        <v>2940</v>
      </c>
      <c r="C770" t="s">
        <v>2929</v>
      </c>
      <c r="D770">
        <v>1</v>
      </c>
      <c r="E770" t="s">
        <v>2941</v>
      </c>
      <c r="F770" t="s">
        <v>2358</v>
      </c>
      <c r="G770" t="s">
        <v>1100</v>
      </c>
    </row>
    <row r="771" spans="1:7" hidden="1" x14ac:dyDescent="0.25">
      <c r="A771" t="s">
        <v>2939</v>
      </c>
      <c r="B771" t="s">
        <v>2940</v>
      </c>
      <c r="C771" t="s">
        <v>2929</v>
      </c>
      <c r="D771">
        <v>1</v>
      </c>
      <c r="E771" t="s">
        <v>2941</v>
      </c>
      <c r="F771" t="s">
        <v>2361</v>
      </c>
      <c r="G771" t="s">
        <v>1100</v>
      </c>
    </row>
    <row r="772" spans="1:7" hidden="1" x14ac:dyDescent="0.25">
      <c r="A772" t="s">
        <v>2939</v>
      </c>
      <c r="B772" t="s">
        <v>2940</v>
      </c>
      <c r="C772" t="s">
        <v>2929</v>
      </c>
      <c r="D772">
        <v>1</v>
      </c>
      <c r="E772" t="s">
        <v>2941</v>
      </c>
      <c r="F772" t="s">
        <v>2364</v>
      </c>
      <c r="G772" t="s">
        <v>1100</v>
      </c>
    </row>
    <row r="773" spans="1:7" hidden="1" x14ac:dyDescent="0.25">
      <c r="A773" t="s">
        <v>2939</v>
      </c>
      <c r="B773" t="s">
        <v>2940</v>
      </c>
      <c r="C773" t="s">
        <v>2929</v>
      </c>
      <c r="D773">
        <v>1</v>
      </c>
      <c r="E773" t="s">
        <v>2941</v>
      </c>
      <c r="F773" t="s">
        <v>2367</v>
      </c>
      <c r="G773" t="s">
        <v>1100</v>
      </c>
    </row>
    <row r="774" spans="1:7" hidden="1" x14ac:dyDescent="0.25">
      <c r="A774" t="s">
        <v>2939</v>
      </c>
      <c r="B774" t="s">
        <v>2940</v>
      </c>
      <c r="C774" t="s">
        <v>2929</v>
      </c>
      <c r="D774">
        <v>1</v>
      </c>
      <c r="E774" t="s">
        <v>2941</v>
      </c>
      <c r="F774" t="s">
        <v>2370</v>
      </c>
      <c r="G774" t="s">
        <v>1100</v>
      </c>
    </row>
    <row r="775" spans="1:7" hidden="1" x14ac:dyDescent="0.25">
      <c r="A775" t="s">
        <v>2939</v>
      </c>
      <c r="B775" t="s">
        <v>2940</v>
      </c>
      <c r="C775" t="s">
        <v>2929</v>
      </c>
      <c r="D775">
        <v>1</v>
      </c>
      <c r="E775" t="s">
        <v>2941</v>
      </c>
      <c r="F775" t="s">
        <v>2373</v>
      </c>
      <c r="G775" t="s">
        <v>1100</v>
      </c>
    </row>
    <row r="776" spans="1:7" hidden="1" x14ac:dyDescent="0.25">
      <c r="A776" t="s">
        <v>2939</v>
      </c>
      <c r="B776" t="s">
        <v>2940</v>
      </c>
      <c r="C776" t="s">
        <v>2929</v>
      </c>
      <c r="D776">
        <v>1</v>
      </c>
      <c r="E776" t="s">
        <v>2941</v>
      </c>
      <c r="F776" t="s">
        <v>2376</v>
      </c>
      <c r="G776" t="s">
        <v>1100</v>
      </c>
    </row>
    <row r="777" spans="1:7" hidden="1" x14ac:dyDescent="0.25">
      <c r="A777" t="s">
        <v>4</v>
      </c>
      <c r="B777" t="s">
        <v>9</v>
      </c>
      <c r="F777" t="s">
        <v>2379</v>
      </c>
      <c r="G777" t="s">
        <v>1100</v>
      </c>
    </row>
    <row r="778" spans="1:7" hidden="1" x14ac:dyDescent="0.25">
      <c r="A778" t="s">
        <v>4</v>
      </c>
      <c r="B778" t="s">
        <v>9</v>
      </c>
      <c r="E778" t="s">
        <v>2936</v>
      </c>
      <c r="F778" t="s">
        <v>2382</v>
      </c>
      <c r="G778" t="s">
        <v>1100</v>
      </c>
    </row>
    <row r="779" spans="1:7" hidden="1" x14ac:dyDescent="0.25">
      <c r="A779" t="s">
        <v>2024</v>
      </c>
      <c r="B779" t="s">
        <v>1304</v>
      </c>
      <c r="F779" t="s">
        <v>2385</v>
      </c>
      <c r="G779" t="s">
        <v>1100</v>
      </c>
    </row>
    <row r="780" spans="1:7" hidden="1" x14ac:dyDescent="0.25">
      <c r="A780" t="s">
        <v>4</v>
      </c>
      <c r="B780" t="s">
        <v>9</v>
      </c>
      <c r="E780" t="s">
        <v>2936</v>
      </c>
      <c r="F780" t="s">
        <v>2388</v>
      </c>
      <c r="G780" t="s">
        <v>1100</v>
      </c>
    </row>
    <row r="781" spans="1:7" hidden="1" x14ac:dyDescent="0.25">
      <c r="A781" t="s">
        <v>4</v>
      </c>
      <c r="B781" t="s">
        <v>9</v>
      </c>
      <c r="E781" t="s">
        <v>2936</v>
      </c>
      <c r="F781" t="s">
        <v>2391</v>
      </c>
      <c r="G781" t="s">
        <v>1100</v>
      </c>
    </row>
    <row r="782" spans="1:7" hidden="1" x14ac:dyDescent="0.25">
      <c r="A782" t="s">
        <v>4</v>
      </c>
      <c r="B782" t="s">
        <v>9</v>
      </c>
      <c r="E782" t="s">
        <v>2936</v>
      </c>
      <c r="F782" t="s">
        <v>2394</v>
      </c>
      <c r="G782" t="s">
        <v>1100</v>
      </c>
    </row>
    <row r="783" spans="1:7" hidden="1" x14ac:dyDescent="0.25">
      <c r="A783" t="s">
        <v>4</v>
      </c>
      <c r="B783" t="s">
        <v>9</v>
      </c>
      <c r="E783" t="s">
        <v>2936</v>
      </c>
      <c r="F783" t="s">
        <v>2397</v>
      </c>
      <c r="G783" t="s">
        <v>1100</v>
      </c>
    </row>
    <row r="784" spans="1:7" hidden="1" x14ac:dyDescent="0.25">
      <c r="A784" t="s">
        <v>4</v>
      </c>
      <c r="B784" t="s">
        <v>9</v>
      </c>
      <c r="F784" t="s">
        <v>2400</v>
      </c>
      <c r="G784" t="s">
        <v>1100</v>
      </c>
    </row>
    <row r="785" spans="1:7" hidden="1" x14ac:dyDescent="0.25">
      <c r="A785" t="s">
        <v>1091</v>
      </c>
      <c r="B785" t="s">
        <v>1607</v>
      </c>
      <c r="C785" t="s">
        <v>58</v>
      </c>
      <c r="F785" t="s">
        <v>2403</v>
      </c>
      <c r="G785" t="s">
        <v>1100</v>
      </c>
    </row>
    <row r="786" spans="1:7" hidden="1" x14ac:dyDescent="0.25">
      <c r="A786" t="s">
        <v>1091</v>
      </c>
      <c r="B786" t="s">
        <v>1607</v>
      </c>
      <c r="C786" t="s">
        <v>58</v>
      </c>
      <c r="F786" t="s">
        <v>2406</v>
      </c>
      <c r="G786" t="s">
        <v>1100</v>
      </c>
    </row>
    <row r="787" spans="1:7" hidden="1" x14ac:dyDescent="0.25">
      <c r="A787" t="s">
        <v>1091</v>
      </c>
      <c r="B787" t="s">
        <v>1607</v>
      </c>
      <c r="C787" t="s">
        <v>58</v>
      </c>
      <c r="F787" t="s">
        <v>2409</v>
      </c>
      <c r="G787" t="s">
        <v>1100</v>
      </c>
    </row>
    <row r="788" spans="1:7" hidden="1" x14ac:dyDescent="0.25">
      <c r="A788" t="s">
        <v>1091</v>
      </c>
      <c r="B788" t="s">
        <v>1607</v>
      </c>
      <c r="C788" t="s">
        <v>58</v>
      </c>
      <c r="F788" t="s">
        <v>2412</v>
      </c>
      <c r="G788" t="s">
        <v>1100</v>
      </c>
    </row>
    <row r="789" spans="1:7" hidden="1" x14ac:dyDescent="0.25">
      <c r="A789" t="s">
        <v>2943</v>
      </c>
      <c r="E789" t="s">
        <v>2942</v>
      </c>
      <c r="F789" t="s">
        <v>2415</v>
      </c>
      <c r="G789" t="s">
        <v>1100</v>
      </c>
    </row>
    <row r="790" spans="1:7" hidden="1" x14ac:dyDescent="0.25">
      <c r="A790" t="s">
        <v>1091</v>
      </c>
      <c r="B790" t="s">
        <v>1607</v>
      </c>
      <c r="C790" t="s">
        <v>2951</v>
      </c>
      <c r="F790" t="s">
        <v>2418</v>
      </c>
      <c r="G790" t="s">
        <v>1100</v>
      </c>
    </row>
    <row r="791" spans="1:7" hidden="1" x14ac:dyDescent="0.25">
      <c r="A791" t="s">
        <v>4</v>
      </c>
      <c r="B791" t="s">
        <v>9</v>
      </c>
      <c r="F791" t="s">
        <v>2421</v>
      </c>
      <c r="G791" t="s">
        <v>1100</v>
      </c>
    </row>
    <row r="792" spans="1:7" hidden="1" x14ac:dyDescent="0.25">
      <c r="A792" t="s">
        <v>1091</v>
      </c>
      <c r="B792" t="s">
        <v>1607</v>
      </c>
      <c r="C792" t="s">
        <v>58</v>
      </c>
      <c r="F792" t="s">
        <v>2424</v>
      </c>
      <c r="G792" t="s">
        <v>1100</v>
      </c>
    </row>
    <row r="793" spans="1:7" hidden="1" x14ac:dyDescent="0.25">
      <c r="A793" t="s">
        <v>1091</v>
      </c>
      <c r="B793" t="s">
        <v>1607</v>
      </c>
      <c r="C793" t="s">
        <v>58</v>
      </c>
      <c r="F793" t="s">
        <v>2427</v>
      </c>
      <c r="G793" t="s">
        <v>1100</v>
      </c>
    </row>
    <row r="794" spans="1:7" hidden="1" x14ac:dyDescent="0.25">
      <c r="A794" t="s">
        <v>1091</v>
      </c>
      <c r="B794" t="s">
        <v>1607</v>
      </c>
      <c r="C794" t="s">
        <v>58</v>
      </c>
      <c r="E794" t="s">
        <v>2936</v>
      </c>
      <c r="F794" t="s">
        <v>2430</v>
      </c>
      <c r="G794" t="s">
        <v>1100</v>
      </c>
    </row>
    <row r="795" spans="1:7" hidden="1" x14ac:dyDescent="0.25">
      <c r="A795" t="s">
        <v>4</v>
      </c>
      <c r="B795" t="s">
        <v>9</v>
      </c>
      <c r="E795" t="s">
        <v>2936</v>
      </c>
      <c r="F795" t="s">
        <v>2433</v>
      </c>
      <c r="G795" t="s">
        <v>1100</v>
      </c>
    </row>
    <row r="796" spans="1:7" hidden="1" x14ac:dyDescent="0.25">
      <c r="A796" t="s">
        <v>4</v>
      </c>
      <c r="B796" t="s">
        <v>9</v>
      </c>
      <c r="E796" t="s">
        <v>2936</v>
      </c>
      <c r="F796" t="s">
        <v>2436</v>
      </c>
      <c r="G796" t="s">
        <v>1100</v>
      </c>
    </row>
    <row r="797" spans="1:7" hidden="1" x14ac:dyDescent="0.25">
      <c r="A797" t="s">
        <v>4</v>
      </c>
      <c r="B797" t="s">
        <v>9</v>
      </c>
      <c r="E797" t="s">
        <v>2936</v>
      </c>
      <c r="F797" t="s">
        <v>2439</v>
      </c>
      <c r="G797" t="s">
        <v>1100</v>
      </c>
    </row>
    <row r="798" spans="1:7" hidden="1" x14ac:dyDescent="0.25">
      <c r="A798" t="s">
        <v>4</v>
      </c>
      <c r="B798" t="s">
        <v>9</v>
      </c>
      <c r="E798" t="s">
        <v>2936</v>
      </c>
      <c r="F798" t="s">
        <v>2442</v>
      </c>
      <c r="G798" t="s">
        <v>1100</v>
      </c>
    </row>
    <row r="799" spans="1:7" hidden="1" x14ac:dyDescent="0.25">
      <c r="A799" t="s">
        <v>4</v>
      </c>
      <c r="B799" t="s">
        <v>9</v>
      </c>
      <c r="E799" t="s">
        <v>2936</v>
      </c>
      <c r="F799" t="s">
        <v>2445</v>
      </c>
      <c r="G799" t="s">
        <v>1100</v>
      </c>
    </row>
    <row r="800" spans="1:7" hidden="1" x14ac:dyDescent="0.25">
      <c r="A800" t="s">
        <v>4</v>
      </c>
      <c r="B800" t="s">
        <v>9</v>
      </c>
      <c r="E800" t="s">
        <v>2936</v>
      </c>
      <c r="F800" t="s">
        <v>2448</v>
      </c>
      <c r="G800" t="s">
        <v>1100</v>
      </c>
    </row>
    <row r="801" spans="1:7" hidden="1" x14ac:dyDescent="0.25">
      <c r="A801" t="s">
        <v>4</v>
      </c>
      <c r="B801" t="s">
        <v>9</v>
      </c>
      <c r="E801" t="s">
        <v>2936</v>
      </c>
      <c r="F801" t="s">
        <v>2451</v>
      </c>
      <c r="G801" t="s">
        <v>1100</v>
      </c>
    </row>
    <row r="802" spans="1:7" hidden="1" x14ac:dyDescent="0.25">
      <c r="A802" t="s">
        <v>4</v>
      </c>
      <c r="B802" t="s">
        <v>9</v>
      </c>
      <c r="E802" t="s">
        <v>2936</v>
      </c>
      <c r="F802" t="s">
        <v>2454</v>
      </c>
      <c r="G802" t="s">
        <v>1100</v>
      </c>
    </row>
    <row r="803" spans="1:7" hidden="1" x14ac:dyDescent="0.25">
      <c r="A803" t="s">
        <v>1091</v>
      </c>
      <c r="B803" t="s">
        <v>1607</v>
      </c>
      <c r="C803" t="s">
        <v>2944</v>
      </c>
      <c r="F803" t="s">
        <v>2457</v>
      </c>
      <c r="G803" t="s">
        <v>1100</v>
      </c>
    </row>
    <row r="804" spans="1:7" hidden="1" x14ac:dyDescent="0.25">
      <c r="A804" t="s">
        <v>1091</v>
      </c>
      <c r="B804" t="s">
        <v>2940</v>
      </c>
      <c r="C804" t="s">
        <v>2944</v>
      </c>
      <c r="F804" t="s">
        <v>2460</v>
      </c>
      <c r="G804" t="s">
        <v>1100</v>
      </c>
    </row>
    <row r="805" spans="1:7" hidden="1" x14ac:dyDescent="0.25">
      <c r="A805" t="s">
        <v>1091</v>
      </c>
      <c r="B805" t="s">
        <v>1607</v>
      </c>
      <c r="C805" t="s">
        <v>1093</v>
      </c>
      <c r="F805" t="s">
        <v>2463</v>
      </c>
      <c r="G805" t="s">
        <v>1100</v>
      </c>
    </row>
    <row r="806" spans="1:7" hidden="1" x14ac:dyDescent="0.25">
      <c r="A806" t="s">
        <v>4</v>
      </c>
      <c r="B806" t="s">
        <v>9</v>
      </c>
      <c r="F806" t="s">
        <v>2466</v>
      </c>
      <c r="G806" t="s">
        <v>1100</v>
      </c>
    </row>
    <row r="807" spans="1:7" hidden="1" x14ac:dyDescent="0.25">
      <c r="A807" t="s">
        <v>2945</v>
      </c>
      <c r="B807" t="s">
        <v>1607</v>
      </c>
      <c r="F807" t="s">
        <v>2469</v>
      </c>
      <c r="G807" t="s">
        <v>1100</v>
      </c>
    </row>
    <row r="808" spans="1:7" hidden="1" x14ac:dyDescent="0.25">
      <c r="A808" t="s">
        <v>2946</v>
      </c>
      <c r="B808" t="s">
        <v>1607</v>
      </c>
      <c r="F808" t="s">
        <v>2472</v>
      </c>
      <c r="G808" t="s">
        <v>1100</v>
      </c>
    </row>
    <row r="809" spans="1:7" hidden="1" x14ac:dyDescent="0.25">
      <c r="A809" t="s">
        <v>4</v>
      </c>
      <c r="B809" t="s">
        <v>9</v>
      </c>
      <c r="F809" t="s">
        <v>2475</v>
      </c>
      <c r="G809" t="s">
        <v>1100</v>
      </c>
    </row>
    <row r="810" spans="1:7" hidden="1" x14ac:dyDescent="0.25">
      <c r="A810" t="s">
        <v>4</v>
      </c>
      <c r="B810" t="s">
        <v>9</v>
      </c>
      <c r="E810" t="s">
        <v>2936</v>
      </c>
      <c r="F810" t="s">
        <v>2478</v>
      </c>
      <c r="G810" t="s">
        <v>1100</v>
      </c>
    </row>
    <row r="811" spans="1:7" hidden="1" x14ac:dyDescent="0.25">
      <c r="A811" t="s">
        <v>4</v>
      </c>
      <c r="B811" t="s">
        <v>9</v>
      </c>
      <c r="E811" t="s">
        <v>2936</v>
      </c>
      <c r="F811" t="s">
        <v>2481</v>
      </c>
      <c r="G811" t="s">
        <v>1100</v>
      </c>
    </row>
    <row r="812" spans="1:7" hidden="1" x14ac:dyDescent="0.25">
      <c r="A812" t="s">
        <v>1091</v>
      </c>
      <c r="B812" t="s">
        <v>1607</v>
      </c>
      <c r="C812" t="s">
        <v>58</v>
      </c>
      <c r="F812" t="s">
        <v>2484</v>
      </c>
      <c r="G812" t="s">
        <v>1100</v>
      </c>
    </row>
    <row r="813" spans="1:7" hidden="1" x14ac:dyDescent="0.25">
      <c r="A813" t="s">
        <v>4</v>
      </c>
      <c r="B813" t="s">
        <v>9</v>
      </c>
      <c r="E813" t="s">
        <v>2936</v>
      </c>
      <c r="F813" t="s">
        <v>2487</v>
      </c>
      <c r="G813" t="s">
        <v>1100</v>
      </c>
    </row>
    <row r="814" spans="1:7" hidden="1" x14ac:dyDescent="0.25">
      <c r="A814" t="s">
        <v>4</v>
      </c>
      <c r="B814" t="s">
        <v>9</v>
      </c>
      <c r="E814" t="s">
        <v>2936</v>
      </c>
      <c r="F814" t="s">
        <v>2490</v>
      </c>
      <c r="G814" t="s">
        <v>1100</v>
      </c>
    </row>
    <row r="815" spans="1:7" hidden="1" x14ac:dyDescent="0.25">
      <c r="A815" t="s">
        <v>4</v>
      </c>
      <c r="B815" t="s">
        <v>2947</v>
      </c>
      <c r="F815" t="s">
        <v>2493</v>
      </c>
      <c r="G815" t="s">
        <v>1100</v>
      </c>
    </row>
    <row r="816" spans="1:7" hidden="1" x14ac:dyDescent="0.25">
      <c r="A816" t="s">
        <v>4</v>
      </c>
      <c r="B816" t="s">
        <v>9</v>
      </c>
      <c r="F816" t="s">
        <v>2496</v>
      </c>
      <c r="G816" t="s">
        <v>1100</v>
      </c>
    </row>
    <row r="817" spans="1:7" hidden="1" x14ac:dyDescent="0.25">
      <c r="A817" t="s">
        <v>1091</v>
      </c>
      <c r="B817" t="s">
        <v>2940</v>
      </c>
      <c r="C817" t="s">
        <v>58</v>
      </c>
      <c r="F817" t="s">
        <v>2499</v>
      </c>
      <c r="G817" t="s">
        <v>1100</v>
      </c>
    </row>
    <row r="818" spans="1:7" hidden="1" x14ac:dyDescent="0.25">
      <c r="A818" t="s">
        <v>4</v>
      </c>
      <c r="B818" t="s">
        <v>9</v>
      </c>
      <c r="E818" t="s">
        <v>2936</v>
      </c>
      <c r="F818" t="s">
        <v>2502</v>
      </c>
      <c r="G818" t="s">
        <v>1100</v>
      </c>
    </row>
    <row r="819" spans="1:7" hidden="1" x14ac:dyDescent="0.25">
      <c r="A819" t="s">
        <v>1091</v>
      </c>
      <c r="B819" t="s">
        <v>1607</v>
      </c>
      <c r="C819" t="s">
        <v>58</v>
      </c>
      <c r="F819" t="s">
        <v>2505</v>
      </c>
      <c r="G819" t="s">
        <v>1100</v>
      </c>
    </row>
    <row r="820" spans="1:7" hidden="1" x14ac:dyDescent="0.25">
      <c r="A820" t="s">
        <v>4</v>
      </c>
      <c r="B820" t="s">
        <v>9</v>
      </c>
      <c r="E820" t="s">
        <v>2936</v>
      </c>
      <c r="F820" t="s">
        <v>2508</v>
      </c>
      <c r="G820" t="s">
        <v>1100</v>
      </c>
    </row>
    <row r="821" spans="1:7" hidden="1" x14ac:dyDescent="0.25">
      <c r="A821" t="s">
        <v>4</v>
      </c>
      <c r="B821" t="s">
        <v>9</v>
      </c>
      <c r="E821" t="s">
        <v>2936</v>
      </c>
      <c r="F821" t="s">
        <v>2511</v>
      </c>
      <c r="G821" t="s">
        <v>1100</v>
      </c>
    </row>
    <row r="822" spans="1:7" hidden="1" x14ac:dyDescent="0.25">
      <c r="A822" t="s">
        <v>1091</v>
      </c>
      <c r="B822" t="s">
        <v>1607</v>
      </c>
      <c r="C822" t="s">
        <v>58</v>
      </c>
      <c r="F822" t="s">
        <v>2514</v>
      </c>
      <c r="G822" t="s">
        <v>1100</v>
      </c>
    </row>
    <row r="823" spans="1:7" hidden="1" x14ac:dyDescent="0.25">
      <c r="A823" t="s">
        <v>4</v>
      </c>
      <c r="B823" t="s">
        <v>9</v>
      </c>
      <c r="F823" t="s">
        <v>2517</v>
      </c>
      <c r="G823" t="s">
        <v>1100</v>
      </c>
    </row>
    <row r="824" spans="1:7" hidden="1" x14ac:dyDescent="0.25">
      <c r="A824" t="s">
        <v>2004</v>
      </c>
      <c r="F824" t="s">
        <v>2520</v>
      </c>
      <c r="G824" t="s">
        <v>1100</v>
      </c>
    </row>
    <row r="825" spans="1:7" hidden="1" x14ac:dyDescent="0.25">
      <c r="A825" t="s">
        <v>2004</v>
      </c>
      <c r="F825" t="s">
        <v>2523</v>
      </c>
      <c r="G825" t="s">
        <v>1100</v>
      </c>
    </row>
    <row r="826" spans="1:7" hidden="1" x14ac:dyDescent="0.25">
      <c r="A826" t="s">
        <v>533</v>
      </c>
      <c r="B826" t="s">
        <v>531</v>
      </c>
      <c r="C826" t="s">
        <v>58</v>
      </c>
      <c r="E826" t="s">
        <v>2948</v>
      </c>
      <c r="F826" t="s">
        <v>2631</v>
      </c>
      <c r="G826" s="1" t="s">
        <v>1603</v>
      </c>
    </row>
    <row r="827" spans="1:7" hidden="1" x14ac:dyDescent="0.25">
      <c r="A827" t="s">
        <v>533</v>
      </c>
      <c r="B827" t="s">
        <v>531</v>
      </c>
      <c r="C827" t="s">
        <v>58</v>
      </c>
      <c r="E827" t="s">
        <v>2948</v>
      </c>
      <c r="F827" t="s">
        <v>2634</v>
      </c>
      <c r="G827" s="1" t="s">
        <v>1603</v>
      </c>
    </row>
    <row r="828" spans="1:7" hidden="1" x14ac:dyDescent="0.25">
      <c r="A828" t="s">
        <v>533</v>
      </c>
      <c r="B828" t="s">
        <v>531</v>
      </c>
      <c r="C828" t="s">
        <v>58</v>
      </c>
      <c r="E828" t="s">
        <v>1620</v>
      </c>
      <c r="F828" t="s">
        <v>2637</v>
      </c>
      <c r="G828" s="1" t="s">
        <v>1603</v>
      </c>
    </row>
    <row r="829" spans="1:7" hidden="1" x14ac:dyDescent="0.25">
      <c r="A829" t="s">
        <v>533</v>
      </c>
      <c r="B829" t="s">
        <v>531</v>
      </c>
      <c r="C829" t="s">
        <v>58</v>
      </c>
      <c r="E829" t="s">
        <v>1620</v>
      </c>
      <c r="F829" t="s">
        <v>2640</v>
      </c>
      <c r="G829" s="1" t="s">
        <v>1603</v>
      </c>
    </row>
    <row r="830" spans="1:7" hidden="1" x14ac:dyDescent="0.25">
      <c r="A830" t="s">
        <v>533</v>
      </c>
      <c r="B830" t="s">
        <v>531</v>
      </c>
      <c r="C830" t="s">
        <v>58</v>
      </c>
      <c r="E830" t="s">
        <v>1611</v>
      </c>
      <c r="F830" t="s">
        <v>2643</v>
      </c>
      <c r="G830" s="1" t="s">
        <v>1603</v>
      </c>
    </row>
    <row r="831" spans="1:7" hidden="1" x14ac:dyDescent="0.25">
      <c r="A831" t="s">
        <v>533</v>
      </c>
      <c r="B831" t="s">
        <v>531</v>
      </c>
      <c r="C831" t="s">
        <v>58</v>
      </c>
      <c r="E831" t="s">
        <v>1611</v>
      </c>
      <c r="F831" t="s">
        <v>2646</v>
      </c>
      <c r="G831" s="1" t="s">
        <v>1603</v>
      </c>
    </row>
    <row r="832" spans="1:7" hidden="1" x14ac:dyDescent="0.25">
      <c r="A832" t="s">
        <v>533</v>
      </c>
      <c r="B832" t="s">
        <v>531</v>
      </c>
      <c r="C832" t="s">
        <v>58</v>
      </c>
      <c r="E832" t="s">
        <v>2949</v>
      </c>
      <c r="F832" t="s">
        <v>2649</v>
      </c>
      <c r="G832" s="1" t="s">
        <v>1603</v>
      </c>
    </row>
    <row r="833" spans="1:7" hidden="1" x14ac:dyDescent="0.25">
      <c r="A833" t="s">
        <v>4</v>
      </c>
      <c r="B833" t="s">
        <v>8</v>
      </c>
      <c r="F833" t="s">
        <v>2652</v>
      </c>
      <c r="G833" s="1" t="s">
        <v>1603</v>
      </c>
    </row>
    <row r="834" spans="1:7" hidden="1" x14ac:dyDescent="0.25">
      <c r="A834" t="s">
        <v>1606</v>
      </c>
      <c r="B834" t="s">
        <v>70</v>
      </c>
      <c r="C834" t="s">
        <v>51</v>
      </c>
      <c r="F834" t="s">
        <v>2655</v>
      </c>
      <c r="G834" s="1" t="s">
        <v>1603</v>
      </c>
    </row>
    <row r="835" spans="1:7" hidden="1" x14ac:dyDescent="0.25">
      <c r="A835" t="s">
        <v>289</v>
      </c>
      <c r="B835" t="s">
        <v>70</v>
      </c>
      <c r="C835" t="s">
        <v>58</v>
      </c>
      <c r="E835" t="s">
        <v>2956</v>
      </c>
      <c r="F835" t="s">
        <v>2658</v>
      </c>
      <c r="G835" s="1" t="s">
        <v>1603</v>
      </c>
    </row>
    <row r="836" spans="1:7" hidden="1" x14ac:dyDescent="0.25">
      <c r="A836" t="s">
        <v>1999</v>
      </c>
      <c r="B836" t="s">
        <v>70</v>
      </c>
      <c r="C836" t="s">
        <v>58</v>
      </c>
      <c r="E836" t="s">
        <v>2956</v>
      </c>
      <c r="F836" t="s">
        <v>2661</v>
      </c>
      <c r="G836" s="1" t="s">
        <v>1603</v>
      </c>
    </row>
    <row r="837" spans="1:7" hidden="1" x14ac:dyDescent="0.25">
      <c r="A837" t="s">
        <v>1999</v>
      </c>
      <c r="B837" t="s">
        <v>70</v>
      </c>
      <c r="C837" t="s">
        <v>58</v>
      </c>
      <c r="E837" t="s">
        <v>2956</v>
      </c>
      <c r="F837" t="s">
        <v>2664</v>
      </c>
      <c r="G837" s="1" t="s">
        <v>1603</v>
      </c>
    </row>
    <row r="838" spans="1:7" hidden="1" x14ac:dyDescent="0.25">
      <c r="A838" t="s">
        <v>1999</v>
      </c>
      <c r="B838" t="s">
        <v>70</v>
      </c>
      <c r="C838" t="s">
        <v>58</v>
      </c>
      <c r="E838" t="s">
        <v>2956</v>
      </c>
      <c r="F838" t="s">
        <v>2667</v>
      </c>
      <c r="G838" s="1" t="s">
        <v>1603</v>
      </c>
    </row>
    <row r="839" spans="1:7" hidden="1" x14ac:dyDescent="0.25">
      <c r="A839" t="s">
        <v>1999</v>
      </c>
      <c r="B839" t="s">
        <v>70</v>
      </c>
      <c r="C839" t="s">
        <v>58</v>
      </c>
      <c r="E839" t="s">
        <v>2956</v>
      </c>
      <c r="F839" t="s">
        <v>2670</v>
      </c>
      <c r="G839" s="1" t="s">
        <v>1603</v>
      </c>
    </row>
    <row r="840" spans="1:7" hidden="1" x14ac:dyDescent="0.25">
      <c r="A840" t="s">
        <v>1999</v>
      </c>
      <c r="B840" t="s">
        <v>70</v>
      </c>
      <c r="C840" t="s">
        <v>2950</v>
      </c>
      <c r="E840" t="s">
        <v>2956</v>
      </c>
      <c r="F840" t="s">
        <v>2673</v>
      </c>
      <c r="G840" s="1" t="s">
        <v>1603</v>
      </c>
    </row>
    <row r="841" spans="1:7" hidden="1" x14ac:dyDescent="0.25">
      <c r="A841" t="s">
        <v>1999</v>
      </c>
      <c r="B841" t="s">
        <v>70</v>
      </c>
      <c r="C841" t="s">
        <v>2951</v>
      </c>
      <c r="E841" t="s">
        <v>2956</v>
      </c>
      <c r="F841" t="s">
        <v>2676</v>
      </c>
      <c r="G841" s="1" t="s">
        <v>1603</v>
      </c>
    </row>
    <row r="842" spans="1:7" hidden="1" x14ac:dyDescent="0.25">
      <c r="A842" t="s">
        <v>1999</v>
      </c>
      <c r="B842" t="s">
        <v>70</v>
      </c>
      <c r="C842" t="s">
        <v>2952</v>
      </c>
      <c r="E842" t="s">
        <v>2956</v>
      </c>
      <c r="F842" t="s">
        <v>2679</v>
      </c>
      <c r="G842" s="1" t="s">
        <v>1603</v>
      </c>
    </row>
    <row r="843" spans="1:7" hidden="1" x14ac:dyDescent="0.25">
      <c r="A843" t="s">
        <v>2953</v>
      </c>
      <c r="B843" t="s">
        <v>70</v>
      </c>
      <c r="F843" t="s">
        <v>2682</v>
      </c>
      <c r="G843" s="1" t="s">
        <v>1603</v>
      </c>
    </row>
    <row r="844" spans="1:7" hidden="1" x14ac:dyDescent="0.25">
      <c r="A844" t="s">
        <v>533</v>
      </c>
      <c r="B844" t="s">
        <v>1607</v>
      </c>
      <c r="C844" t="s">
        <v>58</v>
      </c>
      <c r="E844" t="s">
        <v>2954</v>
      </c>
      <c r="F844" t="s">
        <v>2685</v>
      </c>
      <c r="G844" s="1" t="s">
        <v>1603</v>
      </c>
    </row>
    <row r="845" spans="1:7" hidden="1" x14ac:dyDescent="0.25">
      <c r="A845" t="s">
        <v>533</v>
      </c>
      <c r="B845" t="s">
        <v>1607</v>
      </c>
      <c r="C845" t="s">
        <v>58</v>
      </c>
      <c r="E845" t="s">
        <v>2954</v>
      </c>
      <c r="F845" t="s">
        <v>2688</v>
      </c>
      <c r="G845" s="1" t="s">
        <v>1603</v>
      </c>
    </row>
    <row r="846" spans="1:7" hidden="1" x14ac:dyDescent="0.25">
      <c r="A846" t="s">
        <v>159</v>
      </c>
      <c r="B846" t="s">
        <v>2920</v>
      </c>
      <c r="F846" t="s">
        <v>2691</v>
      </c>
      <c r="G846" s="1" t="s">
        <v>1603</v>
      </c>
    </row>
    <row r="847" spans="1:7" hidden="1" x14ac:dyDescent="0.25">
      <c r="A847" t="s">
        <v>1606</v>
      </c>
      <c r="B847" t="s">
        <v>2920</v>
      </c>
      <c r="E847" t="s">
        <v>2955</v>
      </c>
      <c r="F847" t="s">
        <v>2694</v>
      </c>
      <c r="G847" s="1" t="s">
        <v>1603</v>
      </c>
    </row>
    <row r="848" spans="1:7" hidden="1" x14ac:dyDescent="0.25">
      <c r="A848" t="s">
        <v>289</v>
      </c>
      <c r="B848" t="s">
        <v>2920</v>
      </c>
      <c r="C848" t="s">
        <v>58</v>
      </c>
      <c r="E848" t="s">
        <v>2957</v>
      </c>
      <c r="F848" t="s">
        <v>2697</v>
      </c>
      <c r="G848" s="1" t="s">
        <v>1603</v>
      </c>
    </row>
    <row r="849" spans="1:7" hidden="1" x14ac:dyDescent="0.25">
      <c r="A849" t="s">
        <v>1999</v>
      </c>
      <c r="B849" t="s">
        <v>2920</v>
      </c>
      <c r="C849" t="s">
        <v>58</v>
      </c>
      <c r="E849" t="s">
        <v>2957</v>
      </c>
      <c r="F849" t="s">
        <v>2699</v>
      </c>
      <c r="G849" s="1" t="s">
        <v>1603</v>
      </c>
    </row>
    <row r="850" spans="1:7" hidden="1" x14ac:dyDescent="0.25">
      <c r="A850" t="s">
        <v>1999</v>
      </c>
      <c r="B850" t="s">
        <v>2920</v>
      </c>
      <c r="C850" t="s">
        <v>58</v>
      </c>
      <c r="E850" t="s">
        <v>2957</v>
      </c>
      <c r="F850" t="s">
        <v>2701</v>
      </c>
      <c r="G850" s="1" t="s">
        <v>1603</v>
      </c>
    </row>
    <row r="851" spans="1:7" hidden="1" x14ac:dyDescent="0.25">
      <c r="A851" t="s">
        <v>533</v>
      </c>
      <c r="B851" t="s">
        <v>1607</v>
      </c>
      <c r="C851" t="s">
        <v>58</v>
      </c>
      <c r="E851" t="s">
        <v>2958</v>
      </c>
      <c r="F851" t="s">
        <v>2704</v>
      </c>
      <c r="G851" s="1" t="s">
        <v>1603</v>
      </c>
    </row>
    <row r="852" spans="1:7" hidden="1" x14ac:dyDescent="0.25">
      <c r="A852" t="s">
        <v>533</v>
      </c>
      <c r="B852" t="s">
        <v>1607</v>
      </c>
      <c r="C852" t="s">
        <v>58</v>
      </c>
      <c r="E852" t="s">
        <v>2958</v>
      </c>
      <c r="F852" t="s">
        <v>2707</v>
      </c>
      <c r="G852" s="1" t="s">
        <v>1603</v>
      </c>
    </row>
    <row r="853" spans="1:7" hidden="1" x14ac:dyDescent="0.25">
      <c r="A853" t="s">
        <v>533</v>
      </c>
      <c r="B853" t="s">
        <v>1607</v>
      </c>
      <c r="C853" t="s">
        <v>58</v>
      </c>
      <c r="E853" t="s">
        <v>2958</v>
      </c>
      <c r="F853" t="s">
        <v>2710</v>
      </c>
      <c r="G853" s="1" t="s">
        <v>1603</v>
      </c>
    </row>
    <row r="854" spans="1:7" hidden="1" x14ac:dyDescent="0.25">
      <c r="A854" t="s">
        <v>533</v>
      </c>
      <c r="B854" t="s">
        <v>1607</v>
      </c>
      <c r="C854" t="s">
        <v>58</v>
      </c>
      <c r="E854" t="s">
        <v>2954</v>
      </c>
      <c r="F854" t="s">
        <v>2713</v>
      </c>
      <c r="G854" s="1" t="s">
        <v>1603</v>
      </c>
    </row>
    <row r="855" spans="1:7" hidden="1" x14ac:dyDescent="0.25">
      <c r="A855" t="s">
        <v>533</v>
      </c>
      <c r="B855" t="s">
        <v>1607</v>
      </c>
      <c r="C855" t="s">
        <v>58</v>
      </c>
      <c r="E855" t="s">
        <v>2954</v>
      </c>
      <c r="F855" t="s">
        <v>2959</v>
      </c>
      <c r="G855" s="1" t="s">
        <v>1603</v>
      </c>
    </row>
    <row r="856" spans="1:7" hidden="1" x14ac:dyDescent="0.25">
      <c r="A856" t="s">
        <v>4</v>
      </c>
      <c r="B856" t="s">
        <v>8</v>
      </c>
      <c r="F856" t="s">
        <v>2716</v>
      </c>
      <c r="G856" s="1" t="s">
        <v>1603</v>
      </c>
    </row>
    <row r="857" spans="1:7" hidden="1" x14ac:dyDescent="0.25">
      <c r="A857" t="s">
        <v>533</v>
      </c>
      <c r="B857" t="s">
        <v>1607</v>
      </c>
      <c r="C857" t="s">
        <v>2962</v>
      </c>
      <c r="E857" t="s">
        <v>2954</v>
      </c>
      <c r="F857" t="s">
        <v>2719</v>
      </c>
      <c r="G857" s="1" t="s">
        <v>1603</v>
      </c>
    </row>
    <row r="858" spans="1:7" hidden="1" x14ac:dyDescent="0.25">
      <c r="A858" t="s">
        <v>533</v>
      </c>
      <c r="B858" t="s">
        <v>1607</v>
      </c>
      <c r="C858" t="s">
        <v>2962</v>
      </c>
      <c r="E858" t="s">
        <v>2954</v>
      </c>
      <c r="F858" t="s">
        <v>2722</v>
      </c>
      <c r="G858" s="1" t="s">
        <v>1603</v>
      </c>
    </row>
    <row r="859" spans="1:7" hidden="1" x14ac:dyDescent="0.25">
      <c r="A859" t="s">
        <v>533</v>
      </c>
      <c r="B859" t="s">
        <v>1607</v>
      </c>
      <c r="C859" t="s">
        <v>2962</v>
      </c>
      <c r="E859" t="s">
        <v>2954</v>
      </c>
      <c r="F859" t="s">
        <v>2725</v>
      </c>
      <c r="G859" s="1" t="s">
        <v>1603</v>
      </c>
    </row>
    <row r="860" spans="1:7" hidden="1" x14ac:dyDescent="0.25">
      <c r="A860" t="s">
        <v>1606</v>
      </c>
      <c r="B860" t="s">
        <v>70</v>
      </c>
      <c r="C860" t="s">
        <v>51</v>
      </c>
      <c r="F860" t="s">
        <v>2728</v>
      </c>
      <c r="G860" s="1" t="s">
        <v>1603</v>
      </c>
    </row>
    <row r="861" spans="1:7" hidden="1" x14ac:dyDescent="0.25">
      <c r="A861" t="s">
        <v>289</v>
      </c>
      <c r="B861" t="s">
        <v>70</v>
      </c>
      <c r="C861" t="s">
        <v>58</v>
      </c>
      <c r="E861" t="s">
        <v>2956</v>
      </c>
      <c r="F861" t="s">
        <v>2731</v>
      </c>
      <c r="G861" s="1" t="s">
        <v>1603</v>
      </c>
    </row>
    <row r="862" spans="1:7" hidden="1" x14ac:dyDescent="0.25">
      <c r="A862" t="s">
        <v>1999</v>
      </c>
      <c r="B862" t="s">
        <v>70</v>
      </c>
      <c r="C862" t="s">
        <v>58</v>
      </c>
      <c r="E862" t="s">
        <v>2956</v>
      </c>
      <c r="F862" t="s">
        <v>2734</v>
      </c>
      <c r="G862" s="1" t="s">
        <v>1603</v>
      </c>
    </row>
    <row r="863" spans="1:7" hidden="1" x14ac:dyDescent="0.25">
      <c r="A863" t="s">
        <v>1999</v>
      </c>
      <c r="B863" t="s">
        <v>70</v>
      </c>
      <c r="C863" t="s">
        <v>58</v>
      </c>
      <c r="E863" t="s">
        <v>2956</v>
      </c>
      <c r="F863" t="s">
        <v>2737</v>
      </c>
      <c r="G863" s="1" t="s">
        <v>1603</v>
      </c>
    </row>
    <row r="864" spans="1:7" hidden="1" x14ac:dyDescent="0.25">
      <c r="A864" t="s">
        <v>1999</v>
      </c>
      <c r="B864" t="s">
        <v>70</v>
      </c>
      <c r="C864" t="s">
        <v>58</v>
      </c>
      <c r="E864" t="s">
        <v>2956</v>
      </c>
      <c r="F864" t="s">
        <v>2740</v>
      </c>
      <c r="G864" s="1" t="s">
        <v>1603</v>
      </c>
    </row>
    <row r="865" spans="1:7" hidden="1" x14ac:dyDescent="0.25">
      <c r="A865" t="s">
        <v>1999</v>
      </c>
      <c r="B865" t="s">
        <v>70</v>
      </c>
      <c r="C865" t="s">
        <v>58</v>
      </c>
      <c r="E865" t="s">
        <v>2956</v>
      </c>
      <c r="F865" t="s">
        <v>2743</v>
      </c>
      <c r="G865" s="1" t="s">
        <v>1603</v>
      </c>
    </row>
    <row r="866" spans="1:7" hidden="1" x14ac:dyDescent="0.25">
      <c r="A866" t="s">
        <v>1999</v>
      </c>
      <c r="B866" t="s">
        <v>70</v>
      </c>
      <c r="C866" t="s">
        <v>58</v>
      </c>
      <c r="E866" t="s">
        <v>2956</v>
      </c>
      <c r="F866" t="s">
        <v>2746</v>
      </c>
      <c r="G866" s="1" t="s">
        <v>1603</v>
      </c>
    </row>
    <row r="867" spans="1:7" hidden="1" x14ac:dyDescent="0.25">
      <c r="A867" t="s">
        <v>1999</v>
      </c>
      <c r="B867" t="s">
        <v>70</v>
      </c>
      <c r="C867" t="s">
        <v>58</v>
      </c>
      <c r="E867" t="s">
        <v>2956</v>
      </c>
      <c r="F867" t="s">
        <v>2749</v>
      </c>
      <c r="G867" s="1" t="s">
        <v>1603</v>
      </c>
    </row>
    <row r="868" spans="1:7" hidden="1" x14ac:dyDescent="0.25">
      <c r="A868" t="s">
        <v>1999</v>
      </c>
      <c r="B868" t="s">
        <v>70</v>
      </c>
      <c r="C868" t="s">
        <v>58</v>
      </c>
      <c r="E868" t="s">
        <v>2956</v>
      </c>
      <c r="F868" t="s">
        <v>2752</v>
      </c>
      <c r="G868" s="1" t="s">
        <v>1603</v>
      </c>
    </row>
    <row r="869" spans="1:7" hidden="1" x14ac:dyDescent="0.25">
      <c r="A869" t="s">
        <v>1999</v>
      </c>
      <c r="B869" t="s">
        <v>70</v>
      </c>
      <c r="C869" t="s">
        <v>58</v>
      </c>
      <c r="E869" t="s">
        <v>2956</v>
      </c>
      <c r="F869" t="s">
        <v>2755</v>
      </c>
      <c r="G869" s="1" t="s">
        <v>1603</v>
      </c>
    </row>
    <row r="870" spans="1:7" hidden="1" x14ac:dyDescent="0.25">
      <c r="A870" t="s">
        <v>1999</v>
      </c>
      <c r="B870" t="s">
        <v>70</v>
      </c>
      <c r="C870" t="s">
        <v>58</v>
      </c>
      <c r="E870" t="s">
        <v>2956</v>
      </c>
      <c r="F870" t="s">
        <v>2758</v>
      </c>
      <c r="G870" s="1" t="s">
        <v>1603</v>
      </c>
    </row>
    <row r="871" spans="1:7" hidden="1" x14ac:dyDescent="0.25">
      <c r="A871" t="s">
        <v>1999</v>
      </c>
      <c r="B871" t="s">
        <v>70</v>
      </c>
      <c r="C871" t="s">
        <v>58</v>
      </c>
      <c r="E871" t="s">
        <v>2963</v>
      </c>
      <c r="F871" t="s">
        <v>2761</v>
      </c>
      <c r="G871" s="1" t="s">
        <v>1603</v>
      </c>
    </row>
    <row r="872" spans="1:7" hidden="1" x14ac:dyDescent="0.25">
      <c r="A872" t="s">
        <v>1999</v>
      </c>
      <c r="B872" t="s">
        <v>70</v>
      </c>
      <c r="C872" t="s">
        <v>2962</v>
      </c>
      <c r="E872" t="s">
        <v>2956</v>
      </c>
      <c r="F872" t="s">
        <v>2764</v>
      </c>
      <c r="G872" s="1" t="s">
        <v>1603</v>
      </c>
    </row>
    <row r="873" spans="1:7" hidden="1" x14ac:dyDescent="0.25">
      <c r="A873" t="s">
        <v>1999</v>
      </c>
      <c r="B873" t="s">
        <v>70</v>
      </c>
      <c r="C873" t="s">
        <v>58</v>
      </c>
      <c r="E873" t="s">
        <v>2963</v>
      </c>
      <c r="F873" t="s">
        <v>2767</v>
      </c>
      <c r="G873" s="1" t="s">
        <v>1603</v>
      </c>
    </row>
    <row r="874" spans="1:7" hidden="1" x14ac:dyDescent="0.25">
      <c r="A874" t="s">
        <v>1999</v>
      </c>
      <c r="B874" t="s">
        <v>70</v>
      </c>
      <c r="C874" t="s">
        <v>58</v>
      </c>
      <c r="E874" t="s">
        <v>2963</v>
      </c>
      <c r="F874" t="s">
        <v>2770</v>
      </c>
      <c r="G874" s="1" t="s">
        <v>1603</v>
      </c>
    </row>
    <row r="875" spans="1:7" hidden="1" x14ac:dyDescent="0.25">
      <c r="A875" t="s">
        <v>1999</v>
      </c>
      <c r="B875" t="s">
        <v>70</v>
      </c>
      <c r="C875" t="s">
        <v>58</v>
      </c>
      <c r="E875" t="s">
        <v>2963</v>
      </c>
      <c r="F875" t="s">
        <v>2773</v>
      </c>
      <c r="G875" s="1" t="s">
        <v>1603</v>
      </c>
    </row>
    <row r="876" spans="1:7" hidden="1" x14ac:dyDescent="0.25">
      <c r="A876" t="s">
        <v>1999</v>
      </c>
      <c r="B876" t="s">
        <v>70</v>
      </c>
      <c r="C876" t="s">
        <v>58</v>
      </c>
      <c r="E876" t="s">
        <v>2957</v>
      </c>
      <c r="F876" t="s">
        <v>2776</v>
      </c>
      <c r="G876" s="1" t="s">
        <v>1603</v>
      </c>
    </row>
    <row r="877" spans="1:7" hidden="1" x14ac:dyDescent="0.25">
      <c r="A877" t="s">
        <v>1999</v>
      </c>
      <c r="B877" t="s">
        <v>70</v>
      </c>
      <c r="C877" t="s">
        <v>2962</v>
      </c>
      <c r="E877" t="s">
        <v>2957</v>
      </c>
      <c r="F877" t="s">
        <v>2779</v>
      </c>
      <c r="G877" s="1" t="s">
        <v>1603</v>
      </c>
    </row>
    <row r="878" spans="1:7" hidden="1" x14ac:dyDescent="0.25">
      <c r="A878" t="s">
        <v>1999</v>
      </c>
      <c r="B878" t="s">
        <v>70</v>
      </c>
      <c r="C878" t="s">
        <v>2962</v>
      </c>
      <c r="E878" t="s">
        <v>2957</v>
      </c>
      <c r="F878" t="s">
        <v>2782</v>
      </c>
      <c r="G878" s="1" t="s">
        <v>1603</v>
      </c>
    </row>
    <row r="879" spans="1:7" hidden="1" x14ac:dyDescent="0.25">
      <c r="A879" t="s">
        <v>1999</v>
      </c>
      <c r="B879" t="s">
        <v>70</v>
      </c>
      <c r="C879" t="s">
        <v>2962</v>
      </c>
      <c r="E879" t="s">
        <v>2957</v>
      </c>
      <c r="F879" t="s">
        <v>2785</v>
      </c>
      <c r="G879" s="1" t="s">
        <v>1603</v>
      </c>
    </row>
    <row r="880" spans="1:7" hidden="1" x14ac:dyDescent="0.25">
      <c r="A880" t="s">
        <v>1999</v>
      </c>
      <c r="B880" t="s">
        <v>70</v>
      </c>
      <c r="C880" t="s">
        <v>2962</v>
      </c>
      <c r="E880" t="s">
        <v>2957</v>
      </c>
      <c r="F880" t="s">
        <v>2788</v>
      </c>
      <c r="G880" s="1" t="s">
        <v>1603</v>
      </c>
    </row>
    <row r="881" spans="1:7" hidden="1" x14ac:dyDescent="0.25">
      <c r="A881" t="s">
        <v>1999</v>
      </c>
      <c r="B881" t="s">
        <v>70</v>
      </c>
      <c r="C881" t="s">
        <v>2962</v>
      </c>
      <c r="E881" t="s">
        <v>2957</v>
      </c>
      <c r="F881" t="s">
        <v>2791</v>
      </c>
      <c r="G881" s="1" t="s">
        <v>1603</v>
      </c>
    </row>
    <row r="882" spans="1:7" hidden="1" x14ac:dyDescent="0.25">
      <c r="A882" t="s">
        <v>2953</v>
      </c>
      <c r="B882" t="s">
        <v>70</v>
      </c>
      <c r="F882" t="s">
        <v>2794</v>
      </c>
      <c r="G882" s="1" t="s">
        <v>1603</v>
      </c>
    </row>
    <row r="883" spans="1:7" hidden="1" x14ac:dyDescent="0.25">
      <c r="A883" t="s">
        <v>533</v>
      </c>
      <c r="B883" t="s">
        <v>1607</v>
      </c>
      <c r="C883" t="s">
        <v>58</v>
      </c>
      <c r="E883" t="s">
        <v>1611</v>
      </c>
      <c r="F883" t="s">
        <v>2797</v>
      </c>
      <c r="G883" s="1" t="s">
        <v>1603</v>
      </c>
    </row>
    <row r="884" spans="1:7" hidden="1" x14ac:dyDescent="0.25">
      <c r="A884" t="s">
        <v>533</v>
      </c>
      <c r="B884" t="s">
        <v>1607</v>
      </c>
      <c r="C884" t="s">
        <v>58</v>
      </c>
      <c r="E884" t="s">
        <v>1611</v>
      </c>
      <c r="F884" t="s">
        <v>2800</v>
      </c>
      <c r="G884" s="1" t="s">
        <v>1603</v>
      </c>
    </row>
    <row r="885" spans="1:7" hidden="1" x14ac:dyDescent="0.25">
      <c r="A885" t="s">
        <v>533</v>
      </c>
      <c r="B885" t="s">
        <v>1607</v>
      </c>
      <c r="C885" t="s">
        <v>58</v>
      </c>
      <c r="E885" t="s">
        <v>1611</v>
      </c>
      <c r="F885" t="s">
        <v>2803</v>
      </c>
      <c r="G885" s="1" t="s">
        <v>1603</v>
      </c>
    </row>
    <row r="886" spans="1:7" hidden="1" x14ac:dyDescent="0.25">
      <c r="A886" t="s">
        <v>4</v>
      </c>
      <c r="B886" t="s">
        <v>8</v>
      </c>
      <c r="F886" t="s">
        <v>2806</v>
      </c>
      <c r="G886" s="1" t="s">
        <v>1603</v>
      </c>
    </row>
    <row r="887" spans="1:7" hidden="1" x14ac:dyDescent="0.25">
      <c r="A887" t="s">
        <v>533</v>
      </c>
      <c r="B887" t="s">
        <v>1607</v>
      </c>
      <c r="C887" t="s">
        <v>2944</v>
      </c>
      <c r="E887" t="s">
        <v>2949</v>
      </c>
      <c r="F887" t="s">
        <v>2809</v>
      </c>
      <c r="G887" s="1" t="s">
        <v>1603</v>
      </c>
    </row>
    <row r="888" spans="1:7" hidden="1" x14ac:dyDescent="0.25">
      <c r="A888" t="s">
        <v>533</v>
      </c>
      <c r="B888" t="s">
        <v>1607</v>
      </c>
      <c r="C888" t="s">
        <v>2944</v>
      </c>
      <c r="E888" t="s">
        <v>2949</v>
      </c>
      <c r="F888" t="s">
        <v>2812</v>
      </c>
      <c r="G888" s="1" t="s">
        <v>1603</v>
      </c>
    </row>
    <row r="889" spans="1:7" hidden="1" x14ac:dyDescent="0.25">
      <c r="A889" t="s">
        <v>533</v>
      </c>
      <c r="B889" t="s">
        <v>531</v>
      </c>
      <c r="C889" t="s">
        <v>58</v>
      </c>
      <c r="E889" t="s">
        <v>2958</v>
      </c>
      <c r="F889" t="s">
        <v>2815</v>
      </c>
      <c r="G889" s="1" t="s">
        <v>1603</v>
      </c>
    </row>
    <row r="890" spans="1:7" hidden="1" x14ac:dyDescent="0.25">
      <c r="A890" t="s">
        <v>533</v>
      </c>
      <c r="B890" t="s">
        <v>531</v>
      </c>
      <c r="C890" t="s">
        <v>58</v>
      </c>
      <c r="E890" t="s">
        <v>2958</v>
      </c>
      <c r="F890" t="s">
        <v>2818</v>
      </c>
      <c r="G890" s="1" t="s">
        <v>1603</v>
      </c>
    </row>
    <row r="891" spans="1:7" hidden="1" x14ac:dyDescent="0.25">
      <c r="A891" t="s">
        <v>533</v>
      </c>
      <c r="B891" t="s">
        <v>531</v>
      </c>
      <c r="C891" t="s">
        <v>58</v>
      </c>
      <c r="E891" t="s">
        <v>2958</v>
      </c>
      <c r="F891" t="s">
        <v>2821</v>
      </c>
      <c r="G891" s="1" t="s">
        <v>1603</v>
      </c>
    </row>
    <row r="892" spans="1:7" hidden="1" x14ac:dyDescent="0.25">
      <c r="A892" t="s">
        <v>533</v>
      </c>
      <c r="B892" t="s">
        <v>531</v>
      </c>
      <c r="C892" t="s">
        <v>2964</v>
      </c>
      <c r="E892" t="s">
        <v>2958</v>
      </c>
      <c r="F892" t="s">
        <v>2824</v>
      </c>
      <c r="G892" s="1" t="s">
        <v>1603</v>
      </c>
    </row>
    <row r="893" spans="1:7" hidden="1" x14ac:dyDescent="0.25">
      <c r="A893" t="s">
        <v>533</v>
      </c>
      <c r="B893" t="s">
        <v>1607</v>
      </c>
      <c r="C893" t="s">
        <v>58</v>
      </c>
      <c r="E893" t="s">
        <v>2949</v>
      </c>
      <c r="F893" t="s">
        <v>2827</v>
      </c>
      <c r="G893" s="1" t="s">
        <v>1603</v>
      </c>
    </row>
    <row r="894" spans="1:7" hidden="1" x14ac:dyDescent="0.25">
      <c r="A894" t="s">
        <v>533</v>
      </c>
      <c r="B894" t="s">
        <v>1607</v>
      </c>
      <c r="C894" t="s">
        <v>58</v>
      </c>
      <c r="E894" t="s">
        <v>2949</v>
      </c>
      <c r="F894" t="s">
        <v>2830</v>
      </c>
      <c r="G894" s="1" t="s">
        <v>1603</v>
      </c>
    </row>
    <row r="895" spans="1:7" hidden="1" x14ac:dyDescent="0.25">
      <c r="A895" t="s">
        <v>2965</v>
      </c>
      <c r="F895" t="s">
        <v>2833</v>
      </c>
      <c r="G895" s="1" t="s">
        <v>1603</v>
      </c>
    </row>
    <row r="896" spans="1:7" hidden="1" x14ac:dyDescent="0.25">
      <c r="A896" t="s">
        <v>2965</v>
      </c>
      <c r="F896" t="s">
        <v>2836</v>
      </c>
      <c r="G896" s="1" t="s">
        <v>1603</v>
      </c>
    </row>
    <row r="897" spans="1:7" hidden="1" x14ac:dyDescent="0.25">
      <c r="A897" t="s">
        <v>4</v>
      </c>
      <c r="B897" t="s">
        <v>8</v>
      </c>
      <c r="E897" t="s">
        <v>2967</v>
      </c>
      <c r="F897" t="s">
        <v>2839</v>
      </c>
      <c r="G897" s="1" t="s">
        <v>1603</v>
      </c>
    </row>
    <row r="898" spans="1:7" hidden="1" x14ac:dyDescent="0.25">
      <c r="A898" t="s">
        <v>533</v>
      </c>
      <c r="B898" t="s">
        <v>531</v>
      </c>
      <c r="C898" t="s">
        <v>58</v>
      </c>
      <c r="E898" t="s">
        <v>2954</v>
      </c>
      <c r="F898" t="s">
        <v>2842</v>
      </c>
      <c r="G898" s="1" t="s">
        <v>1603</v>
      </c>
    </row>
    <row r="899" spans="1:7" hidden="1" x14ac:dyDescent="0.25">
      <c r="A899" t="s">
        <v>533</v>
      </c>
      <c r="B899" t="s">
        <v>531</v>
      </c>
      <c r="C899" t="s">
        <v>58</v>
      </c>
      <c r="E899" t="s">
        <v>2954</v>
      </c>
      <c r="F899" t="s">
        <v>2845</v>
      </c>
      <c r="G899" s="1" t="s">
        <v>1603</v>
      </c>
    </row>
    <row r="900" spans="1:7" hidden="1" x14ac:dyDescent="0.25">
      <c r="A900" t="s">
        <v>533</v>
      </c>
      <c r="B900" t="s">
        <v>531</v>
      </c>
      <c r="C900" t="s">
        <v>58</v>
      </c>
      <c r="E900" t="s">
        <v>2954</v>
      </c>
      <c r="F900" t="s">
        <v>2848</v>
      </c>
      <c r="G900" s="1" t="s">
        <v>1603</v>
      </c>
    </row>
    <row r="901" spans="1:7" hidden="1" x14ac:dyDescent="0.25">
      <c r="A901" t="s">
        <v>4</v>
      </c>
      <c r="B901" t="s">
        <v>8</v>
      </c>
      <c r="E901" t="s">
        <v>2936</v>
      </c>
      <c r="F901" t="s">
        <v>2851</v>
      </c>
      <c r="G901" s="1" t="s">
        <v>1603</v>
      </c>
    </row>
    <row r="902" spans="1:7" hidden="1" x14ac:dyDescent="0.25">
      <c r="A902" t="s">
        <v>4</v>
      </c>
      <c r="B902" t="s">
        <v>8</v>
      </c>
      <c r="E902" t="s">
        <v>2967</v>
      </c>
      <c r="F902" t="s">
        <v>2854</v>
      </c>
      <c r="G902" s="1" t="s">
        <v>1603</v>
      </c>
    </row>
    <row r="903" spans="1:7" hidden="1" x14ac:dyDescent="0.25">
      <c r="A903" t="s">
        <v>533</v>
      </c>
      <c r="B903" t="s">
        <v>1607</v>
      </c>
      <c r="C903" t="s">
        <v>58</v>
      </c>
      <c r="E903" t="s">
        <v>2958</v>
      </c>
      <c r="F903" t="s">
        <v>2857</v>
      </c>
      <c r="G903" s="1" t="s">
        <v>1603</v>
      </c>
    </row>
    <row r="904" spans="1:7" hidden="1" x14ac:dyDescent="0.25">
      <c r="A904" t="s">
        <v>2966</v>
      </c>
      <c r="B904" t="s">
        <v>1607</v>
      </c>
      <c r="C904" t="s">
        <v>58</v>
      </c>
      <c r="E904" t="s">
        <v>2958</v>
      </c>
      <c r="F904" t="s">
        <v>2860</v>
      </c>
      <c r="G904" s="1" t="s">
        <v>1603</v>
      </c>
    </row>
    <row r="905" spans="1:7" hidden="1" x14ac:dyDescent="0.25">
      <c r="A905" t="s">
        <v>533</v>
      </c>
      <c r="B905" t="s">
        <v>1607</v>
      </c>
      <c r="C905" t="s">
        <v>58</v>
      </c>
      <c r="E905" t="s">
        <v>2954</v>
      </c>
      <c r="F905" t="s">
        <v>2863</v>
      </c>
      <c r="G905" s="1" t="s">
        <v>1603</v>
      </c>
    </row>
    <row r="906" spans="1:7" hidden="1" x14ac:dyDescent="0.25">
      <c r="A906" t="s">
        <v>2966</v>
      </c>
      <c r="B906" t="s">
        <v>1607</v>
      </c>
      <c r="C906" t="s">
        <v>58</v>
      </c>
      <c r="E906" t="s">
        <v>2954</v>
      </c>
      <c r="F906" t="s">
        <v>2866</v>
      </c>
      <c r="G906" s="1" t="s">
        <v>1603</v>
      </c>
    </row>
    <row r="907" spans="1:7" hidden="1" x14ac:dyDescent="0.25">
      <c r="A907" t="s">
        <v>2966</v>
      </c>
      <c r="B907" t="s">
        <v>1607</v>
      </c>
      <c r="C907" t="s">
        <v>58</v>
      </c>
      <c r="E907" t="s">
        <v>2954</v>
      </c>
      <c r="F907" t="s">
        <v>2869</v>
      </c>
      <c r="G907" s="1" t="s">
        <v>1603</v>
      </c>
    </row>
    <row r="908" spans="1:7" hidden="1" x14ac:dyDescent="0.25">
      <c r="A908" t="s">
        <v>2966</v>
      </c>
      <c r="B908" t="s">
        <v>1607</v>
      </c>
      <c r="C908" t="s">
        <v>58</v>
      </c>
      <c r="E908" t="s">
        <v>2954</v>
      </c>
      <c r="F908" t="s">
        <v>2872</v>
      </c>
      <c r="G908" s="1" t="s">
        <v>1603</v>
      </c>
    </row>
    <row r="909" spans="1:7" hidden="1" x14ac:dyDescent="0.25">
      <c r="A909" t="s">
        <v>533</v>
      </c>
      <c r="B909" t="s">
        <v>1607</v>
      </c>
      <c r="C909" t="s">
        <v>58</v>
      </c>
      <c r="E909" t="s">
        <v>1611</v>
      </c>
      <c r="F909" t="s">
        <v>2875</v>
      </c>
      <c r="G909" s="1" t="s">
        <v>1603</v>
      </c>
    </row>
    <row r="910" spans="1:7" hidden="1" x14ac:dyDescent="0.25">
      <c r="A910" t="s">
        <v>533</v>
      </c>
      <c r="B910" t="s">
        <v>1607</v>
      </c>
      <c r="C910" t="s">
        <v>58</v>
      </c>
      <c r="E910" t="s">
        <v>1611</v>
      </c>
      <c r="F910" t="s">
        <v>2878</v>
      </c>
      <c r="G910" s="1" t="s">
        <v>1603</v>
      </c>
    </row>
    <row r="911" spans="1:7" hidden="1" x14ac:dyDescent="0.25">
      <c r="A911" t="s">
        <v>4</v>
      </c>
      <c r="B911" t="s">
        <v>8</v>
      </c>
      <c r="F911" t="s">
        <v>2881</v>
      </c>
      <c r="G911" s="1" t="s">
        <v>1603</v>
      </c>
    </row>
    <row r="912" spans="1:7" hidden="1" x14ac:dyDescent="0.25">
      <c r="A912" t="s">
        <v>4</v>
      </c>
      <c r="B912" t="s">
        <v>8</v>
      </c>
      <c r="F912" t="s">
        <v>2884</v>
      </c>
      <c r="G912" s="1" t="s">
        <v>1603</v>
      </c>
    </row>
    <row r="913" spans="1:7" hidden="1" x14ac:dyDescent="0.25">
      <c r="A913" t="s">
        <v>2004</v>
      </c>
      <c r="F913" t="s">
        <v>2887</v>
      </c>
      <c r="G913" s="1" t="s">
        <v>1603</v>
      </c>
    </row>
    <row r="914" spans="1:7" hidden="1" x14ac:dyDescent="0.25">
      <c r="A914" t="s">
        <v>4</v>
      </c>
      <c r="B914" t="s">
        <v>8</v>
      </c>
      <c r="F914" t="s">
        <v>2890</v>
      </c>
      <c r="G914" s="1" t="s">
        <v>1603</v>
      </c>
    </row>
    <row r="915" spans="1:7" hidden="1" x14ac:dyDescent="0.25">
      <c r="A915" t="s">
        <v>2004</v>
      </c>
      <c r="F915" t="s">
        <v>2893</v>
      </c>
      <c r="G915" s="1" t="s">
        <v>1603</v>
      </c>
    </row>
    <row r="916" spans="1:7" hidden="1" x14ac:dyDescent="0.25">
      <c r="A916" t="s">
        <v>533</v>
      </c>
      <c r="B916" t="s">
        <v>1607</v>
      </c>
      <c r="C916" t="s">
        <v>2962</v>
      </c>
      <c r="E916" t="s">
        <v>2958</v>
      </c>
      <c r="F916" t="s">
        <v>2526</v>
      </c>
      <c r="G916" t="s">
        <v>1817</v>
      </c>
    </row>
    <row r="917" spans="1:7" hidden="1" x14ac:dyDescent="0.25">
      <c r="A917" t="s">
        <v>533</v>
      </c>
      <c r="B917" t="s">
        <v>531</v>
      </c>
      <c r="C917" t="s">
        <v>58</v>
      </c>
      <c r="E917" t="s">
        <v>2968</v>
      </c>
      <c r="F917" t="s">
        <v>2529</v>
      </c>
      <c r="G917" t="s">
        <v>1817</v>
      </c>
    </row>
    <row r="918" spans="1:7" hidden="1" x14ac:dyDescent="0.25">
      <c r="A918" t="s">
        <v>2980</v>
      </c>
      <c r="B918" t="s">
        <v>2920</v>
      </c>
      <c r="C918" t="s">
        <v>58</v>
      </c>
      <c r="E918" t="s">
        <v>2957</v>
      </c>
      <c r="F918" t="s">
        <v>2532</v>
      </c>
      <c r="G918" t="s">
        <v>1817</v>
      </c>
    </row>
    <row r="919" spans="1:7" hidden="1" x14ac:dyDescent="0.25">
      <c r="A919" t="s">
        <v>1999</v>
      </c>
      <c r="B919" t="s">
        <v>2920</v>
      </c>
      <c r="C919" t="s">
        <v>58</v>
      </c>
      <c r="E919" t="s">
        <v>2957</v>
      </c>
      <c r="F919" t="s">
        <v>2535</v>
      </c>
      <c r="G919" t="s">
        <v>1817</v>
      </c>
    </row>
    <row r="920" spans="1:7" hidden="1" x14ac:dyDescent="0.25">
      <c r="A920" t="s">
        <v>1999</v>
      </c>
      <c r="B920" t="s">
        <v>2920</v>
      </c>
      <c r="C920" t="s">
        <v>58</v>
      </c>
      <c r="E920" t="s">
        <v>2957</v>
      </c>
      <c r="F920" t="s">
        <v>2538</v>
      </c>
      <c r="G920" t="s">
        <v>1817</v>
      </c>
    </row>
    <row r="921" spans="1:7" hidden="1" x14ac:dyDescent="0.25">
      <c r="A921" t="s">
        <v>1999</v>
      </c>
      <c r="B921" t="s">
        <v>2920</v>
      </c>
      <c r="C921" t="s">
        <v>58</v>
      </c>
      <c r="E921" t="s">
        <v>2957</v>
      </c>
      <c r="F921" t="s">
        <v>2541</v>
      </c>
      <c r="G921" t="s">
        <v>1817</v>
      </c>
    </row>
    <row r="922" spans="1:7" hidden="1" x14ac:dyDescent="0.25">
      <c r="A922" t="s">
        <v>1999</v>
      </c>
      <c r="B922" t="s">
        <v>2920</v>
      </c>
      <c r="C922" t="s">
        <v>58</v>
      </c>
      <c r="E922" t="s">
        <v>2957</v>
      </c>
      <c r="F922" t="s">
        <v>2544</v>
      </c>
      <c r="G922" t="s">
        <v>1817</v>
      </c>
    </row>
    <row r="923" spans="1:7" hidden="1" x14ac:dyDescent="0.25">
      <c r="A923" t="s">
        <v>1999</v>
      </c>
      <c r="B923" t="s">
        <v>2920</v>
      </c>
      <c r="C923" t="s">
        <v>58</v>
      </c>
      <c r="E923" t="s">
        <v>2957</v>
      </c>
      <c r="F923" t="s">
        <v>2547</v>
      </c>
      <c r="G923" t="s">
        <v>1817</v>
      </c>
    </row>
    <row r="924" spans="1:7" hidden="1" x14ac:dyDescent="0.25">
      <c r="A924" t="s">
        <v>1999</v>
      </c>
      <c r="B924" t="s">
        <v>2920</v>
      </c>
      <c r="C924" t="s">
        <v>58</v>
      </c>
      <c r="E924" t="s">
        <v>2957</v>
      </c>
      <c r="F924" t="s">
        <v>2550</v>
      </c>
      <c r="G924" t="s">
        <v>1817</v>
      </c>
    </row>
    <row r="925" spans="1:7" hidden="1" x14ac:dyDescent="0.25">
      <c r="A925" t="s">
        <v>4</v>
      </c>
      <c r="B925" t="s">
        <v>8</v>
      </c>
      <c r="F925" t="s">
        <v>2553</v>
      </c>
      <c r="G925" t="s">
        <v>1817</v>
      </c>
    </row>
    <row r="926" spans="1:7" hidden="1" x14ac:dyDescent="0.25">
      <c r="A926" t="s">
        <v>533</v>
      </c>
      <c r="B926" t="s">
        <v>531</v>
      </c>
      <c r="C926" t="s">
        <v>58</v>
      </c>
      <c r="E926" t="s">
        <v>2958</v>
      </c>
      <c r="F926" t="s">
        <v>2556</v>
      </c>
      <c r="G926" t="s">
        <v>1817</v>
      </c>
    </row>
    <row r="927" spans="1:7" hidden="1" x14ac:dyDescent="0.25">
      <c r="A927" t="s">
        <v>533</v>
      </c>
      <c r="B927" t="s">
        <v>1607</v>
      </c>
      <c r="C927" t="s">
        <v>58</v>
      </c>
      <c r="E927" t="s">
        <v>2958</v>
      </c>
      <c r="F927" t="s">
        <v>2559</v>
      </c>
      <c r="G927" t="s">
        <v>1817</v>
      </c>
    </row>
    <row r="928" spans="1:7" hidden="1" x14ac:dyDescent="0.25">
      <c r="A928" t="s">
        <v>533</v>
      </c>
      <c r="B928" t="s">
        <v>1607</v>
      </c>
      <c r="C928" t="s">
        <v>58</v>
      </c>
      <c r="E928" t="s">
        <v>2958</v>
      </c>
      <c r="F928" t="s">
        <v>2562</v>
      </c>
      <c r="G928" t="s">
        <v>1817</v>
      </c>
    </row>
    <row r="929" spans="1:7" hidden="1" x14ac:dyDescent="0.25">
      <c r="A929" t="s">
        <v>4</v>
      </c>
      <c r="B929" t="s">
        <v>8</v>
      </c>
      <c r="F929" t="s">
        <v>2565</v>
      </c>
      <c r="G929" t="s">
        <v>1817</v>
      </c>
    </row>
    <row r="930" spans="1:7" hidden="1" x14ac:dyDescent="0.25">
      <c r="A930" t="s">
        <v>533</v>
      </c>
      <c r="B930" t="s">
        <v>1607</v>
      </c>
      <c r="C930" t="s">
        <v>58</v>
      </c>
      <c r="E930" t="s">
        <v>2958</v>
      </c>
      <c r="F930" t="s">
        <v>2568</v>
      </c>
      <c r="G930" t="s">
        <v>1817</v>
      </c>
    </row>
    <row r="931" spans="1:7" hidden="1" x14ac:dyDescent="0.25">
      <c r="A931" t="s">
        <v>4</v>
      </c>
      <c r="B931" t="s">
        <v>8</v>
      </c>
      <c r="F931" t="s">
        <v>2571</v>
      </c>
      <c r="G931" t="s">
        <v>1817</v>
      </c>
    </row>
    <row r="932" spans="1:7" hidden="1" x14ac:dyDescent="0.25">
      <c r="A932" t="s">
        <v>2004</v>
      </c>
      <c r="F932" t="s">
        <v>2574</v>
      </c>
      <c r="G932" t="s">
        <v>1817</v>
      </c>
    </row>
    <row r="933" spans="1:7" hidden="1" x14ac:dyDescent="0.25">
      <c r="A933" t="s">
        <v>4</v>
      </c>
      <c r="B933" t="s">
        <v>8</v>
      </c>
      <c r="F933" t="s">
        <v>2969</v>
      </c>
      <c r="G933" t="s">
        <v>1817</v>
      </c>
    </row>
    <row r="934" spans="1:7" hidden="1" x14ac:dyDescent="0.25">
      <c r="A934" t="s">
        <v>4</v>
      </c>
      <c r="B934" t="s">
        <v>8</v>
      </c>
      <c r="E934" t="s">
        <v>2975</v>
      </c>
      <c r="F934" t="s">
        <v>2972</v>
      </c>
      <c r="G934" t="s">
        <v>1817</v>
      </c>
    </row>
    <row r="935" spans="1:7" hidden="1" x14ac:dyDescent="0.25">
      <c r="A935" t="s">
        <v>4</v>
      </c>
      <c r="B935" t="s">
        <v>8</v>
      </c>
      <c r="E935" t="s">
        <v>2975</v>
      </c>
      <c r="F935" t="s">
        <v>2577</v>
      </c>
      <c r="G935" t="s">
        <v>1817</v>
      </c>
    </row>
    <row r="936" spans="1:7" hidden="1" x14ac:dyDescent="0.25">
      <c r="A936" t="s">
        <v>4</v>
      </c>
      <c r="B936" t="s">
        <v>8</v>
      </c>
      <c r="F936" t="s">
        <v>2580</v>
      </c>
      <c r="G936" t="s">
        <v>1817</v>
      </c>
    </row>
    <row r="937" spans="1:7" hidden="1" x14ac:dyDescent="0.25">
      <c r="A937" t="s">
        <v>2004</v>
      </c>
      <c r="F937" t="s">
        <v>2583</v>
      </c>
      <c r="G937" t="s">
        <v>1817</v>
      </c>
    </row>
    <row r="938" spans="1:7" hidden="1" x14ac:dyDescent="0.25">
      <c r="A938" t="s">
        <v>2004</v>
      </c>
      <c r="F938" t="s">
        <v>2586</v>
      </c>
      <c r="G938" t="s">
        <v>1817</v>
      </c>
    </row>
    <row r="939" spans="1:7" hidden="1" x14ac:dyDescent="0.25">
      <c r="A939" t="s">
        <v>4</v>
      </c>
      <c r="B939" t="s">
        <v>8</v>
      </c>
      <c r="F939" t="s">
        <v>2589</v>
      </c>
      <c r="G939" t="s">
        <v>1934</v>
      </c>
    </row>
    <row r="940" spans="1:7" hidden="1" x14ac:dyDescent="0.25">
      <c r="A940" t="s">
        <v>7</v>
      </c>
      <c r="F940" t="s">
        <v>2592</v>
      </c>
      <c r="G940" t="s">
        <v>1934</v>
      </c>
    </row>
    <row r="941" spans="1:7" hidden="1" x14ac:dyDescent="0.25">
      <c r="A941" t="s">
        <v>4</v>
      </c>
      <c r="B941" t="s">
        <v>8</v>
      </c>
      <c r="F941" t="s">
        <v>2595</v>
      </c>
      <c r="G941" t="s">
        <v>1934</v>
      </c>
    </row>
    <row r="942" spans="1:7" hidden="1" x14ac:dyDescent="0.25">
      <c r="A942" t="s">
        <v>11</v>
      </c>
      <c r="F942" t="s">
        <v>2598</v>
      </c>
      <c r="G942" t="s">
        <v>1934</v>
      </c>
    </row>
    <row r="943" spans="1:7" hidden="1" x14ac:dyDescent="0.25">
      <c r="A943" t="s">
        <v>4</v>
      </c>
      <c r="B943" t="s">
        <v>8</v>
      </c>
      <c r="F943" t="s">
        <v>2601</v>
      </c>
      <c r="G943" t="s">
        <v>1934</v>
      </c>
    </row>
    <row r="944" spans="1:7" hidden="1" x14ac:dyDescent="0.25">
      <c r="A944" t="s">
        <v>2004</v>
      </c>
      <c r="F944" t="s">
        <v>2604</v>
      </c>
      <c r="G944" t="s">
        <v>1934</v>
      </c>
    </row>
    <row r="945" spans="1:7" hidden="1" x14ac:dyDescent="0.25">
      <c r="A945" t="s">
        <v>4</v>
      </c>
      <c r="B945" t="s">
        <v>8</v>
      </c>
      <c r="F945" t="s">
        <v>2607</v>
      </c>
      <c r="G945" t="s">
        <v>1934</v>
      </c>
    </row>
    <row r="946" spans="1:7" hidden="1" x14ac:dyDescent="0.25">
      <c r="A946" t="s">
        <v>2004</v>
      </c>
      <c r="F946" t="s">
        <v>2610</v>
      </c>
      <c r="G946" t="s">
        <v>1934</v>
      </c>
    </row>
    <row r="947" spans="1:7" hidden="1" x14ac:dyDescent="0.25">
      <c r="A947" t="s">
        <v>4</v>
      </c>
      <c r="B947" t="s">
        <v>8</v>
      </c>
      <c r="F947" t="s">
        <v>2613</v>
      </c>
      <c r="G947" t="s">
        <v>1934</v>
      </c>
    </row>
    <row r="948" spans="1:7" hidden="1" x14ac:dyDescent="0.25">
      <c r="A948" t="s">
        <v>2004</v>
      </c>
      <c r="F948" t="s">
        <v>2616</v>
      </c>
      <c r="G948" t="s">
        <v>1934</v>
      </c>
    </row>
    <row r="949" spans="1:7" hidden="1" x14ac:dyDescent="0.25">
      <c r="A949" t="s">
        <v>4</v>
      </c>
      <c r="B949" t="s">
        <v>8</v>
      </c>
      <c r="F949" t="s">
        <v>2619</v>
      </c>
      <c r="G949" t="s">
        <v>1934</v>
      </c>
    </row>
    <row r="950" spans="1:7" hidden="1" x14ac:dyDescent="0.25">
      <c r="A950" t="s">
        <v>2004</v>
      </c>
      <c r="F950" t="s">
        <v>2622</v>
      </c>
      <c r="G950" t="s">
        <v>1934</v>
      </c>
    </row>
    <row r="951" spans="1:7" hidden="1" x14ac:dyDescent="0.25">
      <c r="A951" t="s">
        <v>4</v>
      </c>
      <c r="B951" t="s">
        <v>8</v>
      </c>
      <c r="F951" t="s">
        <v>2625</v>
      </c>
      <c r="G951" t="s">
        <v>1934</v>
      </c>
    </row>
    <row r="952" spans="1:7" hidden="1" x14ac:dyDescent="0.25">
      <c r="A952" t="s">
        <v>2004</v>
      </c>
      <c r="F952" t="s">
        <v>2628</v>
      </c>
      <c r="G952" t="s">
        <v>1934</v>
      </c>
    </row>
    <row r="953" spans="1:7" x14ac:dyDescent="0.25">
      <c r="A953" t="s">
        <v>4</v>
      </c>
      <c r="B953" t="s">
        <v>8</v>
      </c>
      <c r="F953" t="s">
        <v>2976</v>
      </c>
      <c r="G953" t="s">
        <v>1997</v>
      </c>
    </row>
    <row r="954" spans="1:7" x14ac:dyDescent="0.25">
      <c r="A954" t="s">
        <v>533</v>
      </c>
      <c r="B954" t="s">
        <v>531</v>
      </c>
      <c r="C954" t="s">
        <v>58</v>
      </c>
      <c r="E954" t="s">
        <v>2979</v>
      </c>
      <c r="F954" t="s">
        <v>2896</v>
      </c>
      <c r="G954" t="s">
        <v>1997</v>
      </c>
    </row>
    <row r="955" spans="1:7" x14ac:dyDescent="0.25">
      <c r="A955" t="s">
        <v>533</v>
      </c>
      <c r="B955" t="s">
        <v>531</v>
      </c>
      <c r="C955" t="s">
        <v>58</v>
      </c>
      <c r="E955" t="s">
        <v>2979</v>
      </c>
      <c r="F955" t="s">
        <v>2899</v>
      </c>
      <c r="G955" t="s">
        <v>1997</v>
      </c>
    </row>
    <row r="956" spans="1:7" x14ac:dyDescent="0.25">
      <c r="A956" t="s">
        <v>533</v>
      </c>
      <c r="B956" t="s">
        <v>531</v>
      </c>
      <c r="C956" t="s">
        <v>58</v>
      </c>
      <c r="E956" t="s">
        <v>2979</v>
      </c>
      <c r="F956" t="s">
        <v>2902</v>
      </c>
      <c r="G956" t="s">
        <v>1997</v>
      </c>
    </row>
    <row r="957" spans="1:7" x14ac:dyDescent="0.25">
      <c r="A957" t="s">
        <v>2004</v>
      </c>
      <c r="F957" t="s">
        <v>2905</v>
      </c>
      <c r="G957" t="s">
        <v>1997</v>
      </c>
    </row>
    <row r="958" spans="1:7" x14ac:dyDescent="0.25">
      <c r="A958" t="s">
        <v>2004</v>
      </c>
      <c r="F958" t="s">
        <v>2908</v>
      </c>
      <c r="G958" t="s">
        <v>1997</v>
      </c>
    </row>
    <row r="959" spans="1:7" x14ac:dyDescent="0.25">
      <c r="A959" t="s">
        <v>2014</v>
      </c>
      <c r="F959" t="s">
        <v>2911</v>
      </c>
      <c r="G959" t="s">
        <v>1997</v>
      </c>
    </row>
    <row r="960" spans="1:7" x14ac:dyDescent="0.25">
      <c r="A960" t="s">
        <v>2004</v>
      </c>
      <c r="F960" t="s">
        <v>2914</v>
      </c>
      <c r="G960" t="s">
        <v>1997</v>
      </c>
    </row>
    <row r="961" spans="1:7" x14ac:dyDescent="0.25">
      <c r="A961" t="s">
        <v>2004</v>
      </c>
      <c r="F961" t="s">
        <v>2917</v>
      </c>
      <c r="G961" t="s">
        <v>1997</v>
      </c>
    </row>
    <row r="962" spans="1:7" hidden="1" x14ac:dyDescent="0.25">
      <c r="A962" t="s">
        <v>91</v>
      </c>
      <c r="B962" t="s">
        <v>70</v>
      </c>
      <c r="F962" t="s">
        <v>2994</v>
      </c>
      <c r="G962" t="s">
        <v>1102</v>
      </c>
    </row>
    <row r="963" spans="1:7" hidden="1" x14ac:dyDescent="0.25">
      <c r="A963" t="s">
        <v>62</v>
      </c>
      <c r="B963" t="s">
        <v>70</v>
      </c>
      <c r="F963" t="s">
        <v>2997</v>
      </c>
      <c r="G963" t="s">
        <v>1102</v>
      </c>
    </row>
    <row r="964" spans="1:7" hidden="1" x14ac:dyDescent="0.25">
      <c r="A964" t="s">
        <v>3018</v>
      </c>
      <c r="B964" t="s">
        <v>1607</v>
      </c>
      <c r="C964" t="s">
        <v>2929</v>
      </c>
      <c r="F964" t="s">
        <v>3000</v>
      </c>
      <c r="G964" t="s">
        <v>1102</v>
      </c>
    </row>
    <row r="965" spans="1:7" hidden="1" x14ac:dyDescent="0.25">
      <c r="A965" t="s">
        <v>91</v>
      </c>
      <c r="B965" t="s">
        <v>70</v>
      </c>
      <c r="C965" t="s">
        <v>58</v>
      </c>
      <c r="F965" t="s">
        <v>3003</v>
      </c>
      <c r="G965" t="s">
        <v>1102</v>
      </c>
    </row>
    <row r="966" spans="1:7" hidden="1" x14ac:dyDescent="0.25">
      <c r="A966" t="s">
        <v>62</v>
      </c>
      <c r="B966" t="s">
        <v>70</v>
      </c>
      <c r="C966" t="s">
        <v>51</v>
      </c>
      <c r="F966" t="s">
        <v>3006</v>
      </c>
      <c r="G966" t="s">
        <v>1102</v>
      </c>
    </row>
    <row r="967" spans="1:7" hidden="1" x14ac:dyDescent="0.25">
      <c r="A967" t="s">
        <v>91</v>
      </c>
      <c r="B967" t="s">
        <v>70</v>
      </c>
      <c r="C967" t="s">
        <v>58</v>
      </c>
      <c r="F967" t="s">
        <v>3009</v>
      </c>
      <c r="G967" t="s">
        <v>1102</v>
      </c>
    </row>
    <row r="968" spans="1:7" hidden="1" x14ac:dyDescent="0.25">
      <c r="A968" t="s">
        <v>3019</v>
      </c>
      <c r="B968" t="s">
        <v>70</v>
      </c>
      <c r="C968" t="s">
        <v>58</v>
      </c>
      <c r="F968" t="s">
        <v>3012</v>
      </c>
      <c r="G968" t="s">
        <v>1102</v>
      </c>
    </row>
    <row r="969" spans="1:7" hidden="1" x14ac:dyDescent="0.25">
      <c r="A969" t="s">
        <v>3019</v>
      </c>
      <c r="B969" t="s">
        <v>70</v>
      </c>
      <c r="C969" t="s">
        <v>58</v>
      </c>
      <c r="E969" t="s">
        <v>2936</v>
      </c>
      <c r="F969" t="s">
        <v>3015</v>
      </c>
      <c r="G969" t="s">
        <v>1102</v>
      </c>
    </row>
    <row r="970" spans="1:7" hidden="1" x14ac:dyDescent="0.25">
      <c r="A970" t="s">
        <v>289</v>
      </c>
      <c r="B970" t="s">
        <v>86</v>
      </c>
      <c r="C970" t="s">
        <v>3071</v>
      </c>
      <c r="E970" t="s">
        <v>3072</v>
      </c>
      <c r="F970" t="s">
        <v>3020</v>
      </c>
      <c r="G970" t="s">
        <v>1103</v>
      </c>
    </row>
    <row r="971" spans="1:7" hidden="1" x14ac:dyDescent="0.25">
      <c r="A971" t="s">
        <v>3073</v>
      </c>
      <c r="B971" t="s">
        <v>86</v>
      </c>
      <c r="C971" t="s">
        <v>3071</v>
      </c>
      <c r="E971" t="s">
        <v>3074</v>
      </c>
      <c r="F971" t="s">
        <v>3023</v>
      </c>
      <c r="G971" t="s">
        <v>1103</v>
      </c>
    </row>
    <row r="972" spans="1:7" hidden="1" x14ac:dyDescent="0.25">
      <c r="A972" t="s">
        <v>289</v>
      </c>
      <c r="B972" t="s">
        <v>86</v>
      </c>
      <c r="C972" t="s">
        <v>3071</v>
      </c>
      <c r="E972" t="s">
        <v>3072</v>
      </c>
      <c r="F972" t="s">
        <v>3026</v>
      </c>
      <c r="G972" t="s">
        <v>1103</v>
      </c>
    </row>
    <row r="973" spans="1:7" hidden="1" x14ac:dyDescent="0.25">
      <c r="A973" t="s">
        <v>3073</v>
      </c>
      <c r="B973" t="s">
        <v>86</v>
      </c>
      <c r="C973" t="s">
        <v>3071</v>
      </c>
      <c r="E973" t="s">
        <v>3074</v>
      </c>
      <c r="F973" t="s">
        <v>3029</v>
      </c>
      <c r="G973" t="s">
        <v>1103</v>
      </c>
    </row>
    <row r="974" spans="1:7" hidden="1" x14ac:dyDescent="0.25">
      <c r="A974" t="s">
        <v>158</v>
      </c>
      <c r="B974" t="s">
        <v>86</v>
      </c>
      <c r="C974" t="s">
        <v>60</v>
      </c>
      <c r="D974">
        <v>4</v>
      </c>
      <c r="E974" t="s">
        <v>3075</v>
      </c>
      <c r="F974" t="s">
        <v>3032</v>
      </c>
      <c r="G974" t="s">
        <v>1103</v>
      </c>
    </row>
    <row r="975" spans="1:7" hidden="1" x14ac:dyDescent="0.25">
      <c r="A975" t="s">
        <v>289</v>
      </c>
      <c r="B975" t="s">
        <v>86</v>
      </c>
      <c r="C975" t="s">
        <v>3071</v>
      </c>
      <c r="E975" t="s">
        <v>3072</v>
      </c>
      <c r="F975" t="s">
        <v>3035</v>
      </c>
      <c r="G975" t="s">
        <v>1103</v>
      </c>
    </row>
    <row r="976" spans="1:7" hidden="1" x14ac:dyDescent="0.25">
      <c r="A976" t="s">
        <v>3073</v>
      </c>
      <c r="B976" t="s">
        <v>86</v>
      </c>
      <c r="C976" t="s">
        <v>3071</v>
      </c>
      <c r="E976" t="s">
        <v>3074</v>
      </c>
      <c r="F976" t="s">
        <v>3038</v>
      </c>
      <c r="G976" t="s">
        <v>1103</v>
      </c>
    </row>
    <row r="977" spans="1:7" hidden="1" x14ac:dyDescent="0.25">
      <c r="A977" t="s">
        <v>289</v>
      </c>
      <c r="B977" t="s">
        <v>86</v>
      </c>
      <c r="C977" t="s">
        <v>3071</v>
      </c>
      <c r="E977" t="s">
        <v>3072</v>
      </c>
      <c r="F977" t="s">
        <v>3041</v>
      </c>
      <c r="G977" t="s">
        <v>1103</v>
      </c>
    </row>
    <row r="978" spans="1:7" hidden="1" x14ac:dyDescent="0.25">
      <c r="A978" t="s">
        <v>3073</v>
      </c>
      <c r="B978" t="s">
        <v>86</v>
      </c>
      <c r="C978" t="s">
        <v>3071</v>
      </c>
      <c r="E978" t="s">
        <v>3074</v>
      </c>
      <c r="F978" t="s">
        <v>3044</v>
      </c>
      <c r="G978" t="s">
        <v>1103</v>
      </c>
    </row>
    <row r="979" spans="1:7" hidden="1" x14ac:dyDescent="0.25">
      <c r="A979" t="s">
        <v>289</v>
      </c>
      <c r="B979" t="s">
        <v>86</v>
      </c>
      <c r="C979" t="s">
        <v>3071</v>
      </c>
      <c r="E979" t="s">
        <v>3072</v>
      </c>
      <c r="F979" t="s">
        <v>3047</v>
      </c>
      <c r="G979" t="s">
        <v>1103</v>
      </c>
    </row>
    <row r="980" spans="1:7" hidden="1" x14ac:dyDescent="0.25">
      <c r="A980" t="s">
        <v>3073</v>
      </c>
      <c r="B980" t="s">
        <v>86</v>
      </c>
      <c r="C980" t="s">
        <v>3071</v>
      </c>
      <c r="E980" t="s">
        <v>3074</v>
      </c>
      <c r="F980" t="s">
        <v>3050</v>
      </c>
      <c r="G980" t="s">
        <v>1103</v>
      </c>
    </row>
    <row r="981" spans="1:7" hidden="1" x14ac:dyDescent="0.25">
      <c r="A981" t="s">
        <v>289</v>
      </c>
      <c r="B981" t="s">
        <v>86</v>
      </c>
      <c r="C981" t="s">
        <v>3076</v>
      </c>
      <c r="D981">
        <v>1</v>
      </c>
      <c r="F981" t="s">
        <v>3053</v>
      </c>
      <c r="G981" t="s">
        <v>1103</v>
      </c>
    </row>
    <row r="982" spans="1:7" hidden="1" x14ac:dyDescent="0.25">
      <c r="A982" t="s">
        <v>3073</v>
      </c>
      <c r="B982" t="s">
        <v>86</v>
      </c>
      <c r="C982" t="s">
        <v>3076</v>
      </c>
      <c r="D982">
        <v>1</v>
      </c>
      <c r="E982" t="s">
        <v>3077</v>
      </c>
      <c r="F982" t="s">
        <v>3056</v>
      </c>
      <c r="G982" t="s">
        <v>1103</v>
      </c>
    </row>
    <row r="983" spans="1:7" hidden="1" x14ac:dyDescent="0.25">
      <c r="A983" t="s">
        <v>289</v>
      </c>
      <c r="B983" t="s">
        <v>86</v>
      </c>
      <c r="C983" t="s">
        <v>3076</v>
      </c>
      <c r="D983">
        <v>1</v>
      </c>
      <c r="F983" t="s">
        <v>3059</v>
      </c>
      <c r="G983" t="s">
        <v>1103</v>
      </c>
    </row>
    <row r="984" spans="1:7" hidden="1" x14ac:dyDescent="0.25">
      <c r="A984" t="s">
        <v>3073</v>
      </c>
      <c r="B984" t="s">
        <v>86</v>
      </c>
      <c r="C984" t="s">
        <v>3076</v>
      </c>
      <c r="D984">
        <v>1</v>
      </c>
      <c r="E984" t="s">
        <v>3077</v>
      </c>
      <c r="F984" t="s">
        <v>3062</v>
      </c>
      <c r="G984" t="s">
        <v>1103</v>
      </c>
    </row>
    <row r="985" spans="1:7" hidden="1" x14ac:dyDescent="0.25">
      <c r="A985" t="s">
        <v>158</v>
      </c>
      <c r="B985" t="s">
        <v>86</v>
      </c>
      <c r="C985" t="s">
        <v>60</v>
      </c>
      <c r="D985">
        <v>1</v>
      </c>
      <c r="E985" t="s">
        <v>3075</v>
      </c>
      <c r="F985" t="s">
        <v>3065</v>
      </c>
      <c r="G985" t="s">
        <v>1103</v>
      </c>
    </row>
    <row r="986" spans="1:7" hidden="1" x14ac:dyDescent="0.25">
      <c r="A986" t="s">
        <v>4</v>
      </c>
      <c r="B986" t="s">
        <v>8</v>
      </c>
      <c r="E986" t="s">
        <v>3078</v>
      </c>
      <c r="F986" t="s">
        <v>3068</v>
      </c>
      <c r="G986" t="s">
        <v>1103</v>
      </c>
    </row>
    <row r="987" spans="1:7" hidden="1" x14ac:dyDescent="0.25">
      <c r="A987" t="s">
        <v>4190</v>
      </c>
      <c r="B987" t="s">
        <v>4192</v>
      </c>
      <c r="C987" t="s">
        <v>51</v>
      </c>
      <c r="F987" t="s">
        <v>3225</v>
      </c>
      <c r="G987" t="s">
        <v>1102</v>
      </c>
    </row>
    <row r="988" spans="1:7" hidden="1" x14ac:dyDescent="0.25">
      <c r="A988" t="s">
        <v>85</v>
      </c>
      <c r="B988" t="s">
        <v>4192</v>
      </c>
      <c r="C988" t="s">
        <v>58</v>
      </c>
      <c r="F988" t="s">
        <v>3228</v>
      </c>
      <c r="G988" t="s">
        <v>1102</v>
      </c>
    </row>
    <row r="989" spans="1:7" hidden="1" x14ac:dyDescent="0.25">
      <c r="A989" t="s">
        <v>91</v>
      </c>
      <c r="B989" t="s">
        <v>4192</v>
      </c>
      <c r="C989" t="s">
        <v>58</v>
      </c>
      <c r="F989" t="s">
        <v>3231</v>
      </c>
      <c r="G989" t="s">
        <v>1102</v>
      </c>
    </row>
    <row r="990" spans="1:7" hidden="1" x14ac:dyDescent="0.25">
      <c r="A990" t="s">
        <v>62</v>
      </c>
      <c r="B990" t="s">
        <v>4192</v>
      </c>
      <c r="C990" t="s">
        <v>58</v>
      </c>
      <c r="F990" t="s">
        <v>3234</v>
      </c>
      <c r="G990" t="s">
        <v>1102</v>
      </c>
    </row>
    <row r="991" spans="1:7" hidden="1" x14ac:dyDescent="0.25">
      <c r="A991" t="s">
        <v>4190</v>
      </c>
      <c r="B991" t="s">
        <v>4191</v>
      </c>
      <c r="F991" t="s">
        <v>3237</v>
      </c>
      <c r="G991" t="s">
        <v>1102</v>
      </c>
    </row>
    <row r="992" spans="1:7" hidden="1" x14ac:dyDescent="0.25">
      <c r="A992" t="s">
        <v>85</v>
      </c>
      <c r="B992" t="s">
        <v>4191</v>
      </c>
      <c r="F992" t="s">
        <v>3240</v>
      </c>
      <c r="G992" t="s">
        <v>1102</v>
      </c>
    </row>
    <row r="993" spans="1:7" hidden="1" x14ac:dyDescent="0.25">
      <c r="A993" t="s">
        <v>64</v>
      </c>
      <c r="B993" t="s">
        <v>4193</v>
      </c>
      <c r="F993" t="s">
        <v>3243</v>
      </c>
      <c r="G993" t="s">
        <v>1102</v>
      </c>
    </row>
    <row r="994" spans="1:7" hidden="1" x14ac:dyDescent="0.25">
      <c r="A994" t="s">
        <v>85</v>
      </c>
      <c r="B994" t="s">
        <v>4193</v>
      </c>
      <c r="F994" t="s">
        <v>3246</v>
      </c>
      <c r="G994" t="s">
        <v>1102</v>
      </c>
    </row>
    <row r="995" spans="1:7" hidden="1" x14ac:dyDescent="0.25">
      <c r="A995" t="s">
        <v>91</v>
      </c>
      <c r="B995" t="s">
        <v>4194</v>
      </c>
      <c r="C995" t="s">
        <v>51</v>
      </c>
      <c r="F995" t="s">
        <v>3249</v>
      </c>
      <c r="G995" t="s">
        <v>1102</v>
      </c>
    </row>
    <row r="996" spans="1:7" hidden="1" x14ac:dyDescent="0.25">
      <c r="A996" t="s">
        <v>91</v>
      </c>
      <c r="B996" t="s">
        <v>4195</v>
      </c>
      <c r="C996" t="s">
        <v>51</v>
      </c>
      <c r="F996" t="s">
        <v>3252</v>
      </c>
      <c r="G996" t="s">
        <v>1102</v>
      </c>
    </row>
    <row r="997" spans="1:7" hidden="1" x14ac:dyDescent="0.25">
      <c r="A997" t="s">
        <v>91</v>
      </c>
      <c r="B997" t="s">
        <v>4194</v>
      </c>
      <c r="C997" t="s">
        <v>4196</v>
      </c>
      <c r="E997" t="s">
        <v>4197</v>
      </c>
      <c r="F997" t="s">
        <v>3255</v>
      </c>
      <c r="G997" t="s">
        <v>1102</v>
      </c>
    </row>
    <row r="998" spans="1:7" hidden="1" x14ac:dyDescent="0.25">
      <c r="A998" t="s">
        <v>62</v>
      </c>
      <c r="B998" t="s">
        <v>4194</v>
      </c>
      <c r="C998" t="s">
        <v>4196</v>
      </c>
      <c r="F998" t="s">
        <v>3258</v>
      </c>
      <c r="G998" t="s">
        <v>1102</v>
      </c>
    </row>
    <row r="999" spans="1:7" hidden="1" x14ac:dyDescent="0.25">
      <c r="A999" t="s">
        <v>4198</v>
      </c>
      <c r="B999" t="s">
        <v>4192</v>
      </c>
      <c r="C999" t="s">
        <v>51</v>
      </c>
      <c r="F999" t="s">
        <v>3261</v>
      </c>
      <c r="G999" t="s">
        <v>1103</v>
      </c>
    </row>
    <row r="1000" spans="1:7" hidden="1" x14ac:dyDescent="0.25">
      <c r="A1000" t="s">
        <v>4199</v>
      </c>
      <c r="B1000" t="s">
        <v>4200</v>
      </c>
      <c r="E1000" t="s">
        <v>3075</v>
      </c>
      <c r="F1000" t="s">
        <v>3264</v>
      </c>
      <c r="G1000" t="s">
        <v>1103</v>
      </c>
    </row>
    <row r="1001" spans="1:7" hidden="1" x14ac:dyDescent="0.25">
      <c r="A1001" t="s">
        <v>4199</v>
      </c>
      <c r="B1001" t="s">
        <v>4200</v>
      </c>
      <c r="E1001" t="s">
        <v>2936</v>
      </c>
      <c r="F1001" t="s">
        <v>3267</v>
      </c>
      <c r="G1001" t="s">
        <v>1103</v>
      </c>
    </row>
    <row r="1002" spans="1:7" hidden="1" x14ac:dyDescent="0.25">
      <c r="A1002" t="s">
        <v>4199</v>
      </c>
      <c r="B1002" t="s">
        <v>4200</v>
      </c>
      <c r="E1002" t="s">
        <v>2936</v>
      </c>
      <c r="F1002" t="s">
        <v>3270</v>
      </c>
      <c r="G1002" t="s">
        <v>1103</v>
      </c>
    </row>
    <row r="1003" spans="1:7" hidden="1" x14ac:dyDescent="0.25">
      <c r="A1003" t="s">
        <v>4199</v>
      </c>
      <c r="B1003" t="s">
        <v>4200</v>
      </c>
      <c r="E1003" t="s">
        <v>2936</v>
      </c>
      <c r="F1003" t="s">
        <v>3273</v>
      </c>
      <c r="G1003" t="s">
        <v>1103</v>
      </c>
    </row>
    <row r="1004" spans="1:7" hidden="1" x14ac:dyDescent="0.25">
      <c r="A1004" t="s">
        <v>4199</v>
      </c>
      <c r="B1004" t="s">
        <v>4200</v>
      </c>
      <c r="E1004" t="s">
        <v>2936</v>
      </c>
      <c r="F1004" t="s">
        <v>3276</v>
      </c>
      <c r="G1004" t="s">
        <v>1103</v>
      </c>
    </row>
    <row r="1005" spans="1:7" hidden="1" x14ac:dyDescent="0.25">
      <c r="A1005" t="s">
        <v>4199</v>
      </c>
      <c r="B1005" t="s">
        <v>4200</v>
      </c>
      <c r="E1005" t="s">
        <v>2936</v>
      </c>
      <c r="F1005" t="s">
        <v>3279</v>
      </c>
      <c r="G1005" t="s">
        <v>1103</v>
      </c>
    </row>
    <row r="1006" spans="1:7" hidden="1" x14ac:dyDescent="0.25">
      <c r="A1006" t="s">
        <v>4199</v>
      </c>
      <c r="B1006" t="s">
        <v>4200</v>
      </c>
      <c r="E1006" t="s">
        <v>2936</v>
      </c>
      <c r="F1006" t="s">
        <v>3282</v>
      </c>
      <c r="G1006" t="s">
        <v>1103</v>
      </c>
    </row>
    <row r="1007" spans="1:7" hidden="1" x14ac:dyDescent="0.25">
      <c r="A1007" t="s">
        <v>4199</v>
      </c>
      <c r="B1007" t="s">
        <v>4200</v>
      </c>
      <c r="E1007" t="s">
        <v>2936</v>
      </c>
      <c r="F1007" t="s">
        <v>3285</v>
      </c>
      <c r="G1007" t="s">
        <v>1103</v>
      </c>
    </row>
    <row r="1008" spans="1:7" hidden="1" x14ac:dyDescent="0.25">
      <c r="A1008" t="s">
        <v>4199</v>
      </c>
      <c r="B1008" t="s">
        <v>4200</v>
      </c>
      <c r="E1008" t="s">
        <v>2936</v>
      </c>
      <c r="F1008" t="s">
        <v>3288</v>
      </c>
      <c r="G1008" t="s">
        <v>1103</v>
      </c>
    </row>
    <row r="1009" spans="1:7" hidden="1" x14ac:dyDescent="0.25">
      <c r="A1009" t="s">
        <v>4199</v>
      </c>
      <c r="B1009" t="s">
        <v>4200</v>
      </c>
      <c r="E1009" t="s">
        <v>2936</v>
      </c>
      <c r="F1009" t="s">
        <v>3291</v>
      </c>
      <c r="G1009" t="s">
        <v>1103</v>
      </c>
    </row>
    <row r="1010" spans="1:7" hidden="1" x14ac:dyDescent="0.25">
      <c r="A1010" t="s">
        <v>4199</v>
      </c>
      <c r="B1010" t="s">
        <v>4200</v>
      </c>
      <c r="E1010" t="s">
        <v>2936</v>
      </c>
      <c r="F1010" t="s">
        <v>3294</v>
      </c>
      <c r="G1010" t="s">
        <v>1103</v>
      </c>
    </row>
    <row r="1011" spans="1:7" hidden="1" x14ac:dyDescent="0.25">
      <c r="A1011" t="s">
        <v>289</v>
      </c>
      <c r="B1011" t="s">
        <v>86</v>
      </c>
      <c r="C1011" t="s">
        <v>3071</v>
      </c>
      <c r="E1011" t="s">
        <v>3072</v>
      </c>
      <c r="F1011" t="s">
        <v>3297</v>
      </c>
      <c r="G1011" t="s">
        <v>1103</v>
      </c>
    </row>
    <row r="1012" spans="1:7" hidden="1" x14ac:dyDescent="0.25">
      <c r="A1012" t="s">
        <v>3073</v>
      </c>
      <c r="B1012" t="s">
        <v>86</v>
      </c>
      <c r="C1012" t="s">
        <v>3071</v>
      </c>
      <c r="E1012" t="s">
        <v>3074</v>
      </c>
      <c r="F1012" t="s">
        <v>3300</v>
      </c>
      <c r="G1012" t="s">
        <v>1103</v>
      </c>
    </row>
    <row r="1013" spans="1:7" hidden="1" x14ac:dyDescent="0.25">
      <c r="A1013" t="s">
        <v>289</v>
      </c>
      <c r="B1013" t="s">
        <v>86</v>
      </c>
      <c r="C1013" t="s">
        <v>3071</v>
      </c>
      <c r="E1013" t="s">
        <v>3072</v>
      </c>
      <c r="F1013" t="s">
        <v>3303</v>
      </c>
      <c r="G1013" t="s">
        <v>1103</v>
      </c>
    </row>
    <row r="1014" spans="1:7" hidden="1" x14ac:dyDescent="0.25">
      <c r="A1014" t="s">
        <v>3073</v>
      </c>
      <c r="B1014" t="s">
        <v>86</v>
      </c>
      <c r="C1014" t="s">
        <v>3071</v>
      </c>
      <c r="E1014" t="s">
        <v>3074</v>
      </c>
      <c r="F1014" t="s">
        <v>3306</v>
      </c>
      <c r="G1014" t="s">
        <v>1103</v>
      </c>
    </row>
    <row r="1015" spans="1:7" hidden="1" x14ac:dyDescent="0.25">
      <c r="A1015" t="s">
        <v>289</v>
      </c>
      <c r="B1015" t="s">
        <v>86</v>
      </c>
      <c r="C1015" t="s">
        <v>3071</v>
      </c>
      <c r="E1015" t="s">
        <v>3072</v>
      </c>
      <c r="F1015" t="s">
        <v>3309</v>
      </c>
      <c r="G1015" t="s">
        <v>1103</v>
      </c>
    </row>
    <row r="1016" spans="1:7" hidden="1" x14ac:dyDescent="0.25">
      <c r="A1016" t="s">
        <v>3073</v>
      </c>
      <c r="B1016" t="s">
        <v>86</v>
      </c>
      <c r="C1016" t="s">
        <v>3071</v>
      </c>
      <c r="E1016" t="s">
        <v>3074</v>
      </c>
      <c r="F1016" t="s">
        <v>3312</v>
      </c>
      <c r="G1016" t="s">
        <v>1103</v>
      </c>
    </row>
    <row r="1017" spans="1:7" hidden="1" x14ac:dyDescent="0.25">
      <c r="A1017" t="s">
        <v>289</v>
      </c>
      <c r="B1017" t="s">
        <v>86</v>
      </c>
      <c r="C1017" t="s">
        <v>3071</v>
      </c>
      <c r="E1017" t="s">
        <v>3072</v>
      </c>
      <c r="F1017" t="s">
        <v>3315</v>
      </c>
      <c r="G1017" t="s">
        <v>1103</v>
      </c>
    </row>
    <row r="1018" spans="1:7" hidden="1" x14ac:dyDescent="0.25">
      <c r="A1018" t="s">
        <v>3073</v>
      </c>
      <c r="B1018" t="s">
        <v>86</v>
      </c>
      <c r="C1018" t="s">
        <v>3071</v>
      </c>
      <c r="E1018" t="s">
        <v>3074</v>
      </c>
      <c r="F1018" t="s">
        <v>3318</v>
      </c>
      <c r="G1018" t="s">
        <v>1103</v>
      </c>
    </row>
    <row r="1019" spans="1:7" hidden="1" x14ac:dyDescent="0.25">
      <c r="A1019" t="s">
        <v>4202</v>
      </c>
      <c r="B1019" t="s">
        <v>4193</v>
      </c>
      <c r="C1019" t="s">
        <v>51</v>
      </c>
      <c r="F1019" t="s">
        <v>3321</v>
      </c>
      <c r="G1019" t="s">
        <v>1103</v>
      </c>
    </row>
    <row r="1020" spans="1:7" hidden="1" x14ac:dyDescent="0.25">
      <c r="A1020" t="s">
        <v>4202</v>
      </c>
      <c r="B1020" t="s">
        <v>4193</v>
      </c>
      <c r="C1020" t="s">
        <v>51</v>
      </c>
      <c r="E1020" t="s">
        <v>2936</v>
      </c>
      <c r="F1020" t="s">
        <v>3324</v>
      </c>
      <c r="G1020" t="s">
        <v>1103</v>
      </c>
    </row>
    <row r="1021" spans="1:7" hidden="1" x14ac:dyDescent="0.25">
      <c r="A1021" t="s">
        <v>4202</v>
      </c>
      <c r="B1021" t="s">
        <v>4193</v>
      </c>
      <c r="C1021" t="s">
        <v>51</v>
      </c>
      <c r="E1021" t="s">
        <v>2936</v>
      </c>
      <c r="F1021" t="s">
        <v>3327</v>
      </c>
      <c r="G1021" t="s">
        <v>1103</v>
      </c>
    </row>
    <row r="1022" spans="1:7" hidden="1" x14ac:dyDescent="0.25">
      <c r="A1022" t="s">
        <v>4201</v>
      </c>
      <c r="B1022" t="s">
        <v>4193</v>
      </c>
      <c r="F1022" t="s">
        <v>3330</v>
      </c>
      <c r="G1022" t="s">
        <v>1103</v>
      </c>
    </row>
    <row r="1023" spans="1:7" hidden="1" x14ac:dyDescent="0.25">
      <c r="A1023" t="s">
        <v>4</v>
      </c>
      <c r="B1023" t="s">
        <v>8</v>
      </c>
      <c r="E1023" t="s">
        <v>3078</v>
      </c>
      <c r="F1023" t="s">
        <v>3333</v>
      </c>
      <c r="G1023" t="s">
        <v>1103</v>
      </c>
    </row>
    <row r="1024" spans="1:7" hidden="1" x14ac:dyDescent="0.25">
      <c r="A1024" t="s">
        <v>4</v>
      </c>
      <c r="B1024" t="s">
        <v>8</v>
      </c>
      <c r="F1024" t="s">
        <v>3336</v>
      </c>
      <c r="G1024" t="s">
        <v>91</v>
      </c>
    </row>
    <row r="1025" spans="1:7" hidden="1" x14ac:dyDescent="0.25">
      <c r="A1025" t="s">
        <v>4</v>
      </c>
      <c r="B1025" t="s">
        <v>8</v>
      </c>
      <c r="F1025" t="s">
        <v>3339</v>
      </c>
      <c r="G1025" t="s">
        <v>91</v>
      </c>
    </row>
    <row r="1026" spans="1:7" hidden="1" x14ac:dyDescent="0.25">
      <c r="A1026" t="s">
        <v>4</v>
      </c>
      <c r="B1026" t="s">
        <v>70</v>
      </c>
      <c r="C1026" t="s">
        <v>58</v>
      </c>
      <c r="F1026" t="s">
        <v>3342</v>
      </c>
      <c r="G1026" t="s">
        <v>91</v>
      </c>
    </row>
    <row r="1027" spans="1:7" hidden="1" x14ac:dyDescent="0.25">
      <c r="A1027" t="s">
        <v>4</v>
      </c>
      <c r="B1027" t="s">
        <v>70</v>
      </c>
      <c r="C1027" t="s">
        <v>51</v>
      </c>
      <c r="E1027" t="s">
        <v>4204</v>
      </c>
      <c r="F1027" t="s">
        <v>3345</v>
      </c>
      <c r="G1027" t="s">
        <v>91</v>
      </c>
    </row>
    <row r="1028" spans="1:7" hidden="1" x14ac:dyDescent="0.25">
      <c r="A1028" t="s">
        <v>4</v>
      </c>
      <c r="B1028" t="s">
        <v>8</v>
      </c>
      <c r="F1028" t="s">
        <v>3348</v>
      </c>
      <c r="G1028" t="s">
        <v>91</v>
      </c>
    </row>
    <row r="1029" spans="1:7" hidden="1" x14ac:dyDescent="0.25">
      <c r="A1029" t="s">
        <v>2004</v>
      </c>
      <c r="F1029" t="s">
        <v>3351</v>
      </c>
      <c r="G1029" t="s">
        <v>91</v>
      </c>
    </row>
    <row r="1030" spans="1:7" hidden="1" x14ac:dyDescent="0.25">
      <c r="A1030" t="s">
        <v>4</v>
      </c>
      <c r="B1030" t="s">
        <v>4192</v>
      </c>
      <c r="C1030" t="s">
        <v>58</v>
      </c>
      <c r="F1030" t="s">
        <v>3354</v>
      </c>
      <c r="G1030" t="s">
        <v>91</v>
      </c>
    </row>
    <row r="1031" spans="1:7" hidden="1" x14ac:dyDescent="0.25">
      <c r="A1031" t="s">
        <v>4</v>
      </c>
      <c r="B1031" t="s">
        <v>8</v>
      </c>
      <c r="F1031" t="s">
        <v>3357</v>
      </c>
      <c r="G1031" t="s">
        <v>91</v>
      </c>
    </row>
    <row r="1032" spans="1:7" hidden="1" x14ac:dyDescent="0.25">
      <c r="A1032" t="s">
        <v>4</v>
      </c>
      <c r="B1032" t="s">
        <v>8</v>
      </c>
      <c r="F1032" t="s">
        <v>3360</v>
      </c>
      <c r="G1032" t="s">
        <v>91</v>
      </c>
    </row>
    <row r="1033" spans="1:7" hidden="1" x14ac:dyDescent="0.25">
      <c r="A1033" t="s">
        <v>2004</v>
      </c>
      <c r="F1033" t="s">
        <v>3363</v>
      </c>
      <c r="G1033" t="s">
        <v>91</v>
      </c>
    </row>
    <row r="1034" spans="1:7" hidden="1" x14ac:dyDescent="0.25">
      <c r="A1034" t="s">
        <v>4</v>
      </c>
      <c r="B1034" t="s">
        <v>8</v>
      </c>
      <c r="F1034" t="s">
        <v>3366</v>
      </c>
      <c r="G1034" t="s">
        <v>91</v>
      </c>
    </row>
    <row r="1035" spans="1:7" hidden="1" x14ac:dyDescent="0.25">
      <c r="A1035" t="s">
        <v>2004</v>
      </c>
      <c r="F1035" t="s">
        <v>3369</v>
      </c>
      <c r="G1035" t="s">
        <v>91</v>
      </c>
    </row>
    <row r="1036" spans="1:7" hidden="1" x14ac:dyDescent="0.25">
      <c r="A1036" t="s">
        <v>4</v>
      </c>
      <c r="B1036" t="s">
        <v>8</v>
      </c>
      <c r="F1036" t="s">
        <v>3372</v>
      </c>
      <c r="G1036" t="s">
        <v>91</v>
      </c>
    </row>
    <row r="1037" spans="1:7" hidden="1" x14ac:dyDescent="0.25">
      <c r="A1037" t="s">
        <v>289</v>
      </c>
      <c r="B1037" t="s">
        <v>2927</v>
      </c>
      <c r="C1037" t="s">
        <v>53</v>
      </c>
      <c r="D1037">
        <v>4</v>
      </c>
      <c r="F1037" t="s">
        <v>3375</v>
      </c>
      <c r="G1037" t="s">
        <v>91</v>
      </c>
    </row>
    <row r="1038" spans="1:7" hidden="1" x14ac:dyDescent="0.25">
      <c r="A1038" t="s">
        <v>4</v>
      </c>
      <c r="B1038" t="s">
        <v>4194</v>
      </c>
      <c r="C1038" t="s">
        <v>4196</v>
      </c>
      <c r="F1038" t="s">
        <v>3378</v>
      </c>
      <c r="G1038" t="s">
        <v>91</v>
      </c>
    </row>
    <row r="1039" spans="1:7" hidden="1" x14ac:dyDescent="0.25">
      <c r="A1039" t="s">
        <v>4</v>
      </c>
      <c r="B1039" t="s">
        <v>8</v>
      </c>
      <c r="F1039" t="s">
        <v>3381</v>
      </c>
      <c r="G1039" t="s">
        <v>1104</v>
      </c>
    </row>
    <row r="1040" spans="1:7" hidden="1" x14ac:dyDescent="0.25">
      <c r="A1040" t="s">
        <v>4</v>
      </c>
      <c r="B1040" t="s">
        <v>70</v>
      </c>
      <c r="C1040" t="s">
        <v>58</v>
      </c>
      <c r="F1040" t="s">
        <v>3384</v>
      </c>
      <c r="G1040" t="s">
        <v>1104</v>
      </c>
    </row>
    <row r="1041" spans="1:7" hidden="1" x14ac:dyDescent="0.25">
      <c r="A1041" t="s">
        <v>4</v>
      </c>
      <c r="B1041" t="s">
        <v>70</v>
      </c>
      <c r="C1041" t="s">
        <v>51</v>
      </c>
      <c r="F1041" t="s">
        <v>3387</v>
      </c>
      <c r="G1041" t="s">
        <v>1104</v>
      </c>
    </row>
    <row r="1042" spans="1:7" hidden="1" x14ac:dyDescent="0.25">
      <c r="A1042" t="s">
        <v>4</v>
      </c>
      <c r="B1042" t="s">
        <v>8</v>
      </c>
      <c r="F1042" t="s">
        <v>3390</v>
      </c>
      <c r="G1042" t="s">
        <v>1104</v>
      </c>
    </row>
    <row r="1043" spans="1:7" hidden="1" x14ac:dyDescent="0.25">
      <c r="A1043" t="s">
        <v>4</v>
      </c>
      <c r="B1043" t="s">
        <v>8</v>
      </c>
      <c r="F1043" t="s">
        <v>3393</v>
      </c>
      <c r="G1043" t="s">
        <v>1104</v>
      </c>
    </row>
    <row r="1044" spans="1:7" hidden="1" x14ac:dyDescent="0.25">
      <c r="A1044" t="s">
        <v>4</v>
      </c>
      <c r="B1044" t="s">
        <v>8</v>
      </c>
      <c r="F1044" t="s">
        <v>3396</v>
      </c>
      <c r="G1044" t="s">
        <v>1104</v>
      </c>
    </row>
    <row r="1045" spans="1:7" hidden="1" x14ac:dyDescent="0.25">
      <c r="A1045" t="s">
        <v>4</v>
      </c>
      <c r="B1045" t="s">
        <v>8</v>
      </c>
      <c r="F1045" t="s">
        <v>3399</v>
      </c>
      <c r="G1045" t="s">
        <v>1104</v>
      </c>
    </row>
    <row r="1046" spans="1:7" hidden="1" x14ac:dyDescent="0.25">
      <c r="A1046" t="s">
        <v>4</v>
      </c>
      <c r="B1046" t="s">
        <v>4194</v>
      </c>
      <c r="C1046" t="s">
        <v>4196</v>
      </c>
      <c r="E1046" t="s">
        <v>4205</v>
      </c>
      <c r="F1046" t="s">
        <v>3402</v>
      </c>
      <c r="G1046" t="s">
        <v>1104</v>
      </c>
    </row>
    <row r="1047" spans="1:7" hidden="1" x14ac:dyDescent="0.25">
      <c r="A1047" t="s">
        <v>4</v>
      </c>
      <c r="B1047" t="s">
        <v>8</v>
      </c>
      <c r="F1047" t="s">
        <v>3079</v>
      </c>
      <c r="G1047" t="s">
        <v>1105</v>
      </c>
    </row>
    <row r="1048" spans="1:7" hidden="1" x14ac:dyDescent="0.25">
      <c r="A1048" t="s">
        <v>4</v>
      </c>
      <c r="B1048" t="s">
        <v>8</v>
      </c>
      <c r="F1048" t="s">
        <v>3082</v>
      </c>
      <c r="G1048" t="s">
        <v>1105</v>
      </c>
    </row>
    <row r="1049" spans="1:7" hidden="1" x14ac:dyDescent="0.25">
      <c r="A1049" t="s">
        <v>4</v>
      </c>
      <c r="B1049" t="s">
        <v>8</v>
      </c>
      <c r="F1049" t="s">
        <v>3085</v>
      </c>
      <c r="G1049" t="s">
        <v>1105</v>
      </c>
    </row>
    <row r="1050" spans="1:7" hidden="1" x14ac:dyDescent="0.25">
      <c r="A1050" t="s">
        <v>4</v>
      </c>
      <c r="B1050" t="s">
        <v>8</v>
      </c>
      <c r="F1050" t="s">
        <v>3088</v>
      </c>
      <c r="G1050" t="s">
        <v>1105</v>
      </c>
    </row>
    <row r="1051" spans="1:7" hidden="1" x14ac:dyDescent="0.25">
      <c r="A1051" t="s">
        <v>4</v>
      </c>
      <c r="B1051" t="s">
        <v>8</v>
      </c>
      <c r="F1051" t="s">
        <v>3091</v>
      </c>
      <c r="G1051" t="s">
        <v>1105</v>
      </c>
    </row>
    <row r="1052" spans="1:7" hidden="1" x14ac:dyDescent="0.25">
      <c r="A1052" t="s">
        <v>4</v>
      </c>
      <c r="B1052" t="s">
        <v>8</v>
      </c>
      <c r="F1052" t="s">
        <v>3094</v>
      </c>
      <c r="G1052" t="s">
        <v>1105</v>
      </c>
    </row>
    <row r="1053" spans="1:7" hidden="1" x14ac:dyDescent="0.25">
      <c r="A1053" t="s">
        <v>4</v>
      </c>
      <c r="B1053" t="s">
        <v>8</v>
      </c>
      <c r="F1053" t="s">
        <v>3097</v>
      </c>
      <c r="G1053" t="s">
        <v>1105</v>
      </c>
    </row>
    <row r="1054" spans="1:7" hidden="1" x14ac:dyDescent="0.25">
      <c r="A1054" t="s">
        <v>4</v>
      </c>
      <c r="B1054" t="s">
        <v>8</v>
      </c>
      <c r="F1054" t="s">
        <v>3100</v>
      </c>
      <c r="G1054" t="s">
        <v>1105</v>
      </c>
    </row>
    <row r="1055" spans="1:7" hidden="1" x14ac:dyDescent="0.25">
      <c r="A1055" t="s">
        <v>4</v>
      </c>
      <c r="B1055" t="s">
        <v>8</v>
      </c>
      <c r="F1055" t="s">
        <v>3405</v>
      </c>
      <c r="G1055" t="s">
        <v>1106</v>
      </c>
    </row>
    <row r="1056" spans="1:7" hidden="1" x14ac:dyDescent="0.25">
      <c r="A1056" t="s">
        <v>4</v>
      </c>
      <c r="B1056" t="s">
        <v>8</v>
      </c>
      <c r="F1056" t="s">
        <v>4206</v>
      </c>
      <c r="G1056" t="s">
        <v>1106</v>
      </c>
    </row>
    <row r="1057" spans="1:7" hidden="1" x14ac:dyDescent="0.25">
      <c r="A1057" t="s">
        <v>4</v>
      </c>
      <c r="B1057" t="s">
        <v>8</v>
      </c>
      <c r="F1057" t="s">
        <v>3408</v>
      </c>
      <c r="G1057" t="s">
        <v>1106</v>
      </c>
    </row>
    <row r="1058" spans="1:7" hidden="1" x14ac:dyDescent="0.25">
      <c r="A1058" t="s">
        <v>4209</v>
      </c>
      <c r="B1058" t="s">
        <v>4210</v>
      </c>
      <c r="F1058" t="s">
        <v>3411</v>
      </c>
      <c r="G1058" t="s">
        <v>1106</v>
      </c>
    </row>
    <row r="1059" spans="1:7" hidden="1" x14ac:dyDescent="0.25">
      <c r="A1059" t="s">
        <v>4209</v>
      </c>
      <c r="B1059" t="s">
        <v>4210</v>
      </c>
      <c r="E1059" t="s">
        <v>2936</v>
      </c>
      <c r="F1059" t="s">
        <v>3414</v>
      </c>
      <c r="G1059" t="s">
        <v>1106</v>
      </c>
    </row>
    <row r="1060" spans="1:7" hidden="1" x14ac:dyDescent="0.25">
      <c r="A1060" t="s">
        <v>4209</v>
      </c>
      <c r="B1060" t="s">
        <v>4210</v>
      </c>
      <c r="E1060" t="s">
        <v>2936</v>
      </c>
      <c r="F1060" t="s">
        <v>3417</v>
      </c>
      <c r="G1060" t="s">
        <v>1106</v>
      </c>
    </row>
    <row r="1061" spans="1:7" hidden="1" x14ac:dyDescent="0.25">
      <c r="A1061" t="s">
        <v>4209</v>
      </c>
      <c r="B1061" t="s">
        <v>4210</v>
      </c>
      <c r="E1061" t="s">
        <v>2936</v>
      </c>
      <c r="F1061" t="s">
        <v>3420</v>
      </c>
      <c r="G1061" t="s">
        <v>1106</v>
      </c>
    </row>
    <row r="1062" spans="1:7" hidden="1" x14ac:dyDescent="0.25">
      <c r="A1062" t="s">
        <v>4209</v>
      </c>
      <c r="B1062" t="s">
        <v>4210</v>
      </c>
      <c r="E1062" t="s">
        <v>2936</v>
      </c>
      <c r="F1062" t="s">
        <v>3423</v>
      </c>
      <c r="G1062" t="s">
        <v>1106</v>
      </c>
    </row>
    <row r="1063" spans="1:7" hidden="1" x14ac:dyDescent="0.25">
      <c r="A1063" t="s">
        <v>4209</v>
      </c>
      <c r="B1063" t="s">
        <v>4210</v>
      </c>
      <c r="E1063" t="s">
        <v>2936</v>
      </c>
      <c r="F1063" t="s">
        <v>3426</v>
      </c>
      <c r="G1063" t="s">
        <v>1106</v>
      </c>
    </row>
    <row r="1064" spans="1:7" hidden="1" x14ac:dyDescent="0.25">
      <c r="A1064" t="s">
        <v>4209</v>
      </c>
      <c r="B1064" t="s">
        <v>4210</v>
      </c>
      <c r="E1064" t="s">
        <v>2936</v>
      </c>
      <c r="F1064" t="s">
        <v>3429</v>
      </c>
      <c r="G1064" t="s">
        <v>1106</v>
      </c>
    </row>
    <row r="1065" spans="1:7" hidden="1" x14ac:dyDescent="0.25">
      <c r="A1065" t="s">
        <v>4209</v>
      </c>
      <c r="B1065" t="s">
        <v>4210</v>
      </c>
      <c r="E1065" t="s">
        <v>2936</v>
      </c>
      <c r="F1065" t="s">
        <v>3432</v>
      </c>
      <c r="G1065" t="s">
        <v>1106</v>
      </c>
    </row>
    <row r="1066" spans="1:7" hidden="1" x14ac:dyDescent="0.25">
      <c r="A1066" t="s">
        <v>4209</v>
      </c>
      <c r="B1066" t="s">
        <v>4210</v>
      </c>
      <c r="E1066" t="s">
        <v>2936</v>
      </c>
      <c r="F1066" t="s">
        <v>3435</v>
      </c>
      <c r="G1066" t="s">
        <v>1106</v>
      </c>
    </row>
    <row r="1067" spans="1:7" hidden="1" x14ac:dyDescent="0.25">
      <c r="A1067" t="s">
        <v>4209</v>
      </c>
      <c r="B1067" t="s">
        <v>4210</v>
      </c>
      <c r="E1067" t="s">
        <v>2936</v>
      </c>
      <c r="F1067" t="s">
        <v>3438</v>
      </c>
      <c r="G1067" t="s">
        <v>1106</v>
      </c>
    </row>
    <row r="1068" spans="1:7" hidden="1" x14ac:dyDescent="0.25">
      <c r="A1068" t="s">
        <v>4209</v>
      </c>
      <c r="B1068" t="s">
        <v>4210</v>
      </c>
      <c r="E1068" t="s">
        <v>2936</v>
      </c>
      <c r="F1068" t="s">
        <v>3441</v>
      </c>
      <c r="G1068" t="s">
        <v>1106</v>
      </c>
    </row>
    <row r="1069" spans="1:7" hidden="1" x14ac:dyDescent="0.25">
      <c r="A1069" t="s">
        <v>4209</v>
      </c>
      <c r="B1069" t="s">
        <v>4210</v>
      </c>
      <c r="E1069" t="s">
        <v>2936</v>
      </c>
      <c r="F1069" t="s">
        <v>3444</v>
      </c>
      <c r="G1069" t="s">
        <v>1106</v>
      </c>
    </row>
    <row r="1070" spans="1:7" hidden="1" x14ac:dyDescent="0.25">
      <c r="A1070" t="s">
        <v>4</v>
      </c>
      <c r="B1070" t="s">
        <v>8</v>
      </c>
      <c r="F1070" t="s">
        <v>3447</v>
      </c>
      <c r="G1070" t="s">
        <v>1106</v>
      </c>
    </row>
    <row r="1071" spans="1:7" hidden="1" x14ac:dyDescent="0.25">
      <c r="A1071" t="s">
        <v>289</v>
      </c>
      <c r="B1071" t="s">
        <v>4211</v>
      </c>
      <c r="F1071" t="s">
        <v>3450</v>
      </c>
      <c r="G1071" t="s">
        <v>1106</v>
      </c>
    </row>
    <row r="1072" spans="1:7" hidden="1" x14ac:dyDescent="0.25">
      <c r="A1072" t="s">
        <v>289</v>
      </c>
      <c r="B1072" t="s">
        <v>4211</v>
      </c>
      <c r="E1072" t="s">
        <v>2936</v>
      </c>
      <c r="F1072" t="s">
        <v>3453</v>
      </c>
      <c r="G1072" t="s">
        <v>1106</v>
      </c>
    </row>
    <row r="1073" spans="1:7" hidden="1" x14ac:dyDescent="0.25">
      <c r="A1073" t="s">
        <v>289</v>
      </c>
      <c r="B1073" t="s">
        <v>4211</v>
      </c>
      <c r="E1073" t="s">
        <v>2936</v>
      </c>
      <c r="F1073" t="s">
        <v>3456</v>
      </c>
      <c r="G1073" t="s">
        <v>1106</v>
      </c>
    </row>
    <row r="1074" spans="1:7" hidden="1" x14ac:dyDescent="0.25">
      <c r="A1074" t="s">
        <v>289</v>
      </c>
      <c r="B1074" t="s">
        <v>4211</v>
      </c>
      <c r="E1074" t="s">
        <v>2936</v>
      </c>
      <c r="F1074" t="s">
        <v>3459</v>
      </c>
      <c r="G1074" t="s">
        <v>1106</v>
      </c>
    </row>
    <row r="1075" spans="1:7" hidden="1" x14ac:dyDescent="0.25">
      <c r="A1075" t="s">
        <v>289</v>
      </c>
      <c r="B1075" t="s">
        <v>4211</v>
      </c>
      <c r="E1075" t="s">
        <v>2936</v>
      </c>
      <c r="F1075" t="s">
        <v>3462</v>
      </c>
      <c r="G1075" t="s">
        <v>1106</v>
      </c>
    </row>
    <row r="1076" spans="1:7" hidden="1" x14ac:dyDescent="0.25">
      <c r="A1076" t="s">
        <v>4</v>
      </c>
      <c r="B1076" t="s">
        <v>8</v>
      </c>
      <c r="F1076" t="s">
        <v>3465</v>
      </c>
      <c r="G1076" t="s">
        <v>1106</v>
      </c>
    </row>
    <row r="1077" spans="1:7" hidden="1" x14ac:dyDescent="0.25">
      <c r="A1077" t="s">
        <v>4</v>
      </c>
      <c r="B1077" t="s">
        <v>8</v>
      </c>
      <c r="F1077" t="s">
        <v>3468</v>
      </c>
      <c r="G1077" t="s">
        <v>1107</v>
      </c>
    </row>
    <row r="1078" spans="1:7" hidden="1" x14ac:dyDescent="0.25">
      <c r="A1078" t="s">
        <v>4</v>
      </c>
      <c r="B1078" t="s">
        <v>8</v>
      </c>
      <c r="F1078" t="s">
        <v>3471</v>
      </c>
      <c r="G1078" t="s">
        <v>1107</v>
      </c>
    </row>
    <row r="1079" spans="1:7" hidden="1" x14ac:dyDescent="0.25">
      <c r="A1079" t="s">
        <v>4</v>
      </c>
      <c r="B1079" t="s">
        <v>8</v>
      </c>
      <c r="F1079" t="s">
        <v>3474</v>
      </c>
      <c r="G1079" t="s">
        <v>1107</v>
      </c>
    </row>
    <row r="1080" spans="1:7" hidden="1" x14ac:dyDescent="0.25">
      <c r="A1080" t="s">
        <v>4212</v>
      </c>
      <c r="F1080" t="s">
        <v>4213</v>
      </c>
      <c r="G1080" t="s">
        <v>1107</v>
      </c>
    </row>
    <row r="1081" spans="1:7" hidden="1" x14ac:dyDescent="0.25">
      <c r="A1081" t="s">
        <v>4</v>
      </c>
      <c r="B1081" t="s">
        <v>8</v>
      </c>
      <c r="F1081" t="s">
        <v>3477</v>
      </c>
      <c r="G1081" t="s">
        <v>1107</v>
      </c>
    </row>
    <row r="1082" spans="1:7" hidden="1" x14ac:dyDescent="0.25">
      <c r="A1082" t="s">
        <v>4209</v>
      </c>
      <c r="B1082" t="s">
        <v>4210</v>
      </c>
      <c r="F1082" t="s">
        <v>3480</v>
      </c>
      <c r="G1082" t="s">
        <v>1107</v>
      </c>
    </row>
    <row r="1083" spans="1:7" hidden="1" x14ac:dyDescent="0.25">
      <c r="A1083" t="s">
        <v>4209</v>
      </c>
      <c r="B1083" t="s">
        <v>4210</v>
      </c>
      <c r="E1083" t="s">
        <v>2936</v>
      </c>
      <c r="F1083" t="s">
        <v>3483</v>
      </c>
      <c r="G1083" t="s">
        <v>1107</v>
      </c>
    </row>
    <row r="1084" spans="1:7" hidden="1" x14ac:dyDescent="0.25">
      <c r="A1084" t="s">
        <v>4209</v>
      </c>
      <c r="B1084" t="s">
        <v>4210</v>
      </c>
      <c r="E1084" t="s">
        <v>2936</v>
      </c>
      <c r="F1084" t="s">
        <v>3486</v>
      </c>
      <c r="G1084" t="s">
        <v>1107</v>
      </c>
    </row>
    <row r="1085" spans="1:7" hidden="1" x14ac:dyDescent="0.25">
      <c r="A1085" t="s">
        <v>4209</v>
      </c>
      <c r="B1085" t="s">
        <v>4210</v>
      </c>
      <c r="E1085" t="s">
        <v>2936</v>
      </c>
      <c r="F1085" t="s">
        <v>3489</v>
      </c>
      <c r="G1085" t="s">
        <v>1107</v>
      </c>
    </row>
    <row r="1086" spans="1:7" hidden="1" x14ac:dyDescent="0.25">
      <c r="A1086" t="s">
        <v>4209</v>
      </c>
      <c r="B1086" t="s">
        <v>4210</v>
      </c>
      <c r="E1086" t="s">
        <v>2936</v>
      </c>
      <c r="F1086" t="s">
        <v>3492</v>
      </c>
      <c r="G1086" t="s">
        <v>1107</v>
      </c>
    </row>
    <row r="1087" spans="1:7" hidden="1" x14ac:dyDescent="0.25">
      <c r="A1087" t="s">
        <v>4209</v>
      </c>
      <c r="B1087" t="s">
        <v>4210</v>
      </c>
      <c r="E1087" t="s">
        <v>2936</v>
      </c>
      <c r="F1087" t="s">
        <v>3495</v>
      </c>
      <c r="G1087" t="s">
        <v>1107</v>
      </c>
    </row>
    <row r="1088" spans="1:7" hidden="1" x14ac:dyDescent="0.25">
      <c r="A1088" t="s">
        <v>4209</v>
      </c>
      <c r="B1088" t="s">
        <v>4210</v>
      </c>
      <c r="E1088" t="s">
        <v>2936</v>
      </c>
      <c r="F1088" t="s">
        <v>3498</v>
      </c>
      <c r="G1088" t="s">
        <v>1107</v>
      </c>
    </row>
    <row r="1089" spans="1:7" hidden="1" x14ac:dyDescent="0.25">
      <c r="A1089" t="s">
        <v>4209</v>
      </c>
      <c r="B1089" t="s">
        <v>4210</v>
      </c>
      <c r="E1089" t="s">
        <v>2936</v>
      </c>
      <c r="F1089" t="s">
        <v>3501</v>
      </c>
      <c r="G1089" t="s">
        <v>1107</v>
      </c>
    </row>
    <row r="1090" spans="1:7" hidden="1" x14ac:dyDescent="0.25">
      <c r="A1090" t="s">
        <v>4209</v>
      </c>
      <c r="B1090" t="s">
        <v>4210</v>
      </c>
      <c r="E1090" t="s">
        <v>2936</v>
      </c>
      <c r="F1090" t="s">
        <v>3504</v>
      </c>
      <c r="G1090" t="s">
        <v>1107</v>
      </c>
    </row>
    <row r="1091" spans="1:7" hidden="1" x14ac:dyDescent="0.25">
      <c r="A1091" t="s">
        <v>4209</v>
      </c>
      <c r="B1091" t="s">
        <v>4210</v>
      </c>
      <c r="E1091" t="s">
        <v>2936</v>
      </c>
      <c r="F1091" t="s">
        <v>3507</v>
      </c>
      <c r="G1091" t="s">
        <v>1107</v>
      </c>
    </row>
    <row r="1092" spans="1:7" hidden="1" x14ac:dyDescent="0.25">
      <c r="A1092" t="s">
        <v>4209</v>
      </c>
      <c r="B1092" t="s">
        <v>4210</v>
      </c>
      <c r="E1092" t="s">
        <v>2936</v>
      </c>
      <c r="F1092" t="s">
        <v>3510</v>
      </c>
      <c r="G1092" t="s">
        <v>1107</v>
      </c>
    </row>
    <row r="1093" spans="1:7" hidden="1" x14ac:dyDescent="0.25">
      <c r="A1093" t="s">
        <v>4209</v>
      </c>
      <c r="B1093" t="s">
        <v>4210</v>
      </c>
      <c r="E1093" t="s">
        <v>2936</v>
      </c>
      <c r="F1093" t="s">
        <v>3513</v>
      </c>
      <c r="G1093" t="s">
        <v>1107</v>
      </c>
    </row>
    <row r="1094" spans="1:7" hidden="1" x14ac:dyDescent="0.25">
      <c r="A1094" t="s">
        <v>4209</v>
      </c>
      <c r="B1094" t="s">
        <v>4210</v>
      </c>
      <c r="E1094" t="s">
        <v>2936</v>
      </c>
      <c r="F1094" t="s">
        <v>3516</v>
      </c>
      <c r="G1094" t="s">
        <v>1107</v>
      </c>
    </row>
    <row r="1095" spans="1:7" hidden="1" x14ac:dyDescent="0.25">
      <c r="A1095" t="s">
        <v>4209</v>
      </c>
      <c r="B1095" t="s">
        <v>4210</v>
      </c>
      <c r="E1095" t="s">
        <v>2936</v>
      </c>
      <c r="F1095" t="s">
        <v>3519</v>
      </c>
      <c r="G1095" t="s">
        <v>1107</v>
      </c>
    </row>
    <row r="1096" spans="1:7" hidden="1" x14ac:dyDescent="0.25">
      <c r="A1096" t="s">
        <v>4209</v>
      </c>
      <c r="B1096" t="s">
        <v>4210</v>
      </c>
      <c r="E1096" t="s">
        <v>2936</v>
      </c>
      <c r="F1096" t="s">
        <v>3522</v>
      </c>
      <c r="G1096" t="s">
        <v>1107</v>
      </c>
    </row>
    <row r="1097" spans="1:7" hidden="1" x14ac:dyDescent="0.25">
      <c r="A1097" t="s">
        <v>4209</v>
      </c>
      <c r="B1097" t="s">
        <v>4210</v>
      </c>
      <c r="E1097" t="s">
        <v>2936</v>
      </c>
      <c r="F1097" t="s">
        <v>3525</v>
      </c>
      <c r="G1097" t="s">
        <v>1107</v>
      </c>
    </row>
    <row r="1098" spans="1:7" hidden="1" x14ac:dyDescent="0.25">
      <c r="A1098" t="s">
        <v>4209</v>
      </c>
      <c r="B1098" t="s">
        <v>4210</v>
      </c>
      <c r="E1098" t="s">
        <v>2936</v>
      </c>
      <c r="F1098" t="s">
        <v>3528</v>
      </c>
      <c r="G1098" t="s">
        <v>1107</v>
      </c>
    </row>
    <row r="1099" spans="1:7" hidden="1" x14ac:dyDescent="0.25">
      <c r="A1099" t="s">
        <v>4209</v>
      </c>
      <c r="B1099" t="s">
        <v>4210</v>
      </c>
      <c r="E1099" t="s">
        <v>2936</v>
      </c>
      <c r="F1099" t="s">
        <v>3531</v>
      </c>
      <c r="G1099" t="s">
        <v>1107</v>
      </c>
    </row>
    <row r="1100" spans="1:7" hidden="1" x14ac:dyDescent="0.25">
      <c r="A1100" t="s">
        <v>4209</v>
      </c>
      <c r="B1100" t="s">
        <v>4210</v>
      </c>
      <c r="E1100" t="s">
        <v>2936</v>
      </c>
      <c r="F1100" t="s">
        <v>3534</v>
      </c>
      <c r="G1100" t="s">
        <v>1107</v>
      </c>
    </row>
    <row r="1101" spans="1:7" hidden="1" x14ac:dyDescent="0.25">
      <c r="A1101" t="s">
        <v>4209</v>
      </c>
      <c r="B1101" t="s">
        <v>4210</v>
      </c>
      <c r="E1101" t="s">
        <v>2936</v>
      </c>
      <c r="F1101" t="s">
        <v>3537</v>
      </c>
      <c r="G1101" t="s">
        <v>1107</v>
      </c>
    </row>
    <row r="1102" spans="1:7" hidden="1" x14ac:dyDescent="0.25">
      <c r="A1102" t="s">
        <v>4216</v>
      </c>
      <c r="B1102" t="s">
        <v>4211</v>
      </c>
      <c r="F1102" t="s">
        <v>3540</v>
      </c>
      <c r="G1102" t="s">
        <v>1107</v>
      </c>
    </row>
    <row r="1103" spans="1:7" hidden="1" x14ac:dyDescent="0.25">
      <c r="A1103" t="s">
        <v>4216</v>
      </c>
      <c r="B1103" t="s">
        <v>4211</v>
      </c>
      <c r="E1103" t="s">
        <v>2936</v>
      </c>
      <c r="F1103" t="s">
        <v>3543</v>
      </c>
      <c r="G1103" t="s">
        <v>1107</v>
      </c>
    </row>
    <row r="1104" spans="1:7" hidden="1" x14ac:dyDescent="0.25">
      <c r="A1104" t="s">
        <v>4216</v>
      </c>
      <c r="B1104" t="s">
        <v>4211</v>
      </c>
      <c r="E1104" t="s">
        <v>2936</v>
      </c>
      <c r="F1104" t="s">
        <v>3546</v>
      </c>
      <c r="G1104" t="s">
        <v>1107</v>
      </c>
    </row>
    <row r="1105" spans="1:7" hidden="1" x14ac:dyDescent="0.25">
      <c r="A1105" t="s">
        <v>4216</v>
      </c>
      <c r="B1105" t="s">
        <v>4211</v>
      </c>
      <c r="E1105" t="s">
        <v>2936</v>
      </c>
      <c r="F1105" t="s">
        <v>3549</v>
      </c>
      <c r="G1105" t="s">
        <v>1107</v>
      </c>
    </row>
    <row r="1106" spans="1:7" hidden="1" x14ac:dyDescent="0.25">
      <c r="A1106" t="s">
        <v>4216</v>
      </c>
      <c r="B1106" t="s">
        <v>4211</v>
      </c>
      <c r="E1106" t="s">
        <v>2936</v>
      </c>
      <c r="F1106" t="s">
        <v>3552</v>
      </c>
      <c r="G1106" t="s">
        <v>1107</v>
      </c>
    </row>
    <row r="1107" spans="1:7" hidden="1" x14ac:dyDescent="0.25">
      <c r="A1107" t="s">
        <v>4216</v>
      </c>
      <c r="B1107" t="s">
        <v>4211</v>
      </c>
      <c r="E1107" t="s">
        <v>2936</v>
      </c>
      <c r="F1107" t="s">
        <v>3555</v>
      </c>
      <c r="G1107" t="s">
        <v>1107</v>
      </c>
    </row>
    <row r="1108" spans="1:7" hidden="1" x14ac:dyDescent="0.25">
      <c r="A1108" t="s">
        <v>4</v>
      </c>
      <c r="B1108" t="s">
        <v>8</v>
      </c>
      <c r="F1108" t="s">
        <v>3558</v>
      </c>
      <c r="G1108" t="s">
        <v>1107</v>
      </c>
    </row>
    <row r="1109" spans="1:7" hidden="1" x14ac:dyDescent="0.25">
      <c r="A1109" t="s">
        <v>1606</v>
      </c>
      <c r="B1109" t="s">
        <v>4194</v>
      </c>
      <c r="F1109" t="s">
        <v>3561</v>
      </c>
      <c r="G1109" t="s">
        <v>1107</v>
      </c>
    </row>
    <row r="1110" spans="1:7" hidden="1" x14ac:dyDescent="0.25">
      <c r="A1110" t="s">
        <v>1606</v>
      </c>
      <c r="B1110" t="s">
        <v>4217</v>
      </c>
      <c r="F1110" t="s">
        <v>3564</v>
      </c>
      <c r="G1110" t="s">
        <v>1107</v>
      </c>
    </row>
    <row r="1111" spans="1:7" hidden="1" x14ac:dyDescent="0.25">
      <c r="A1111" t="s">
        <v>289</v>
      </c>
      <c r="B1111" t="s">
        <v>4217</v>
      </c>
      <c r="C1111" t="s">
        <v>4211</v>
      </c>
      <c r="F1111" t="s">
        <v>3567</v>
      </c>
      <c r="G1111" t="s">
        <v>1107</v>
      </c>
    </row>
    <row r="1112" spans="1:7" hidden="1" x14ac:dyDescent="0.25">
      <c r="A1112" t="s">
        <v>289</v>
      </c>
      <c r="B1112" t="s">
        <v>4217</v>
      </c>
      <c r="C1112" t="s">
        <v>4211</v>
      </c>
      <c r="E1112" t="s">
        <v>2936</v>
      </c>
      <c r="F1112" t="s">
        <v>3570</v>
      </c>
      <c r="G1112" t="s">
        <v>1107</v>
      </c>
    </row>
    <row r="1113" spans="1:7" hidden="1" x14ac:dyDescent="0.25">
      <c r="A1113" t="s">
        <v>289</v>
      </c>
      <c r="B1113" t="s">
        <v>4217</v>
      </c>
      <c r="C1113" t="s">
        <v>4211</v>
      </c>
      <c r="E1113" t="s">
        <v>2936</v>
      </c>
      <c r="F1113" t="s">
        <v>3573</v>
      </c>
      <c r="G1113" t="s">
        <v>1107</v>
      </c>
    </row>
    <row r="1114" spans="1:7" hidden="1" x14ac:dyDescent="0.25">
      <c r="A1114" t="s">
        <v>289</v>
      </c>
      <c r="B1114" t="s">
        <v>4217</v>
      </c>
      <c r="C1114" t="s">
        <v>4211</v>
      </c>
      <c r="E1114" t="s">
        <v>2936</v>
      </c>
      <c r="F1114" t="s">
        <v>3576</v>
      </c>
      <c r="G1114" t="s">
        <v>1107</v>
      </c>
    </row>
    <row r="1115" spans="1:7" hidden="1" x14ac:dyDescent="0.25">
      <c r="A1115" t="s">
        <v>289</v>
      </c>
      <c r="B1115" t="s">
        <v>4217</v>
      </c>
      <c r="C1115" t="s">
        <v>4211</v>
      </c>
      <c r="E1115" t="s">
        <v>2936</v>
      </c>
      <c r="F1115" t="s">
        <v>3579</v>
      </c>
      <c r="G1115" t="s">
        <v>1107</v>
      </c>
    </row>
    <row r="1116" spans="1:7" hidden="1" x14ac:dyDescent="0.25">
      <c r="A1116" t="s">
        <v>289</v>
      </c>
      <c r="B1116" t="s">
        <v>4217</v>
      </c>
      <c r="C1116" t="s">
        <v>4211</v>
      </c>
      <c r="E1116" t="s">
        <v>2936</v>
      </c>
      <c r="F1116" t="s">
        <v>3582</v>
      </c>
      <c r="G1116" t="s">
        <v>1107</v>
      </c>
    </row>
    <row r="1117" spans="1:7" hidden="1" x14ac:dyDescent="0.25">
      <c r="A1117" t="s">
        <v>289</v>
      </c>
      <c r="B1117" t="s">
        <v>4217</v>
      </c>
      <c r="C1117" t="s">
        <v>4211</v>
      </c>
      <c r="E1117" t="s">
        <v>2936</v>
      </c>
      <c r="F1117" t="s">
        <v>3585</v>
      </c>
      <c r="G1117" t="s">
        <v>1107</v>
      </c>
    </row>
    <row r="1118" spans="1:7" hidden="1" x14ac:dyDescent="0.25">
      <c r="A1118" t="s">
        <v>289</v>
      </c>
      <c r="B1118" t="s">
        <v>4217</v>
      </c>
      <c r="C1118" t="s">
        <v>4211</v>
      </c>
      <c r="E1118" t="s">
        <v>2936</v>
      </c>
      <c r="F1118" t="s">
        <v>3588</v>
      </c>
      <c r="G1118" t="s">
        <v>1107</v>
      </c>
    </row>
    <row r="1119" spans="1:7" hidden="1" x14ac:dyDescent="0.25">
      <c r="A1119" t="s">
        <v>289</v>
      </c>
      <c r="B1119" t="s">
        <v>4217</v>
      </c>
      <c r="C1119" t="s">
        <v>4211</v>
      </c>
      <c r="E1119" t="s">
        <v>2936</v>
      </c>
      <c r="F1119" t="s">
        <v>3591</v>
      </c>
      <c r="G1119" t="s">
        <v>1107</v>
      </c>
    </row>
    <row r="1120" spans="1:7" hidden="1" x14ac:dyDescent="0.25">
      <c r="A1120" t="s">
        <v>289</v>
      </c>
      <c r="B1120" t="s">
        <v>4217</v>
      </c>
      <c r="C1120" t="s">
        <v>4211</v>
      </c>
      <c r="E1120" t="s">
        <v>2936</v>
      </c>
      <c r="F1120" t="s">
        <v>3594</v>
      </c>
      <c r="G1120" t="s">
        <v>1107</v>
      </c>
    </row>
    <row r="1121" spans="1:7" hidden="1" x14ac:dyDescent="0.25">
      <c r="A1121" t="s">
        <v>289</v>
      </c>
      <c r="B1121" t="s">
        <v>4217</v>
      </c>
      <c r="C1121" t="s">
        <v>4211</v>
      </c>
      <c r="E1121" t="s">
        <v>2936</v>
      </c>
      <c r="F1121" t="s">
        <v>3597</v>
      </c>
      <c r="G1121" t="s">
        <v>1107</v>
      </c>
    </row>
    <row r="1122" spans="1:7" hidden="1" x14ac:dyDescent="0.25">
      <c r="A1122" t="s">
        <v>289</v>
      </c>
      <c r="B1122" t="s">
        <v>4217</v>
      </c>
      <c r="C1122" t="s">
        <v>4211</v>
      </c>
      <c r="E1122" t="s">
        <v>2936</v>
      </c>
      <c r="F1122" t="s">
        <v>3600</v>
      </c>
      <c r="G1122" t="s">
        <v>1107</v>
      </c>
    </row>
    <row r="1123" spans="1:7" hidden="1" x14ac:dyDescent="0.25">
      <c r="A1123" t="s">
        <v>289</v>
      </c>
      <c r="B1123" t="s">
        <v>4217</v>
      </c>
      <c r="C1123" t="s">
        <v>4211</v>
      </c>
      <c r="E1123" t="s">
        <v>2936</v>
      </c>
      <c r="F1123" t="s">
        <v>3603</v>
      </c>
      <c r="G1123" t="s">
        <v>1107</v>
      </c>
    </row>
    <row r="1124" spans="1:7" hidden="1" x14ac:dyDescent="0.25">
      <c r="A1124" t="s">
        <v>289</v>
      </c>
      <c r="B1124" t="s">
        <v>4217</v>
      </c>
      <c r="C1124" t="s">
        <v>4211</v>
      </c>
      <c r="E1124" t="s">
        <v>2936</v>
      </c>
      <c r="F1124" t="s">
        <v>3606</v>
      </c>
      <c r="G1124" t="s">
        <v>1107</v>
      </c>
    </row>
    <row r="1125" spans="1:7" hidden="1" x14ac:dyDescent="0.25">
      <c r="A1125" t="s">
        <v>650</v>
      </c>
      <c r="B1125" t="s">
        <v>4217</v>
      </c>
      <c r="C1125" t="s">
        <v>4211</v>
      </c>
      <c r="E1125" t="s">
        <v>4218</v>
      </c>
      <c r="F1125" t="s">
        <v>3609</v>
      </c>
      <c r="G1125" t="s">
        <v>1107</v>
      </c>
    </row>
    <row r="1126" spans="1:7" hidden="1" x14ac:dyDescent="0.25">
      <c r="A1126" t="s">
        <v>289</v>
      </c>
      <c r="B1126" t="s">
        <v>4194</v>
      </c>
      <c r="C1126" t="s">
        <v>4211</v>
      </c>
      <c r="F1126" t="s">
        <v>3612</v>
      </c>
      <c r="G1126" t="s">
        <v>1107</v>
      </c>
    </row>
    <row r="1127" spans="1:7" hidden="1" x14ac:dyDescent="0.25">
      <c r="A1127" t="s">
        <v>289</v>
      </c>
      <c r="B1127" t="s">
        <v>4194</v>
      </c>
      <c r="C1127" t="s">
        <v>4211</v>
      </c>
      <c r="E1127" t="s">
        <v>2936</v>
      </c>
      <c r="F1127" t="s">
        <v>3615</v>
      </c>
      <c r="G1127" t="s">
        <v>1107</v>
      </c>
    </row>
    <row r="1128" spans="1:7" hidden="1" x14ac:dyDescent="0.25">
      <c r="A1128" t="s">
        <v>289</v>
      </c>
      <c r="B1128" t="s">
        <v>4194</v>
      </c>
      <c r="C1128" t="s">
        <v>4211</v>
      </c>
      <c r="E1128" t="s">
        <v>2936</v>
      </c>
      <c r="F1128" t="s">
        <v>3618</v>
      </c>
      <c r="G1128" t="s">
        <v>1107</v>
      </c>
    </row>
    <row r="1129" spans="1:7" hidden="1" x14ac:dyDescent="0.25">
      <c r="A1129" t="s">
        <v>289</v>
      </c>
      <c r="B1129" t="s">
        <v>4194</v>
      </c>
      <c r="C1129" t="s">
        <v>4211</v>
      </c>
      <c r="E1129" t="s">
        <v>2936</v>
      </c>
      <c r="F1129" t="s">
        <v>3621</v>
      </c>
      <c r="G1129" t="s">
        <v>1107</v>
      </c>
    </row>
    <row r="1130" spans="1:7" hidden="1" x14ac:dyDescent="0.25">
      <c r="A1130" t="s">
        <v>289</v>
      </c>
      <c r="B1130" t="s">
        <v>4194</v>
      </c>
      <c r="C1130" t="s">
        <v>4211</v>
      </c>
      <c r="E1130" t="s">
        <v>2936</v>
      </c>
      <c r="F1130" t="s">
        <v>3624</v>
      </c>
      <c r="G1130" t="s">
        <v>1107</v>
      </c>
    </row>
    <row r="1131" spans="1:7" hidden="1" x14ac:dyDescent="0.25">
      <c r="A1131" t="s">
        <v>289</v>
      </c>
      <c r="B1131" t="s">
        <v>4194</v>
      </c>
      <c r="C1131" t="s">
        <v>4211</v>
      </c>
      <c r="E1131" t="s">
        <v>2936</v>
      </c>
      <c r="F1131" t="s">
        <v>3627</v>
      </c>
      <c r="G1131" t="s">
        <v>1107</v>
      </c>
    </row>
    <row r="1132" spans="1:7" hidden="1" x14ac:dyDescent="0.25">
      <c r="A1132" t="s">
        <v>289</v>
      </c>
      <c r="B1132" t="s">
        <v>4194</v>
      </c>
      <c r="C1132" t="s">
        <v>4211</v>
      </c>
      <c r="E1132" t="s">
        <v>2936</v>
      </c>
      <c r="F1132" t="s">
        <v>3630</v>
      </c>
      <c r="G1132" t="s">
        <v>1107</v>
      </c>
    </row>
    <row r="1133" spans="1:7" hidden="1" x14ac:dyDescent="0.25">
      <c r="A1133" t="s">
        <v>289</v>
      </c>
      <c r="B1133" t="s">
        <v>4194</v>
      </c>
      <c r="C1133" t="s">
        <v>4211</v>
      </c>
      <c r="E1133" t="s">
        <v>2936</v>
      </c>
      <c r="F1133" t="s">
        <v>3633</v>
      </c>
      <c r="G1133" t="s">
        <v>1107</v>
      </c>
    </row>
    <row r="1134" spans="1:7" hidden="1" x14ac:dyDescent="0.25">
      <c r="A1134" t="s">
        <v>289</v>
      </c>
      <c r="B1134" t="s">
        <v>4194</v>
      </c>
      <c r="C1134" t="s">
        <v>4211</v>
      </c>
      <c r="E1134" t="s">
        <v>2936</v>
      </c>
      <c r="F1134" t="s">
        <v>3636</v>
      </c>
      <c r="G1134" t="s">
        <v>1107</v>
      </c>
    </row>
    <row r="1135" spans="1:7" hidden="1" x14ac:dyDescent="0.25">
      <c r="A1135" t="s">
        <v>289</v>
      </c>
      <c r="B1135" t="s">
        <v>4194</v>
      </c>
      <c r="C1135" t="s">
        <v>4211</v>
      </c>
      <c r="E1135" t="s">
        <v>2936</v>
      </c>
      <c r="F1135" t="s">
        <v>3639</v>
      </c>
      <c r="G1135" t="s">
        <v>1107</v>
      </c>
    </row>
    <row r="1136" spans="1:7" hidden="1" x14ac:dyDescent="0.25">
      <c r="A1136" t="s">
        <v>289</v>
      </c>
      <c r="B1136" t="s">
        <v>4194</v>
      </c>
      <c r="C1136" t="s">
        <v>4211</v>
      </c>
      <c r="E1136" t="s">
        <v>2936</v>
      </c>
      <c r="F1136" t="s">
        <v>3642</v>
      </c>
      <c r="G1136" t="s">
        <v>1107</v>
      </c>
    </row>
    <row r="1137" spans="1:7" hidden="1" x14ac:dyDescent="0.25">
      <c r="A1137" t="s">
        <v>289</v>
      </c>
      <c r="B1137" t="s">
        <v>4194</v>
      </c>
      <c r="C1137" t="s">
        <v>87</v>
      </c>
      <c r="F1137" t="s">
        <v>3645</v>
      </c>
      <c r="G1137" t="s">
        <v>1107</v>
      </c>
    </row>
    <row r="1138" spans="1:7" hidden="1" x14ac:dyDescent="0.25">
      <c r="A1138" t="s">
        <v>1606</v>
      </c>
      <c r="B1138" t="s">
        <v>4195</v>
      </c>
      <c r="F1138" t="s">
        <v>3648</v>
      </c>
      <c r="G1138" t="s">
        <v>1107</v>
      </c>
    </row>
    <row r="1139" spans="1:7" hidden="1" x14ac:dyDescent="0.25">
      <c r="A1139" t="s">
        <v>1606</v>
      </c>
      <c r="B1139" t="s">
        <v>4195</v>
      </c>
      <c r="E1139" t="s">
        <v>2936</v>
      </c>
      <c r="F1139" t="s">
        <v>3650</v>
      </c>
      <c r="G1139" t="s">
        <v>1107</v>
      </c>
    </row>
    <row r="1140" spans="1:7" hidden="1" x14ac:dyDescent="0.25">
      <c r="A1140" t="s">
        <v>289</v>
      </c>
      <c r="B1140" t="s">
        <v>4195</v>
      </c>
      <c r="C1140" t="s">
        <v>4211</v>
      </c>
      <c r="F1140" t="s">
        <v>3653</v>
      </c>
      <c r="G1140" t="s">
        <v>1107</v>
      </c>
    </row>
    <row r="1141" spans="1:7" hidden="1" x14ac:dyDescent="0.25">
      <c r="A1141" t="s">
        <v>289</v>
      </c>
      <c r="B1141" t="s">
        <v>4195</v>
      </c>
      <c r="C1141" t="s">
        <v>4211</v>
      </c>
      <c r="E1141" t="s">
        <v>2936</v>
      </c>
      <c r="F1141" t="s">
        <v>3656</v>
      </c>
      <c r="G1141" t="s">
        <v>1107</v>
      </c>
    </row>
    <row r="1142" spans="1:7" hidden="1" x14ac:dyDescent="0.25">
      <c r="A1142" t="s">
        <v>289</v>
      </c>
      <c r="B1142" t="s">
        <v>4195</v>
      </c>
      <c r="C1142" t="s">
        <v>4211</v>
      </c>
      <c r="E1142" t="s">
        <v>2936</v>
      </c>
      <c r="F1142" t="s">
        <v>3659</v>
      </c>
      <c r="G1142" t="s">
        <v>1107</v>
      </c>
    </row>
    <row r="1143" spans="1:7" hidden="1" x14ac:dyDescent="0.25">
      <c r="A1143" t="s">
        <v>289</v>
      </c>
      <c r="B1143" t="s">
        <v>4195</v>
      </c>
      <c r="C1143" t="s">
        <v>4211</v>
      </c>
      <c r="E1143" t="s">
        <v>2936</v>
      </c>
      <c r="F1143" t="s">
        <v>3662</v>
      </c>
      <c r="G1143" t="s">
        <v>1107</v>
      </c>
    </row>
    <row r="1144" spans="1:7" hidden="1" x14ac:dyDescent="0.25">
      <c r="A1144" t="s">
        <v>289</v>
      </c>
      <c r="B1144" t="s">
        <v>4195</v>
      </c>
      <c r="C1144" t="s">
        <v>4211</v>
      </c>
      <c r="E1144" t="s">
        <v>2936</v>
      </c>
      <c r="F1144" t="s">
        <v>3665</v>
      </c>
      <c r="G1144" t="s">
        <v>1107</v>
      </c>
    </row>
    <row r="1145" spans="1:7" hidden="1" x14ac:dyDescent="0.25">
      <c r="A1145" t="s">
        <v>289</v>
      </c>
      <c r="B1145" t="s">
        <v>4195</v>
      </c>
      <c r="C1145" t="s">
        <v>4211</v>
      </c>
      <c r="E1145" t="s">
        <v>2936</v>
      </c>
      <c r="F1145" t="s">
        <v>3668</v>
      </c>
      <c r="G1145" t="s">
        <v>1107</v>
      </c>
    </row>
    <row r="1146" spans="1:7" hidden="1" x14ac:dyDescent="0.25">
      <c r="A1146" t="s">
        <v>289</v>
      </c>
      <c r="B1146" t="s">
        <v>4195</v>
      </c>
      <c r="C1146" t="s">
        <v>4211</v>
      </c>
      <c r="E1146" t="s">
        <v>2936</v>
      </c>
      <c r="F1146" t="s">
        <v>3671</v>
      </c>
      <c r="G1146" t="s">
        <v>1107</v>
      </c>
    </row>
    <row r="1147" spans="1:7" hidden="1" x14ac:dyDescent="0.25">
      <c r="A1147" t="s">
        <v>289</v>
      </c>
      <c r="B1147" t="s">
        <v>4195</v>
      </c>
      <c r="C1147" t="s">
        <v>4211</v>
      </c>
      <c r="E1147" t="s">
        <v>2936</v>
      </c>
      <c r="F1147" t="s">
        <v>3674</v>
      </c>
      <c r="G1147" t="s">
        <v>1107</v>
      </c>
    </row>
    <row r="1148" spans="1:7" hidden="1" x14ac:dyDescent="0.25">
      <c r="A1148" t="s">
        <v>289</v>
      </c>
      <c r="B1148" t="s">
        <v>4195</v>
      </c>
      <c r="C1148" t="s">
        <v>4211</v>
      </c>
      <c r="E1148" t="s">
        <v>2936</v>
      </c>
      <c r="F1148" t="s">
        <v>3677</v>
      </c>
      <c r="G1148" t="s">
        <v>1107</v>
      </c>
    </row>
    <row r="1149" spans="1:7" hidden="1" x14ac:dyDescent="0.25">
      <c r="A1149" t="s">
        <v>289</v>
      </c>
      <c r="B1149" t="s">
        <v>4195</v>
      </c>
      <c r="C1149" t="s">
        <v>4211</v>
      </c>
      <c r="E1149" t="s">
        <v>2936</v>
      </c>
      <c r="F1149" t="s">
        <v>3680</v>
      </c>
      <c r="G1149" t="s">
        <v>1107</v>
      </c>
    </row>
    <row r="1150" spans="1:7" hidden="1" x14ac:dyDescent="0.25">
      <c r="A1150" t="s">
        <v>289</v>
      </c>
      <c r="B1150" t="s">
        <v>4195</v>
      </c>
      <c r="C1150" t="s">
        <v>4211</v>
      </c>
      <c r="E1150" t="s">
        <v>2936</v>
      </c>
      <c r="F1150" t="s">
        <v>3683</v>
      </c>
      <c r="G1150" t="s">
        <v>1107</v>
      </c>
    </row>
    <row r="1151" spans="1:7" hidden="1" x14ac:dyDescent="0.25">
      <c r="A1151" t="s">
        <v>289</v>
      </c>
      <c r="B1151" t="s">
        <v>4195</v>
      </c>
      <c r="C1151" t="s">
        <v>4211</v>
      </c>
      <c r="E1151" t="s">
        <v>2936</v>
      </c>
      <c r="F1151" t="s">
        <v>3686</v>
      </c>
      <c r="G1151" t="s">
        <v>1107</v>
      </c>
    </row>
    <row r="1152" spans="1:7" hidden="1" x14ac:dyDescent="0.25">
      <c r="A1152" t="s">
        <v>289</v>
      </c>
      <c r="B1152" t="s">
        <v>4195</v>
      </c>
      <c r="C1152" t="s">
        <v>4211</v>
      </c>
      <c r="E1152" t="s">
        <v>2936</v>
      </c>
      <c r="F1152" t="s">
        <v>3689</v>
      </c>
      <c r="G1152" t="s">
        <v>1107</v>
      </c>
    </row>
    <row r="1153" spans="1:7" hidden="1" x14ac:dyDescent="0.25">
      <c r="A1153" t="s">
        <v>289</v>
      </c>
      <c r="B1153" t="s">
        <v>4195</v>
      </c>
      <c r="C1153" t="s">
        <v>4211</v>
      </c>
      <c r="E1153" t="s">
        <v>2936</v>
      </c>
      <c r="F1153" t="s">
        <v>3692</v>
      </c>
      <c r="G1153" t="s">
        <v>1107</v>
      </c>
    </row>
    <row r="1154" spans="1:7" hidden="1" x14ac:dyDescent="0.25">
      <c r="A1154" t="s">
        <v>289</v>
      </c>
      <c r="B1154" t="s">
        <v>4195</v>
      </c>
      <c r="C1154" t="s">
        <v>4211</v>
      </c>
      <c r="E1154" t="s">
        <v>2936</v>
      </c>
      <c r="F1154" t="s">
        <v>3695</v>
      </c>
      <c r="G1154" t="s">
        <v>1107</v>
      </c>
    </row>
    <row r="1155" spans="1:7" hidden="1" x14ac:dyDescent="0.25">
      <c r="A1155" t="s">
        <v>289</v>
      </c>
      <c r="B1155" t="s">
        <v>4195</v>
      </c>
      <c r="C1155" t="s">
        <v>4211</v>
      </c>
      <c r="E1155" t="s">
        <v>2936</v>
      </c>
      <c r="F1155" t="s">
        <v>3698</v>
      </c>
      <c r="G1155" t="s">
        <v>1107</v>
      </c>
    </row>
    <row r="1156" spans="1:7" hidden="1" x14ac:dyDescent="0.25">
      <c r="A1156" t="s">
        <v>289</v>
      </c>
      <c r="B1156" t="s">
        <v>4195</v>
      </c>
      <c r="C1156" t="s">
        <v>4211</v>
      </c>
      <c r="E1156" t="s">
        <v>2936</v>
      </c>
      <c r="F1156" t="s">
        <v>3701</v>
      </c>
      <c r="G1156" t="s">
        <v>1107</v>
      </c>
    </row>
    <row r="1157" spans="1:7" hidden="1" x14ac:dyDescent="0.25">
      <c r="A1157" t="s">
        <v>289</v>
      </c>
      <c r="B1157" t="s">
        <v>4195</v>
      </c>
      <c r="C1157" t="s">
        <v>4211</v>
      </c>
      <c r="E1157" t="s">
        <v>2936</v>
      </c>
      <c r="F1157" t="s">
        <v>3704</v>
      </c>
      <c r="G1157" t="s">
        <v>1107</v>
      </c>
    </row>
    <row r="1158" spans="1:7" hidden="1" x14ac:dyDescent="0.25">
      <c r="A1158" t="s">
        <v>289</v>
      </c>
      <c r="B1158" t="s">
        <v>4195</v>
      </c>
      <c r="C1158" t="s">
        <v>4211</v>
      </c>
      <c r="E1158" t="s">
        <v>2936</v>
      </c>
      <c r="F1158" t="s">
        <v>3707</v>
      </c>
      <c r="G1158" t="s">
        <v>1107</v>
      </c>
    </row>
    <row r="1159" spans="1:7" hidden="1" x14ac:dyDescent="0.25">
      <c r="A1159" t="s">
        <v>289</v>
      </c>
      <c r="B1159" t="s">
        <v>4195</v>
      </c>
      <c r="C1159" t="s">
        <v>4211</v>
      </c>
      <c r="E1159" t="s">
        <v>2936</v>
      </c>
      <c r="F1159" t="s">
        <v>3710</v>
      </c>
      <c r="G1159" t="s">
        <v>1107</v>
      </c>
    </row>
    <row r="1160" spans="1:7" hidden="1" x14ac:dyDescent="0.25">
      <c r="A1160" t="s">
        <v>471</v>
      </c>
      <c r="B1160" t="s">
        <v>4195</v>
      </c>
      <c r="F1160" t="s">
        <v>3713</v>
      </c>
      <c r="G1160" t="s">
        <v>1107</v>
      </c>
    </row>
    <row r="1161" spans="1:7" hidden="1" x14ac:dyDescent="0.25">
      <c r="A1161" t="s">
        <v>650</v>
      </c>
      <c r="B1161" t="s">
        <v>4195</v>
      </c>
      <c r="C1161" t="s">
        <v>4211</v>
      </c>
      <c r="E1161" t="s">
        <v>4219</v>
      </c>
      <c r="F1161" t="s">
        <v>3716</v>
      </c>
      <c r="G1161" t="s">
        <v>1107</v>
      </c>
    </row>
    <row r="1162" spans="1:7" hidden="1" x14ac:dyDescent="0.25">
      <c r="A1162" t="s">
        <v>2004</v>
      </c>
      <c r="B1162" t="s">
        <v>8</v>
      </c>
      <c r="F1162" t="s">
        <v>3718</v>
      </c>
      <c r="G1162" t="s">
        <v>796</v>
      </c>
    </row>
    <row r="1163" spans="1:7" hidden="1" x14ac:dyDescent="0.25">
      <c r="A1163" t="s">
        <v>2004</v>
      </c>
      <c r="B1163" t="s">
        <v>8</v>
      </c>
      <c r="F1163" t="s">
        <v>3721</v>
      </c>
      <c r="G1163" t="s">
        <v>796</v>
      </c>
    </row>
    <row r="1164" spans="1:7" hidden="1" x14ac:dyDescent="0.25">
      <c r="A1164" t="s">
        <v>2004</v>
      </c>
      <c r="B1164" t="s">
        <v>8</v>
      </c>
      <c r="F1164" t="s">
        <v>3724</v>
      </c>
      <c r="G1164" t="s">
        <v>796</v>
      </c>
    </row>
    <row r="1165" spans="1:7" hidden="1" x14ac:dyDescent="0.25">
      <c r="A1165" t="s">
        <v>2004</v>
      </c>
      <c r="B1165" t="s">
        <v>8</v>
      </c>
      <c r="F1165" t="s">
        <v>3727</v>
      </c>
      <c r="G1165" t="s">
        <v>796</v>
      </c>
    </row>
    <row r="1166" spans="1:7" hidden="1" x14ac:dyDescent="0.25">
      <c r="A1166" t="s">
        <v>2004</v>
      </c>
      <c r="B1166" t="s">
        <v>8</v>
      </c>
      <c r="F1166" t="s">
        <v>3730</v>
      </c>
      <c r="G1166" t="s">
        <v>796</v>
      </c>
    </row>
    <row r="1167" spans="1:7" hidden="1" x14ac:dyDescent="0.25">
      <c r="A1167" t="s">
        <v>1091</v>
      </c>
      <c r="B1167" t="s">
        <v>4220</v>
      </c>
      <c r="C1167" t="s">
        <v>1099</v>
      </c>
      <c r="D1167">
        <v>4</v>
      </c>
      <c r="F1167" t="s">
        <v>3733</v>
      </c>
      <c r="G1167" t="s">
        <v>796</v>
      </c>
    </row>
    <row r="1168" spans="1:7" hidden="1" x14ac:dyDescent="0.25">
      <c r="A1168" t="s">
        <v>4</v>
      </c>
      <c r="B1168" t="s">
        <v>9</v>
      </c>
      <c r="F1168" t="s">
        <v>3736</v>
      </c>
      <c r="G1168" t="s">
        <v>1100</v>
      </c>
    </row>
    <row r="1169" spans="1:7" hidden="1" x14ac:dyDescent="0.25">
      <c r="A1169" t="s">
        <v>4</v>
      </c>
      <c r="B1169" t="s">
        <v>9</v>
      </c>
      <c r="E1169" t="s">
        <v>2936</v>
      </c>
      <c r="F1169" t="s">
        <v>3739</v>
      </c>
      <c r="G1169" t="s">
        <v>1100</v>
      </c>
    </row>
    <row r="1170" spans="1:7" hidden="1" x14ac:dyDescent="0.25">
      <c r="A1170" t="s">
        <v>4</v>
      </c>
      <c r="B1170" t="s">
        <v>9</v>
      </c>
      <c r="E1170" t="s">
        <v>2936</v>
      </c>
      <c r="F1170" t="s">
        <v>3742</v>
      </c>
      <c r="G1170" t="s">
        <v>1100</v>
      </c>
    </row>
    <row r="1171" spans="1:7" hidden="1" x14ac:dyDescent="0.25">
      <c r="A1171" t="s">
        <v>4</v>
      </c>
      <c r="B1171" t="s">
        <v>9</v>
      </c>
      <c r="E1171" t="s">
        <v>2936</v>
      </c>
      <c r="F1171" t="s">
        <v>3745</v>
      </c>
      <c r="G1171" t="s">
        <v>1100</v>
      </c>
    </row>
    <row r="1172" spans="1:7" hidden="1" x14ac:dyDescent="0.25">
      <c r="A1172" t="s">
        <v>4</v>
      </c>
      <c r="B1172" t="s">
        <v>9</v>
      </c>
      <c r="E1172" t="s">
        <v>2936</v>
      </c>
      <c r="F1172" t="s">
        <v>3748</v>
      </c>
      <c r="G1172" t="s">
        <v>1100</v>
      </c>
    </row>
    <row r="1173" spans="1:7" hidden="1" x14ac:dyDescent="0.25">
      <c r="A1173" t="s">
        <v>4</v>
      </c>
      <c r="B1173" t="s">
        <v>9</v>
      </c>
      <c r="F1173" t="s">
        <v>3751</v>
      </c>
      <c r="G1173" t="s">
        <v>1100</v>
      </c>
    </row>
    <row r="1174" spans="1:7" hidden="1" x14ac:dyDescent="0.25">
      <c r="A1174" t="s">
        <v>2024</v>
      </c>
      <c r="B1174" t="s">
        <v>1304</v>
      </c>
      <c r="F1174" t="s">
        <v>3754</v>
      </c>
      <c r="G1174" t="s">
        <v>1100</v>
      </c>
    </row>
    <row r="1175" spans="1:7" hidden="1" x14ac:dyDescent="0.25">
      <c r="A1175" t="s">
        <v>2024</v>
      </c>
      <c r="B1175" t="s">
        <v>1304</v>
      </c>
      <c r="E1175" t="s">
        <v>2936</v>
      </c>
      <c r="F1175" t="s">
        <v>3757</v>
      </c>
      <c r="G1175" t="s">
        <v>1100</v>
      </c>
    </row>
    <row r="1176" spans="1:7" hidden="1" x14ac:dyDescent="0.25">
      <c r="A1176" t="s">
        <v>2024</v>
      </c>
      <c r="B1176" t="s">
        <v>1304</v>
      </c>
      <c r="E1176" t="s">
        <v>2936</v>
      </c>
      <c r="F1176" t="s">
        <v>3760</v>
      </c>
      <c r="G1176" t="s">
        <v>1100</v>
      </c>
    </row>
    <row r="1177" spans="1:7" hidden="1" x14ac:dyDescent="0.25">
      <c r="A1177" t="s">
        <v>2024</v>
      </c>
      <c r="B1177" t="s">
        <v>1304</v>
      </c>
      <c r="E1177" t="s">
        <v>2936</v>
      </c>
      <c r="F1177" t="s">
        <v>3763</v>
      </c>
      <c r="G1177" t="s">
        <v>1100</v>
      </c>
    </row>
    <row r="1178" spans="1:7" hidden="1" x14ac:dyDescent="0.25">
      <c r="A1178" t="s">
        <v>2024</v>
      </c>
      <c r="B1178" t="s">
        <v>1304</v>
      </c>
      <c r="E1178" t="s">
        <v>2936</v>
      </c>
      <c r="F1178" t="s">
        <v>3766</v>
      </c>
      <c r="G1178" t="s">
        <v>1100</v>
      </c>
    </row>
    <row r="1179" spans="1:7" hidden="1" x14ac:dyDescent="0.25">
      <c r="A1179" t="s">
        <v>4</v>
      </c>
      <c r="B1179" t="s">
        <v>9</v>
      </c>
      <c r="F1179" t="s">
        <v>3769</v>
      </c>
      <c r="G1179" t="s">
        <v>1100</v>
      </c>
    </row>
    <row r="1180" spans="1:7" hidden="1" x14ac:dyDescent="0.25">
      <c r="A1180" t="s">
        <v>2024</v>
      </c>
      <c r="B1180" t="s">
        <v>1304</v>
      </c>
      <c r="E1180" t="s">
        <v>2936</v>
      </c>
      <c r="F1180" t="s">
        <v>3772</v>
      </c>
      <c r="G1180" t="s">
        <v>1100</v>
      </c>
    </row>
    <row r="1181" spans="1:7" hidden="1" x14ac:dyDescent="0.25">
      <c r="A1181" t="s">
        <v>2024</v>
      </c>
      <c r="B1181" t="s">
        <v>1304</v>
      </c>
      <c r="E1181" t="s">
        <v>2936</v>
      </c>
      <c r="F1181" t="s">
        <v>3775</v>
      </c>
      <c r="G1181" t="s">
        <v>1100</v>
      </c>
    </row>
    <row r="1182" spans="1:7" hidden="1" x14ac:dyDescent="0.25">
      <c r="A1182" t="s">
        <v>2024</v>
      </c>
      <c r="B1182" t="s">
        <v>1304</v>
      </c>
      <c r="E1182" t="s">
        <v>2936</v>
      </c>
      <c r="F1182" t="s">
        <v>3778</v>
      </c>
      <c r="G1182" t="s">
        <v>1100</v>
      </c>
    </row>
    <row r="1183" spans="1:7" hidden="1" x14ac:dyDescent="0.25">
      <c r="A1183" t="s">
        <v>2024</v>
      </c>
      <c r="B1183" t="s">
        <v>1304</v>
      </c>
      <c r="E1183" t="s">
        <v>2936</v>
      </c>
      <c r="F1183" t="s">
        <v>3781</v>
      </c>
      <c r="G1183" t="s">
        <v>1100</v>
      </c>
    </row>
    <row r="1184" spans="1:7" hidden="1" x14ac:dyDescent="0.25">
      <c r="A1184" t="s">
        <v>2024</v>
      </c>
      <c r="B1184" t="s">
        <v>1304</v>
      </c>
      <c r="E1184" t="s">
        <v>2936</v>
      </c>
      <c r="F1184" t="s">
        <v>3784</v>
      </c>
      <c r="G1184" t="s">
        <v>1100</v>
      </c>
    </row>
    <row r="1185" spans="1:7" hidden="1" x14ac:dyDescent="0.25">
      <c r="A1185" t="s">
        <v>2024</v>
      </c>
      <c r="B1185" t="s">
        <v>1304</v>
      </c>
      <c r="E1185" t="s">
        <v>2936</v>
      </c>
      <c r="F1185" t="s">
        <v>3787</v>
      </c>
      <c r="G1185" t="s">
        <v>1100</v>
      </c>
    </row>
    <row r="1186" spans="1:7" hidden="1" x14ac:dyDescent="0.25">
      <c r="A1186" t="s">
        <v>2024</v>
      </c>
      <c r="B1186" t="s">
        <v>1304</v>
      </c>
      <c r="E1186" t="s">
        <v>2936</v>
      </c>
      <c r="F1186" t="s">
        <v>3790</v>
      </c>
      <c r="G1186" t="s">
        <v>1100</v>
      </c>
    </row>
    <row r="1187" spans="1:7" hidden="1" x14ac:dyDescent="0.25">
      <c r="A1187" t="s">
        <v>2024</v>
      </c>
      <c r="B1187" t="s">
        <v>1304</v>
      </c>
      <c r="E1187" t="s">
        <v>2936</v>
      </c>
      <c r="F1187" t="s">
        <v>3793</v>
      </c>
      <c r="G1187" t="s">
        <v>1100</v>
      </c>
    </row>
    <row r="1188" spans="1:7" hidden="1" x14ac:dyDescent="0.25">
      <c r="A1188" t="s">
        <v>2024</v>
      </c>
      <c r="B1188" t="s">
        <v>1304</v>
      </c>
      <c r="E1188" t="s">
        <v>2936</v>
      </c>
      <c r="F1188" t="s">
        <v>3796</v>
      </c>
      <c r="G1188" t="s">
        <v>1100</v>
      </c>
    </row>
    <row r="1189" spans="1:7" hidden="1" x14ac:dyDescent="0.25">
      <c r="A1189" t="s">
        <v>4</v>
      </c>
      <c r="B1189" t="s">
        <v>9</v>
      </c>
      <c r="F1189" t="s">
        <v>3799</v>
      </c>
      <c r="G1189" t="s">
        <v>1100</v>
      </c>
    </row>
    <row r="1190" spans="1:7" hidden="1" x14ac:dyDescent="0.25">
      <c r="A1190" t="s">
        <v>4</v>
      </c>
      <c r="B1190" t="s">
        <v>9</v>
      </c>
      <c r="E1190" t="s">
        <v>2936</v>
      </c>
      <c r="F1190" t="s">
        <v>3802</v>
      </c>
      <c r="G1190" t="s">
        <v>1100</v>
      </c>
    </row>
    <row r="1191" spans="1:7" hidden="1" x14ac:dyDescent="0.25">
      <c r="A1191" t="s">
        <v>4</v>
      </c>
      <c r="B1191" t="s">
        <v>9</v>
      </c>
      <c r="E1191" t="s">
        <v>2936</v>
      </c>
      <c r="F1191" t="s">
        <v>3805</v>
      </c>
      <c r="G1191" t="s">
        <v>1100</v>
      </c>
    </row>
    <row r="1192" spans="1:7" hidden="1" x14ac:dyDescent="0.25">
      <c r="A1192" t="s">
        <v>4</v>
      </c>
      <c r="B1192" t="s">
        <v>9</v>
      </c>
      <c r="E1192" t="s">
        <v>2936</v>
      </c>
      <c r="F1192" t="s">
        <v>3808</v>
      </c>
      <c r="G1192" t="s">
        <v>1100</v>
      </c>
    </row>
    <row r="1193" spans="1:7" hidden="1" x14ac:dyDescent="0.25">
      <c r="A1193" t="s">
        <v>4</v>
      </c>
      <c r="B1193" t="s">
        <v>9</v>
      </c>
      <c r="E1193" t="s">
        <v>2936</v>
      </c>
      <c r="F1193" t="s">
        <v>3811</v>
      </c>
      <c r="G1193" t="s">
        <v>1100</v>
      </c>
    </row>
    <row r="1194" spans="1:7" hidden="1" x14ac:dyDescent="0.25">
      <c r="A1194" t="s">
        <v>4</v>
      </c>
      <c r="B1194" t="s">
        <v>9</v>
      </c>
      <c r="E1194" t="s">
        <v>2936</v>
      </c>
      <c r="F1194" t="s">
        <v>3814</v>
      </c>
      <c r="G1194" t="s">
        <v>1100</v>
      </c>
    </row>
    <row r="1195" spans="1:7" hidden="1" x14ac:dyDescent="0.25">
      <c r="A1195" t="s">
        <v>4</v>
      </c>
      <c r="B1195" t="s">
        <v>9</v>
      </c>
      <c r="E1195" t="s">
        <v>2936</v>
      </c>
      <c r="F1195" t="s">
        <v>3817</v>
      </c>
      <c r="G1195" t="s">
        <v>1100</v>
      </c>
    </row>
    <row r="1196" spans="1:7" hidden="1" x14ac:dyDescent="0.25">
      <c r="A1196" t="s">
        <v>4</v>
      </c>
      <c r="B1196" t="s">
        <v>9</v>
      </c>
      <c r="E1196" t="s">
        <v>2936</v>
      </c>
      <c r="F1196" t="s">
        <v>3820</v>
      </c>
      <c r="G1196" t="s">
        <v>1100</v>
      </c>
    </row>
    <row r="1197" spans="1:7" hidden="1" x14ac:dyDescent="0.25">
      <c r="A1197" t="s">
        <v>4</v>
      </c>
      <c r="B1197" t="s">
        <v>9</v>
      </c>
      <c r="E1197" t="s">
        <v>2936</v>
      </c>
      <c r="F1197" t="s">
        <v>3823</v>
      </c>
      <c r="G1197" t="s">
        <v>1100</v>
      </c>
    </row>
    <row r="1198" spans="1:7" hidden="1" x14ac:dyDescent="0.25">
      <c r="A1198" t="s">
        <v>4</v>
      </c>
      <c r="B1198" t="s">
        <v>9</v>
      </c>
      <c r="E1198" t="s">
        <v>2936</v>
      </c>
      <c r="F1198" t="s">
        <v>3826</v>
      </c>
      <c r="G1198" t="s">
        <v>1100</v>
      </c>
    </row>
    <row r="1199" spans="1:7" hidden="1" x14ac:dyDescent="0.25">
      <c r="A1199" t="s">
        <v>4</v>
      </c>
      <c r="B1199" t="s">
        <v>9</v>
      </c>
      <c r="E1199" t="s">
        <v>2936</v>
      </c>
      <c r="F1199" t="s">
        <v>3829</v>
      </c>
      <c r="G1199" t="s">
        <v>1100</v>
      </c>
    </row>
    <row r="1200" spans="1:7" hidden="1" x14ac:dyDescent="0.25">
      <c r="A1200" t="s">
        <v>4</v>
      </c>
      <c r="B1200" t="s">
        <v>9</v>
      </c>
      <c r="E1200" t="s">
        <v>2936</v>
      </c>
      <c r="F1200" t="s">
        <v>3832</v>
      </c>
      <c r="G1200" t="s">
        <v>1100</v>
      </c>
    </row>
    <row r="1201" spans="1:7" hidden="1" x14ac:dyDescent="0.25">
      <c r="A1201" t="s">
        <v>4</v>
      </c>
      <c r="B1201" t="s">
        <v>9</v>
      </c>
      <c r="E1201" t="s">
        <v>2936</v>
      </c>
      <c r="F1201" t="s">
        <v>3835</v>
      </c>
      <c r="G1201" t="s">
        <v>1100</v>
      </c>
    </row>
    <row r="1202" spans="1:7" hidden="1" x14ac:dyDescent="0.25">
      <c r="A1202" t="s">
        <v>4</v>
      </c>
      <c r="B1202" t="s">
        <v>9</v>
      </c>
      <c r="E1202" t="s">
        <v>2936</v>
      </c>
      <c r="F1202" t="s">
        <v>3838</v>
      </c>
      <c r="G1202" t="s">
        <v>1100</v>
      </c>
    </row>
    <row r="1203" spans="1:7" hidden="1" x14ac:dyDescent="0.25">
      <c r="A1203" t="s">
        <v>4</v>
      </c>
      <c r="B1203" t="s">
        <v>9</v>
      </c>
      <c r="E1203" t="s">
        <v>2936</v>
      </c>
      <c r="F1203" t="s">
        <v>3841</v>
      </c>
      <c r="G1203" t="s">
        <v>1100</v>
      </c>
    </row>
    <row r="1204" spans="1:7" hidden="1" x14ac:dyDescent="0.25">
      <c r="A1204" t="s">
        <v>4</v>
      </c>
      <c r="B1204" t="s">
        <v>9</v>
      </c>
      <c r="E1204" t="s">
        <v>2936</v>
      </c>
      <c r="F1204" t="s">
        <v>3844</v>
      </c>
      <c r="G1204" t="s">
        <v>1100</v>
      </c>
    </row>
    <row r="1205" spans="1:7" hidden="1" x14ac:dyDescent="0.25">
      <c r="A1205" t="s">
        <v>4</v>
      </c>
      <c r="B1205" t="s">
        <v>9</v>
      </c>
      <c r="E1205" t="s">
        <v>2936</v>
      </c>
      <c r="F1205" t="s">
        <v>3847</v>
      </c>
      <c r="G1205" t="s">
        <v>1100</v>
      </c>
    </row>
    <row r="1206" spans="1:7" hidden="1" x14ac:dyDescent="0.25">
      <c r="A1206" t="s">
        <v>4</v>
      </c>
      <c r="B1206" t="s">
        <v>9</v>
      </c>
      <c r="E1206" t="s">
        <v>2936</v>
      </c>
      <c r="F1206" t="s">
        <v>3850</v>
      </c>
      <c r="G1206" t="s">
        <v>1100</v>
      </c>
    </row>
    <row r="1207" spans="1:7" hidden="1" x14ac:dyDescent="0.25">
      <c r="A1207" t="s">
        <v>4</v>
      </c>
      <c r="B1207" t="s">
        <v>9</v>
      </c>
      <c r="E1207" t="s">
        <v>2936</v>
      </c>
      <c r="F1207" t="s">
        <v>3853</v>
      </c>
      <c r="G1207" t="s">
        <v>1100</v>
      </c>
    </row>
    <row r="1208" spans="1:7" hidden="1" x14ac:dyDescent="0.25">
      <c r="A1208" t="s">
        <v>4</v>
      </c>
      <c r="B1208" t="s">
        <v>9</v>
      </c>
      <c r="E1208" t="s">
        <v>2936</v>
      </c>
      <c r="F1208" t="s">
        <v>3856</v>
      </c>
      <c r="G1208" t="s">
        <v>1100</v>
      </c>
    </row>
    <row r="1209" spans="1:7" hidden="1" x14ac:dyDescent="0.25">
      <c r="A1209" t="s">
        <v>4221</v>
      </c>
      <c r="B1209" t="s">
        <v>86</v>
      </c>
      <c r="C1209" t="s">
        <v>58</v>
      </c>
      <c r="F1209" t="s">
        <v>3859</v>
      </c>
      <c r="G1209" t="s">
        <v>1100</v>
      </c>
    </row>
    <row r="1210" spans="1:7" hidden="1" x14ac:dyDescent="0.25">
      <c r="A1210" t="s">
        <v>4</v>
      </c>
      <c r="B1210" t="s">
        <v>9</v>
      </c>
      <c r="F1210" t="s">
        <v>3862</v>
      </c>
      <c r="G1210" t="s">
        <v>1100</v>
      </c>
    </row>
    <row r="1211" spans="1:7" hidden="1" x14ac:dyDescent="0.25">
      <c r="A1211" t="s">
        <v>4</v>
      </c>
      <c r="B1211" t="s">
        <v>4222</v>
      </c>
      <c r="C1211" t="s">
        <v>1099</v>
      </c>
      <c r="F1211" t="s">
        <v>3865</v>
      </c>
      <c r="G1211" t="s">
        <v>1100</v>
      </c>
    </row>
    <row r="1212" spans="1:7" hidden="1" x14ac:dyDescent="0.25">
      <c r="A1212" t="s">
        <v>4223</v>
      </c>
      <c r="B1212" t="s">
        <v>86</v>
      </c>
      <c r="C1212" t="s">
        <v>200</v>
      </c>
      <c r="E1212" t="s">
        <v>4224</v>
      </c>
      <c r="F1212" t="s">
        <v>3868</v>
      </c>
      <c r="G1212" s="1" t="s">
        <v>1603</v>
      </c>
    </row>
    <row r="1213" spans="1:7" hidden="1" x14ac:dyDescent="0.25">
      <c r="A1213" t="s">
        <v>4225</v>
      </c>
      <c r="B1213" t="s">
        <v>86</v>
      </c>
      <c r="F1213" t="s">
        <v>3871</v>
      </c>
      <c r="G1213" s="1" t="s">
        <v>1603</v>
      </c>
    </row>
    <row r="1214" spans="1:7" hidden="1" x14ac:dyDescent="0.25">
      <c r="A1214" t="s">
        <v>4223</v>
      </c>
      <c r="B1214" t="s">
        <v>86</v>
      </c>
      <c r="C1214" t="s">
        <v>200</v>
      </c>
      <c r="E1214" t="s">
        <v>1605</v>
      </c>
      <c r="F1214" t="s">
        <v>3874</v>
      </c>
      <c r="G1214" s="1" t="s">
        <v>1603</v>
      </c>
    </row>
    <row r="1215" spans="1:7" hidden="1" x14ac:dyDescent="0.25">
      <c r="A1215" t="s">
        <v>1606</v>
      </c>
      <c r="B1215" t="s">
        <v>70</v>
      </c>
      <c r="C1215" t="s">
        <v>1609</v>
      </c>
      <c r="F1215" t="s">
        <v>3877</v>
      </c>
      <c r="G1215" s="1" t="s">
        <v>1603</v>
      </c>
    </row>
    <row r="1216" spans="1:7" hidden="1" x14ac:dyDescent="0.25">
      <c r="A1216" t="s">
        <v>4226</v>
      </c>
      <c r="B1216" t="s">
        <v>70</v>
      </c>
      <c r="C1216" t="s">
        <v>58</v>
      </c>
      <c r="F1216" t="s">
        <v>3880</v>
      </c>
      <c r="G1216" s="1" t="s">
        <v>1603</v>
      </c>
    </row>
    <row r="1217" spans="1:7" hidden="1" x14ac:dyDescent="0.25">
      <c r="A1217" t="s">
        <v>650</v>
      </c>
      <c r="B1217" t="s">
        <v>70</v>
      </c>
      <c r="F1217" t="s">
        <v>3883</v>
      </c>
      <c r="G1217" s="1" t="s">
        <v>1603</v>
      </c>
    </row>
    <row r="1218" spans="1:7" hidden="1" x14ac:dyDescent="0.25">
      <c r="A1218" t="s">
        <v>4</v>
      </c>
      <c r="B1218" t="s">
        <v>8</v>
      </c>
      <c r="F1218" t="s">
        <v>3886</v>
      </c>
      <c r="G1218" s="1" t="s">
        <v>1603</v>
      </c>
    </row>
    <row r="1219" spans="1:7" hidden="1" x14ac:dyDescent="0.25">
      <c r="A1219" t="s">
        <v>4227</v>
      </c>
      <c r="B1219" t="s">
        <v>4228</v>
      </c>
      <c r="C1219" t="s">
        <v>58</v>
      </c>
      <c r="E1219" t="s">
        <v>4229</v>
      </c>
      <c r="F1219" t="s">
        <v>3889</v>
      </c>
      <c r="G1219" s="1" t="s">
        <v>1603</v>
      </c>
    </row>
    <row r="1220" spans="1:7" hidden="1" x14ac:dyDescent="0.25">
      <c r="A1220" t="s">
        <v>4</v>
      </c>
      <c r="B1220" t="s">
        <v>8</v>
      </c>
      <c r="F1220" t="s">
        <v>3892</v>
      </c>
      <c r="G1220" s="1" t="s">
        <v>1603</v>
      </c>
    </row>
    <row r="1221" spans="1:7" hidden="1" x14ac:dyDescent="0.25">
      <c r="A1221" t="s">
        <v>4</v>
      </c>
      <c r="B1221" t="s">
        <v>8</v>
      </c>
      <c r="E1221" t="s">
        <v>2936</v>
      </c>
      <c r="F1221" t="s">
        <v>3895</v>
      </c>
      <c r="G1221" s="1" t="s">
        <v>1603</v>
      </c>
    </row>
    <row r="1222" spans="1:7" hidden="1" x14ac:dyDescent="0.25">
      <c r="A1222" t="s">
        <v>4</v>
      </c>
      <c r="B1222" t="s">
        <v>8</v>
      </c>
      <c r="E1222" t="s">
        <v>2936</v>
      </c>
      <c r="F1222" t="s">
        <v>3898</v>
      </c>
      <c r="G1222" s="1" t="s">
        <v>1603</v>
      </c>
    </row>
    <row r="1223" spans="1:7" hidden="1" x14ac:dyDescent="0.25">
      <c r="A1223" t="s">
        <v>4223</v>
      </c>
      <c r="B1223" t="s">
        <v>86</v>
      </c>
      <c r="C1223" t="s">
        <v>528</v>
      </c>
      <c r="E1223" t="s">
        <v>1605</v>
      </c>
      <c r="F1223" t="s">
        <v>3901</v>
      </c>
      <c r="G1223" s="1" t="s">
        <v>1603</v>
      </c>
    </row>
    <row r="1224" spans="1:7" hidden="1" x14ac:dyDescent="0.25">
      <c r="A1224" t="s">
        <v>1606</v>
      </c>
      <c r="B1224" t="s">
        <v>70</v>
      </c>
      <c r="C1224" t="s">
        <v>1609</v>
      </c>
      <c r="F1224" t="s">
        <v>3904</v>
      </c>
      <c r="G1224" s="1" t="s">
        <v>1603</v>
      </c>
    </row>
    <row r="1225" spans="1:7" hidden="1" x14ac:dyDescent="0.25">
      <c r="A1225" t="s">
        <v>4</v>
      </c>
      <c r="B1225" t="s">
        <v>70</v>
      </c>
      <c r="E1225" t="s">
        <v>4230</v>
      </c>
      <c r="F1225" t="s">
        <v>3907</v>
      </c>
      <c r="G1225" s="1" t="s">
        <v>1603</v>
      </c>
    </row>
    <row r="1226" spans="1:7" hidden="1" x14ac:dyDescent="0.25">
      <c r="A1226" t="s">
        <v>533</v>
      </c>
      <c r="B1226" t="s">
        <v>1607</v>
      </c>
      <c r="C1226" t="s">
        <v>58</v>
      </c>
      <c r="E1226" t="s">
        <v>1605</v>
      </c>
      <c r="F1226" t="s">
        <v>3910</v>
      </c>
      <c r="G1226" s="1" t="s">
        <v>1603</v>
      </c>
    </row>
    <row r="1227" spans="1:7" hidden="1" x14ac:dyDescent="0.25">
      <c r="A1227" t="s">
        <v>533</v>
      </c>
      <c r="B1227" t="s">
        <v>1607</v>
      </c>
      <c r="C1227" t="s">
        <v>58</v>
      </c>
      <c r="E1227" t="s">
        <v>1605</v>
      </c>
      <c r="F1227" t="s">
        <v>3913</v>
      </c>
      <c r="G1227" s="1" t="s">
        <v>1603</v>
      </c>
    </row>
    <row r="1228" spans="1:7" hidden="1" x14ac:dyDescent="0.25">
      <c r="A1228" t="s">
        <v>290</v>
      </c>
      <c r="B1228" t="s">
        <v>70</v>
      </c>
      <c r="C1228" t="s">
        <v>4231</v>
      </c>
      <c r="E1228" t="s">
        <v>1611</v>
      </c>
      <c r="F1228" t="s">
        <v>3916</v>
      </c>
      <c r="G1228" s="1" t="s">
        <v>1603</v>
      </c>
    </row>
    <row r="1229" spans="1:7" hidden="1" x14ac:dyDescent="0.25">
      <c r="A1229" t="s">
        <v>290</v>
      </c>
      <c r="B1229" t="s">
        <v>70</v>
      </c>
      <c r="C1229" t="s">
        <v>4231</v>
      </c>
      <c r="E1229" t="s">
        <v>2936</v>
      </c>
      <c r="F1229" t="s">
        <v>3919</v>
      </c>
      <c r="G1229" s="1" t="s">
        <v>1603</v>
      </c>
    </row>
    <row r="1230" spans="1:7" hidden="1" x14ac:dyDescent="0.25">
      <c r="A1230" t="s">
        <v>290</v>
      </c>
      <c r="B1230" t="s">
        <v>70</v>
      </c>
      <c r="C1230" t="s">
        <v>4231</v>
      </c>
      <c r="E1230" t="s">
        <v>1611</v>
      </c>
      <c r="F1230" t="s">
        <v>3922</v>
      </c>
      <c r="G1230" s="1" t="s">
        <v>1603</v>
      </c>
    </row>
    <row r="1231" spans="1:7" hidden="1" x14ac:dyDescent="0.25">
      <c r="A1231" t="s">
        <v>290</v>
      </c>
      <c r="B1231" t="s">
        <v>70</v>
      </c>
      <c r="C1231" t="s">
        <v>4231</v>
      </c>
      <c r="E1231" t="s">
        <v>2954</v>
      </c>
      <c r="F1231" t="s">
        <v>3925</v>
      </c>
      <c r="G1231" s="1" t="s">
        <v>1603</v>
      </c>
    </row>
    <row r="1232" spans="1:7" hidden="1" x14ac:dyDescent="0.25">
      <c r="A1232" t="s">
        <v>289</v>
      </c>
      <c r="B1232" t="s">
        <v>70</v>
      </c>
      <c r="C1232" t="s">
        <v>58</v>
      </c>
      <c r="E1232" t="s">
        <v>1620</v>
      </c>
      <c r="F1232" t="s">
        <v>3928</v>
      </c>
      <c r="G1232" s="1" t="s">
        <v>1603</v>
      </c>
    </row>
    <row r="1233" spans="1:7" hidden="1" x14ac:dyDescent="0.25">
      <c r="A1233" t="s">
        <v>289</v>
      </c>
      <c r="B1233" t="s">
        <v>70</v>
      </c>
      <c r="C1233" t="s">
        <v>58</v>
      </c>
      <c r="E1233" t="s">
        <v>2936</v>
      </c>
      <c r="F1233" t="s">
        <v>3931</v>
      </c>
      <c r="G1233" s="1" t="s">
        <v>1603</v>
      </c>
    </row>
    <row r="1234" spans="1:7" hidden="1" x14ac:dyDescent="0.25">
      <c r="A1234" t="s">
        <v>289</v>
      </c>
      <c r="B1234" t="s">
        <v>70</v>
      </c>
      <c r="C1234" t="s">
        <v>58</v>
      </c>
      <c r="E1234" t="s">
        <v>2936</v>
      </c>
      <c r="F1234" t="s">
        <v>3934</v>
      </c>
      <c r="G1234" s="1" t="s">
        <v>1603</v>
      </c>
    </row>
    <row r="1235" spans="1:7" hidden="1" x14ac:dyDescent="0.25">
      <c r="A1235" t="s">
        <v>289</v>
      </c>
      <c r="B1235" t="s">
        <v>70</v>
      </c>
      <c r="C1235" t="s">
        <v>58</v>
      </c>
      <c r="E1235" t="s">
        <v>2936</v>
      </c>
      <c r="F1235" t="s">
        <v>3937</v>
      </c>
      <c r="G1235" s="1" t="s">
        <v>1603</v>
      </c>
    </row>
    <row r="1236" spans="1:7" hidden="1" x14ac:dyDescent="0.25">
      <c r="A1236" t="s">
        <v>289</v>
      </c>
      <c r="B1236" t="s">
        <v>70</v>
      </c>
      <c r="C1236" t="s">
        <v>58</v>
      </c>
      <c r="E1236" t="s">
        <v>2936</v>
      </c>
      <c r="F1236" t="s">
        <v>3940</v>
      </c>
      <c r="G1236" s="1" t="s">
        <v>1603</v>
      </c>
    </row>
    <row r="1237" spans="1:7" hidden="1" x14ac:dyDescent="0.25">
      <c r="A1237" t="s">
        <v>289</v>
      </c>
      <c r="B1237" t="s">
        <v>70</v>
      </c>
      <c r="C1237" t="s">
        <v>58</v>
      </c>
      <c r="E1237" t="s">
        <v>2936</v>
      </c>
      <c r="F1237" t="s">
        <v>3943</v>
      </c>
      <c r="G1237" s="1" t="s">
        <v>1603</v>
      </c>
    </row>
    <row r="1238" spans="1:7" hidden="1" x14ac:dyDescent="0.25">
      <c r="A1238" t="s">
        <v>289</v>
      </c>
      <c r="B1238" t="s">
        <v>70</v>
      </c>
      <c r="C1238" t="s">
        <v>58</v>
      </c>
      <c r="E1238" t="s">
        <v>2936</v>
      </c>
      <c r="F1238" t="s">
        <v>3946</v>
      </c>
      <c r="G1238" s="1" t="s">
        <v>1603</v>
      </c>
    </row>
    <row r="1239" spans="1:7" hidden="1" x14ac:dyDescent="0.25">
      <c r="A1239" t="s">
        <v>289</v>
      </c>
      <c r="B1239" t="s">
        <v>70</v>
      </c>
      <c r="C1239" t="s">
        <v>58</v>
      </c>
      <c r="E1239" t="s">
        <v>2936</v>
      </c>
      <c r="F1239" t="s">
        <v>3949</v>
      </c>
      <c r="G1239" s="1" t="s">
        <v>1603</v>
      </c>
    </row>
    <row r="1240" spans="1:7" hidden="1" x14ac:dyDescent="0.25">
      <c r="A1240" t="s">
        <v>4232</v>
      </c>
      <c r="B1240" t="s">
        <v>70</v>
      </c>
      <c r="C1240" t="s">
        <v>58</v>
      </c>
      <c r="F1240" t="s">
        <v>3952</v>
      </c>
      <c r="G1240" s="1" t="s">
        <v>1603</v>
      </c>
    </row>
    <row r="1241" spans="1:7" hidden="1" x14ac:dyDescent="0.25">
      <c r="A1241" t="s">
        <v>289</v>
      </c>
      <c r="B1241" t="s">
        <v>70</v>
      </c>
      <c r="C1241" t="s">
        <v>4233</v>
      </c>
      <c r="E1241" t="s">
        <v>1618</v>
      </c>
      <c r="F1241" t="s">
        <v>3955</v>
      </c>
      <c r="G1241" s="1" t="s">
        <v>1603</v>
      </c>
    </row>
    <row r="1242" spans="1:7" hidden="1" x14ac:dyDescent="0.25">
      <c r="A1242" t="s">
        <v>4235</v>
      </c>
      <c r="B1242" t="s">
        <v>70</v>
      </c>
      <c r="C1242" t="s">
        <v>4233</v>
      </c>
      <c r="F1242" t="s">
        <v>3958</v>
      </c>
      <c r="G1242" s="1" t="s">
        <v>1603</v>
      </c>
    </row>
    <row r="1243" spans="1:7" hidden="1" x14ac:dyDescent="0.25">
      <c r="A1243" t="s">
        <v>650</v>
      </c>
      <c r="B1243" t="s">
        <v>70</v>
      </c>
      <c r="C1243" t="s">
        <v>4233</v>
      </c>
      <c r="E1243" t="s">
        <v>4234</v>
      </c>
      <c r="F1243" t="s">
        <v>3961</v>
      </c>
      <c r="G1243" s="1" t="s">
        <v>1603</v>
      </c>
    </row>
    <row r="1244" spans="1:7" hidden="1" x14ac:dyDescent="0.25">
      <c r="A1244" t="s">
        <v>1606</v>
      </c>
      <c r="B1244" t="s">
        <v>4192</v>
      </c>
      <c r="F1244" t="s">
        <v>3962</v>
      </c>
      <c r="G1244" s="1" t="s">
        <v>1603</v>
      </c>
    </row>
    <row r="1245" spans="1:7" hidden="1" x14ac:dyDescent="0.25">
      <c r="A1245" t="s">
        <v>289</v>
      </c>
      <c r="B1245" t="s">
        <v>4192</v>
      </c>
      <c r="C1245" t="s">
        <v>58</v>
      </c>
      <c r="E1245" t="s">
        <v>1620</v>
      </c>
      <c r="F1245" t="s">
        <v>3965</v>
      </c>
      <c r="G1245" s="1" t="s">
        <v>1603</v>
      </c>
    </row>
    <row r="1246" spans="1:7" hidden="1" x14ac:dyDescent="0.25">
      <c r="A1246" t="s">
        <v>289</v>
      </c>
      <c r="B1246" t="s">
        <v>4192</v>
      </c>
      <c r="C1246" t="s">
        <v>58</v>
      </c>
      <c r="E1246" t="s">
        <v>2936</v>
      </c>
      <c r="F1246" t="s">
        <v>3968</v>
      </c>
      <c r="G1246" s="1" t="s">
        <v>1603</v>
      </c>
    </row>
    <row r="1247" spans="1:7" hidden="1" x14ac:dyDescent="0.25">
      <c r="A1247" t="s">
        <v>289</v>
      </c>
      <c r="B1247" t="s">
        <v>4192</v>
      </c>
      <c r="C1247" t="s">
        <v>58</v>
      </c>
      <c r="E1247" t="s">
        <v>2936</v>
      </c>
      <c r="F1247" t="s">
        <v>3971</v>
      </c>
      <c r="G1247" s="1" t="s">
        <v>1603</v>
      </c>
    </row>
    <row r="1248" spans="1:7" hidden="1" x14ac:dyDescent="0.25">
      <c r="A1248" t="s">
        <v>289</v>
      </c>
      <c r="B1248" t="s">
        <v>4192</v>
      </c>
      <c r="C1248" t="s">
        <v>58</v>
      </c>
      <c r="E1248" t="s">
        <v>2936</v>
      </c>
      <c r="F1248" t="s">
        <v>3974</v>
      </c>
      <c r="G1248" s="1" t="s">
        <v>1603</v>
      </c>
    </row>
    <row r="1249" spans="1:7" hidden="1" x14ac:dyDescent="0.25">
      <c r="A1249" t="s">
        <v>289</v>
      </c>
      <c r="B1249" t="s">
        <v>4192</v>
      </c>
      <c r="C1249" t="s">
        <v>58</v>
      </c>
      <c r="E1249" t="s">
        <v>2936</v>
      </c>
      <c r="F1249" t="s">
        <v>3977</v>
      </c>
      <c r="G1249" s="1" t="s">
        <v>1603</v>
      </c>
    </row>
    <row r="1250" spans="1:7" hidden="1" x14ac:dyDescent="0.25">
      <c r="A1250" t="s">
        <v>289</v>
      </c>
      <c r="B1250" t="s">
        <v>4192</v>
      </c>
      <c r="C1250" t="s">
        <v>58</v>
      </c>
      <c r="E1250" t="s">
        <v>2936</v>
      </c>
      <c r="F1250" t="s">
        <v>3980</v>
      </c>
      <c r="G1250" s="1" t="s">
        <v>1603</v>
      </c>
    </row>
    <row r="1251" spans="1:7" hidden="1" x14ac:dyDescent="0.25">
      <c r="A1251" t="s">
        <v>289</v>
      </c>
      <c r="B1251" t="s">
        <v>4192</v>
      </c>
      <c r="C1251" t="s">
        <v>58</v>
      </c>
      <c r="E1251" t="s">
        <v>2936</v>
      </c>
      <c r="F1251" t="s">
        <v>3983</v>
      </c>
      <c r="G1251" s="1" t="s">
        <v>1603</v>
      </c>
    </row>
    <row r="1252" spans="1:7" hidden="1" x14ac:dyDescent="0.25">
      <c r="A1252" t="s">
        <v>2013</v>
      </c>
      <c r="B1252" t="s">
        <v>4192</v>
      </c>
      <c r="E1252" t="s">
        <v>4236</v>
      </c>
      <c r="F1252" t="s">
        <v>3986</v>
      </c>
      <c r="G1252" s="1" t="s">
        <v>1603</v>
      </c>
    </row>
    <row r="1253" spans="1:7" hidden="1" x14ac:dyDescent="0.25">
      <c r="A1253" t="s">
        <v>289</v>
      </c>
      <c r="B1253" t="s">
        <v>4192</v>
      </c>
      <c r="C1253" t="s">
        <v>58</v>
      </c>
      <c r="F1253" t="s">
        <v>3989</v>
      </c>
      <c r="G1253" s="1" t="s">
        <v>1603</v>
      </c>
    </row>
    <row r="1254" spans="1:7" hidden="1" x14ac:dyDescent="0.25">
      <c r="A1254" t="s">
        <v>289</v>
      </c>
      <c r="B1254" t="s">
        <v>4192</v>
      </c>
      <c r="C1254" t="s">
        <v>58</v>
      </c>
      <c r="E1254" t="s">
        <v>2936</v>
      </c>
      <c r="F1254" t="s">
        <v>3992</v>
      </c>
      <c r="G1254" s="1" t="s">
        <v>1603</v>
      </c>
    </row>
    <row r="1255" spans="1:7" hidden="1" x14ac:dyDescent="0.25">
      <c r="A1255" t="s">
        <v>289</v>
      </c>
      <c r="B1255" t="s">
        <v>4192</v>
      </c>
      <c r="C1255" t="s">
        <v>58</v>
      </c>
      <c r="E1255" t="s">
        <v>2936</v>
      </c>
      <c r="F1255" t="s">
        <v>3995</v>
      </c>
      <c r="G1255" s="1" t="s">
        <v>1603</v>
      </c>
    </row>
    <row r="1256" spans="1:7" hidden="1" x14ac:dyDescent="0.25">
      <c r="A1256" t="s">
        <v>4232</v>
      </c>
      <c r="B1256" t="s">
        <v>4192</v>
      </c>
      <c r="C1256" t="s">
        <v>58</v>
      </c>
      <c r="F1256" t="s">
        <v>3998</v>
      </c>
      <c r="G1256" s="1" t="s">
        <v>1603</v>
      </c>
    </row>
    <row r="1257" spans="1:7" hidden="1" x14ac:dyDescent="0.25">
      <c r="A1257" t="s">
        <v>2013</v>
      </c>
      <c r="B1257" t="s">
        <v>4192</v>
      </c>
      <c r="E1257" t="s">
        <v>4237</v>
      </c>
      <c r="F1257" t="s">
        <v>4001</v>
      </c>
      <c r="G1257" s="1" t="s">
        <v>1603</v>
      </c>
    </row>
    <row r="1258" spans="1:7" hidden="1" x14ac:dyDescent="0.25">
      <c r="A1258" t="s">
        <v>289</v>
      </c>
      <c r="B1258" t="s">
        <v>4192</v>
      </c>
      <c r="C1258" t="s">
        <v>58</v>
      </c>
      <c r="F1258" t="s">
        <v>4004</v>
      </c>
      <c r="G1258" s="1" t="s">
        <v>1603</v>
      </c>
    </row>
    <row r="1259" spans="1:7" hidden="1" x14ac:dyDescent="0.25">
      <c r="A1259" t="s">
        <v>289</v>
      </c>
      <c r="B1259" t="s">
        <v>4192</v>
      </c>
      <c r="C1259" t="s">
        <v>58</v>
      </c>
      <c r="E1259" t="s">
        <v>2936</v>
      </c>
      <c r="F1259" t="s">
        <v>4007</v>
      </c>
      <c r="G1259" s="1" t="s">
        <v>1603</v>
      </c>
    </row>
    <row r="1260" spans="1:7" hidden="1" x14ac:dyDescent="0.25">
      <c r="A1260" t="s">
        <v>289</v>
      </c>
      <c r="B1260" t="s">
        <v>4192</v>
      </c>
      <c r="C1260" t="s">
        <v>58</v>
      </c>
      <c r="E1260" t="s">
        <v>2936</v>
      </c>
      <c r="F1260" t="s">
        <v>4010</v>
      </c>
      <c r="G1260" s="1" t="s">
        <v>1603</v>
      </c>
    </row>
    <row r="1261" spans="1:7" hidden="1" x14ac:dyDescent="0.25">
      <c r="A1261" t="s">
        <v>289</v>
      </c>
      <c r="B1261" t="s">
        <v>4192</v>
      </c>
      <c r="C1261" t="s">
        <v>58</v>
      </c>
      <c r="E1261" t="s">
        <v>2936</v>
      </c>
      <c r="F1261" t="s">
        <v>4013</v>
      </c>
      <c r="G1261" s="1" t="s">
        <v>1603</v>
      </c>
    </row>
    <row r="1262" spans="1:7" hidden="1" x14ac:dyDescent="0.25">
      <c r="A1262" t="s">
        <v>4235</v>
      </c>
      <c r="B1262" t="s">
        <v>4192</v>
      </c>
      <c r="C1262" t="s">
        <v>58</v>
      </c>
      <c r="F1262" t="s">
        <v>4016</v>
      </c>
      <c r="G1262" s="1" t="s">
        <v>1603</v>
      </c>
    </row>
    <row r="1263" spans="1:7" hidden="1" x14ac:dyDescent="0.25">
      <c r="A1263" t="s">
        <v>4</v>
      </c>
      <c r="B1263" t="s">
        <v>86</v>
      </c>
      <c r="C1263" t="s">
        <v>4238</v>
      </c>
      <c r="E1263" t="s">
        <v>4239</v>
      </c>
      <c r="F1263" t="s">
        <v>4019</v>
      </c>
      <c r="G1263" s="1" t="s">
        <v>1603</v>
      </c>
    </row>
    <row r="1264" spans="1:7" hidden="1" x14ac:dyDescent="0.25">
      <c r="A1264" t="s">
        <v>289</v>
      </c>
      <c r="B1264" t="s">
        <v>86</v>
      </c>
      <c r="C1264" t="s">
        <v>4240</v>
      </c>
      <c r="F1264" t="s">
        <v>4022</v>
      </c>
      <c r="G1264" s="1" t="s">
        <v>1603</v>
      </c>
    </row>
    <row r="1265" spans="1:7" hidden="1" x14ac:dyDescent="0.25">
      <c r="A1265" t="s">
        <v>4241</v>
      </c>
      <c r="B1265" t="s">
        <v>86</v>
      </c>
      <c r="C1265" t="s">
        <v>4240</v>
      </c>
      <c r="E1265" t="s">
        <v>4236</v>
      </c>
      <c r="F1265" t="s">
        <v>4025</v>
      </c>
      <c r="G1265" s="1" t="s">
        <v>1603</v>
      </c>
    </row>
    <row r="1266" spans="1:7" hidden="1" x14ac:dyDescent="0.25">
      <c r="A1266" t="s">
        <v>3073</v>
      </c>
      <c r="B1266" t="s">
        <v>86</v>
      </c>
      <c r="C1266" t="s">
        <v>58</v>
      </c>
      <c r="E1266" t="s">
        <v>1620</v>
      </c>
      <c r="F1266" t="s">
        <v>4028</v>
      </c>
      <c r="G1266" s="1" t="s">
        <v>1603</v>
      </c>
    </row>
    <row r="1267" spans="1:7" hidden="1" x14ac:dyDescent="0.25">
      <c r="A1267" t="s">
        <v>1094</v>
      </c>
      <c r="B1267" t="s">
        <v>86</v>
      </c>
      <c r="C1267" t="s">
        <v>58</v>
      </c>
      <c r="E1267" t="s">
        <v>2954</v>
      </c>
      <c r="F1267" t="s">
        <v>4031</v>
      </c>
      <c r="G1267" s="1" t="s">
        <v>1603</v>
      </c>
    </row>
    <row r="1268" spans="1:7" hidden="1" x14ac:dyDescent="0.25">
      <c r="A1268" t="s">
        <v>533</v>
      </c>
      <c r="B1268" t="s">
        <v>1607</v>
      </c>
      <c r="C1268" t="s">
        <v>58</v>
      </c>
      <c r="E1268" t="s">
        <v>2958</v>
      </c>
      <c r="F1268" t="s">
        <v>4034</v>
      </c>
      <c r="G1268" s="1" t="s">
        <v>1603</v>
      </c>
    </row>
    <row r="1269" spans="1:7" hidden="1" x14ac:dyDescent="0.25">
      <c r="A1269" t="s">
        <v>533</v>
      </c>
      <c r="B1269" t="s">
        <v>1607</v>
      </c>
      <c r="C1269" t="s">
        <v>58</v>
      </c>
      <c r="E1269" t="s">
        <v>2958</v>
      </c>
      <c r="F1269" t="s">
        <v>4037</v>
      </c>
      <c r="G1269" s="1" t="s">
        <v>1603</v>
      </c>
    </row>
    <row r="1270" spans="1:7" hidden="1" x14ac:dyDescent="0.25">
      <c r="A1270" t="s">
        <v>533</v>
      </c>
      <c r="B1270" t="s">
        <v>1607</v>
      </c>
      <c r="C1270" t="s">
        <v>58</v>
      </c>
      <c r="E1270" t="s">
        <v>2958</v>
      </c>
      <c r="F1270" t="s">
        <v>4040</v>
      </c>
      <c r="G1270" s="1" t="s">
        <v>1603</v>
      </c>
    </row>
    <row r="1271" spans="1:7" hidden="1" x14ac:dyDescent="0.25">
      <c r="A1271" t="s">
        <v>533</v>
      </c>
      <c r="B1271" t="s">
        <v>1607</v>
      </c>
      <c r="C1271" t="s">
        <v>58</v>
      </c>
      <c r="E1271" t="s">
        <v>2958</v>
      </c>
      <c r="F1271" t="s">
        <v>4043</v>
      </c>
      <c r="G1271" s="1" t="s">
        <v>1603</v>
      </c>
    </row>
    <row r="1272" spans="1:7" hidden="1" x14ac:dyDescent="0.25">
      <c r="A1272" t="s">
        <v>533</v>
      </c>
      <c r="B1272" t="s">
        <v>1607</v>
      </c>
      <c r="C1272" t="s">
        <v>58</v>
      </c>
      <c r="E1272" t="s">
        <v>2958</v>
      </c>
      <c r="F1272" t="s">
        <v>4046</v>
      </c>
      <c r="G1272" s="1" t="s">
        <v>1603</v>
      </c>
    </row>
    <row r="1273" spans="1:7" hidden="1" x14ac:dyDescent="0.25">
      <c r="A1273" t="s">
        <v>533</v>
      </c>
      <c r="B1273" t="s">
        <v>1607</v>
      </c>
      <c r="C1273" t="s">
        <v>58</v>
      </c>
      <c r="E1273" t="s">
        <v>2958</v>
      </c>
      <c r="F1273" t="s">
        <v>4049</v>
      </c>
      <c r="G1273" s="1" t="s">
        <v>1603</v>
      </c>
    </row>
    <row r="1274" spans="1:7" hidden="1" x14ac:dyDescent="0.25">
      <c r="A1274" t="s">
        <v>533</v>
      </c>
      <c r="B1274" t="s">
        <v>1607</v>
      </c>
      <c r="C1274" t="s">
        <v>58</v>
      </c>
      <c r="E1274" t="s">
        <v>2958</v>
      </c>
      <c r="F1274" t="s">
        <v>4052</v>
      </c>
      <c r="G1274" s="1" t="s">
        <v>1603</v>
      </c>
    </row>
    <row r="1275" spans="1:7" hidden="1" x14ac:dyDescent="0.25">
      <c r="A1275" t="s">
        <v>533</v>
      </c>
      <c r="B1275" t="s">
        <v>1607</v>
      </c>
      <c r="C1275" t="s">
        <v>58</v>
      </c>
      <c r="E1275" t="s">
        <v>2958</v>
      </c>
      <c r="F1275" t="s">
        <v>4055</v>
      </c>
      <c r="G1275" s="1" t="s">
        <v>1603</v>
      </c>
    </row>
    <row r="1276" spans="1:7" hidden="1" x14ac:dyDescent="0.25">
      <c r="A1276" t="s">
        <v>533</v>
      </c>
      <c r="B1276" t="s">
        <v>1607</v>
      </c>
      <c r="C1276" t="s">
        <v>58</v>
      </c>
      <c r="E1276" t="s">
        <v>2958</v>
      </c>
      <c r="F1276" t="s">
        <v>4058</v>
      </c>
      <c r="G1276" s="1" t="s">
        <v>1603</v>
      </c>
    </row>
    <row r="1277" spans="1:7" hidden="1" x14ac:dyDescent="0.25">
      <c r="A1277" t="s">
        <v>533</v>
      </c>
      <c r="B1277" t="s">
        <v>1607</v>
      </c>
      <c r="C1277" t="s">
        <v>58</v>
      </c>
      <c r="E1277" t="s">
        <v>2958</v>
      </c>
      <c r="F1277" t="s">
        <v>4061</v>
      </c>
      <c r="G1277" s="1" t="s">
        <v>1603</v>
      </c>
    </row>
    <row r="1278" spans="1:7" hidden="1" x14ac:dyDescent="0.25">
      <c r="A1278" t="s">
        <v>533</v>
      </c>
      <c r="B1278" t="s">
        <v>1607</v>
      </c>
      <c r="C1278" t="s">
        <v>58</v>
      </c>
      <c r="E1278" t="s">
        <v>2958</v>
      </c>
      <c r="F1278" t="s">
        <v>4064</v>
      </c>
      <c r="G1278" s="1" t="s">
        <v>1603</v>
      </c>
    </row>
    <row r="1279" spans="1:7" hidden="1" x14ac:dyDescent="0.25">
      <c r="A1279" t="s">
        <v>533</v>
      </c>
      <c r="B1279" t="s">
        <v>1607</v>
      </c>
      <c r="C1279" t="s">
        <v>1099</v>
      </c>
      <c r="E1279" t="s">
        <v>1620</v>
      </c>
      <c r="F1279" t="s">
        <v>4067</v>
      </c>
      <c r="G1279" s="1" t="s">
        <v>1603</v>
      </c>
    </row>
    <row r="1280" spans="1:7" hidden="1" x14ac:dyDescent="0.25">
      <c r="A1280" t="s">
        <v>4</v>
      </c>
      <c r="B1280" t="s">
        <v>8</v>
      </c>
      <c r="F1280" t="s">
        <v>4070</v>
      </c>
      <c r="G1280" t="s">
        <v>1817</v>
      </c>
    </row>
    <row r="1281" spans="1:7" hidden="1" x14ac:dyDescent="0.25">
      <c r="A1281" t="s">
        <v>533</v>
      </c>
      <c r="B1281" t="s">
        <v>531</v>
      </c>
      <c r="C1281" t="s">
        <v>4242</v>
      </c>
      <c r="D1281">
        <v>2</v>
      </c>
      <c r="E1281" t="s">
        <v>4243</v>
      </c>
      <c r="F1281" t="s">
        <v>4073</v>
      </c>
      <c r="G1281" t="s">
        <v>1817</v>
      </c>
    </row>
    <row r="1282" spans="1:7" hidden="1" x14ac:dyDescent="0.25">
      <c r="A1282" t="s">
        <v>533</v>
      </c>
      <c r="B1282" t="s">
        <v>531</v>
      </c>
      <c r="C1282" t="s">
        <v>4242</v>
      </c>
      <c r="D1282">
        <v>2</v>
      </c>
      <c r="E1282" t="s">
        <v>4243</v>
      </c>
      <c r="F1282" t="s">
        <v>4076</v>
      </c>
      <c r="G1282" t="s">
        <v>1817</v>
      </c>
    </row>
    <row r="1283" spans="1:7" hidden="1" x14ac:dyDescent="0.25">
      <c r="A1283" t="s">
        <v>4216</v>
      </c>
      <c r="B1283" t="s">
        <v>531</v>
      </c>
      <c r="C1283" t="s">
        <v>58</v>
      </c>
      <c r="E1283" t="s">
        <v>4244</v>
      </c>
      <c r="F1283" t="s">
        <v>4079</v>
      </c>
      <c r="G1283" t="s">
        <v>1817</v>
      </c>
    </row>
    <row r="1284" spans="1:7" hidden="1" x14ac:dyDescent="0.25">
      <c r="A1284" t="s">
        <v>4216</v>
      </c>
      <c r="B1284" t="s">
        <v>531</v>
      </c>
      <c r="C1284" t="s">
        <v>58</v>
      </c>
      <c r="E1284" t="s">
        <v>2936</v>
      </c>
      <c r="F1284" t="s">
        <v>4082</v>
      </c>
      <c r="G1284" t="s">
        <v>1817</v>
      </c>
    </row>
    <row r="1285" spans="1:7" hidden="1" x14ac:dyDescent="0.25">
      <c r="A1285" t="s">
        <v>4216</v>
      </c>
      <c r="B1285" t="s">
        <v>531</v>
      </c>
      <c r="C1285" t="s">
        <v>58</v>
      </c>
      <c r="E1285" t="s">
        <v>2936</v>
      </c>
      <c r="F1285" t="s">
        <v>4085</v>
      </c>
      <c r="G1285" t="s">
        <v>1817</v>
      </c>
    </row>
    <row r="1286" spans="1:7" hidden="1" x14ac:dyDescent="0.25">
      <c r="A1286" t="s">
        <v>4216</v>
      </c>
      <c r="B1286" t="s">
        <v>531</v>
      </c>
      <c r="C1286" t="s">
        <v>58</v>
      </c>
      <c r="E1286" t="s">
        <v>2936</v>
      </c>
      <c r="F1286" t="s">
        <v>4088</v>
      </c>
      <c r="G1286" t="s">
        <v>1817</v>
      </c>
    </row>
    <row r="1287" spans="1:7" hidden="1" x14ac:dyDescent="0.25">
      <c r="A1287" t="s">
        <v>4216</v>
      </c>
      <c r="B1287" t="s">
        <v>531</v>
      </c>
      <c r="C1287" t="s">
        <v>58</v>
      </c>
      <c r="E1287" t="s">
        <v>2936</v>
      </c>
      <c r="F1287" t="s">
        <v>4091</v>
      </c>
      <c r="G1287" t="s">
        <v>1817</v>
      </c>
    </row>
    <row r="1288" spans="1:7" hidden="1" x14ac:dyDescent="0.25">
      <c r="A1288" t="s">
        <v>289</v>
      </c>
      <c r="B1288" t="s">
        <v>4192</v>
      </c>
      <c r="C1288" t="s">
        <v>58</v>
      </c>
      <c r="F1288" t="s">
        <v>4094</v>
      </c>
      <c r="G1288" t="s">
        <v>1817</v>
      </c>
    </row>
    <row r="1289" spans="1:7" hidden="1" x14ac:dyDescent="0.25">
      <c r="A1289" t="s">
        <v>289</v>
      </c>
      <c r="B1289" t="s">
        <v>4192</v>
      </c>
      <c r="C1289" t="s">
        <v>58</v>
      </c>
      <c r="E1289" t="s">
        <v>2936</v>
      </c>
      <c r="F1289" t="s">
        <v>4097</v>
      </c>
      <c r="G1289" t="s">
        <v>1817</v>
      </c>
    </row>
    <row r="1290" spans="1:7" hidden="1" x14ac:dyDescent="0.25">
      <c r="A1290" t="s">
        <v>289</v>
      </c>
      <c r="B1290" t="s">
        <v>4192</v>
      </c>
      <c r="C1290" t="s">
        <v>58</v>
      </c>
      <c r="E1290" t="s">
        <v>2936</v>
      </c>
      <c r="F1290" t="s">
        <v>4100</v>
      </c>
      <c r="G1290" t="s">
        <v>1817</v>
      </c>
    </row>
    <row r="1291" spans="1:7" hidden="1" x14ac:dyDescent="0.25">
      <c r="A1291" t="s">
        <v>289</v>
      </c>
      <c r="B1291" t="s">
        <v>4192</v>
      </c>
      <c r="C1291" t="s">
        <v>58</v>
      </c>
      <c r="E1291" t="s">
        <v>2936</v>
      </c>
      <c r="F1291" t="s">
        <v>4103</v>
      </c>
      <c r="G1291" t="s">
        <v>1817</v>
      </c>
    </row>
    <row r="1292" spans="1:7" hidden="1" x14ac:dyDescent="0.25">
      <c r="A1292" t="s">
        <v>4</v>
      </c>
      <c r="B1292" t="s">
        <v>8</v>
      </c>
      <c r="F1292" t="s">
        <v>4106</v>
      </c>
      <c r="G1292" t="s">
        <v>1817</v>
      </c>
    </row>
    <row r="1293" spans="1:7" hidden="1" x14ac:dyDescent="0.25">
      <c r="A1293" t="s">
        <v>1094</v>
      </c>
      <c r="B1293" t="s">
        <v>86</v>
      </c>
      <c r="C1293" t="s">
        <v>58</v>
      </c>
      <c r="E1293" t="s">
        <v>1620</v>
      </c>
      <c r="F1293" t="s">
        <v>4109</v>
      </c>
      <c r="G1293" t="s">
        <v>1817</v>
      </c>
    </row>
    <row r="1294" spans="1:7" hidden="1" x14ac:dyDescent="0.25">
      <c r="A1294" t="s">
        <v>1094</v>
      </c>
      <c r="B1294" t="s">
        <v>86</v>
      </c>
      <c r="C1294" t="s">
        <v>58</v>
      </c>
      <c r="E1294" t="s">
        <v>4245</v>
      </c>
      <c r="F1294" t="s">
        <v>4112</v>
      </c>
      <c r="G1294" t="s">
        <v>1817</v>
      </c>
    </row>
    <row r="1295" spans="1:7" hidden="1" x14ac:dyDescent="0.25">
      <c r="A1295" t="s">
        <v>1094</v>
      </c>
      <c r="B1295" t="s">
        <v>86</v>
      </c>
      <c r="C1295" t="s">
        <v>58</v>
      </c>
      <c r="E1295" t="s">
        <v>4245</v>
      </c>
      <c r="F1295" t="s">
        <v>4115</v>
      </c>
      <c r="G1295" t="s">
        <v>1817</v>
      </c>
    </row>
    <row r="1296" spans="1:7" hidden="1" x14ac:dyDescent="0.25">
      <c r="A1296" t="s">
        <v>533</v>
      </c>
      <c r="B1296" t="s">
        <v>1607</v>
      </c>
      <c r="C1296" t="s">
        <v>58</v>
      </c>
      <c r="F1296" t="s">
        <v>4118</v>
      </c>
      <c r="G1296" t="s">
        <v>1817</v>
      </c>
    </row>
    <row r="1297" spans="1:7" hidden="1" x14ac:dyDescent="0.25">
      <c r="A1297" t="s">
        <v>4</v>
      </c>
      <c r="B1297" t="s">
        <v>8</v>
      </c>
      <c r="F1297" t="s">
        <v>4121</v>
      </c>
      <c r="G1297" t="s">
        <v>1817</v>
      </c>
    </row>
    <row r="1298" spans="1:7" hidden="1" x14ac:dyDescent="0.25">
      <c r="A1298" t="s">
        <v>4</v>
      </c>
      <c r="B1298" t="s">
        <v>8</v>
      </c>
      <c r="F1298" t="s">
        <v>4124</v>
      </c>
      <c r="G1298" t="s">
        <v>1817</v>
      </c>
    </row>
    <row r="1299" spans="1:7" hidden="1" x14ac:dyDescent="0.25">
      <c r="A1299" t="s">
        <v>7</v>
      </c>
      <c r="F1299" t="s">
        <v>4127</v>
      </c>
      <c r="G1299" t="s">
        <v>1934</v>
      </c>
    </row>
    <row r="1300" spans="1:7" hidden="1" x14ac:dyDescent="0.25">
      <c r="A1300" t="s">
        <v>4246</v>
      </c>
      <c r="B1300" t="s">
        <v>4247</v>
      </c>
      <c r="F1300" t="s">
        <v>4130</v>
      </c>
      <c r="G1300" t="s">
        <v>1934</v>
      </c>
    </row>
    <row r="1301" spans="1:7" hidden="1" x14ac:dyDescent="0.25">
      <c r="A1301" t="s">
        <v>4246</v>
      </c>
      <c r="B1301" t="s">
        <v>4247</v>
      </c>
      <c r="F1301" t="s">
        <v>4133</v>
      </c>
      <c r="G1301" t="s">
        <v>1934</v>
      </c>
    </row>
    <row r="1302" spans="1:7" hidden="1" x14ac:dyDescent="0.25">
      <c r="A1302" t="s">
        <v>4246</v>
      </c>
      <c r="B1302" t="s">
        <v>4247</v>
      </c>
      <c r="F1302" t="s">
        <v>4136</v>
      </c>
      <c r="G1302" t="s">
        <v>1934</v>
      </c>
    </row>
    <row r="1303" spans="1:7" hidden="1" x14ac:dyDescent="0.25">
      <c r="A1303" t="s">
        <v>4246</v>
      </c>
      <c r="B1303" t="s">
        <v>4247</v>
      </c>
      <c r="F1303" t="s">
        <v>4139</v>
      </c>
      <c r="G1303" t="s">
        <v>1934</v>
      </c>
    </row>
    <row r="1304" spans="1:7" hidden="1" x14ac:dyDescent="0.25">
      <c r="A1304" t="s">
        <v>4246</v>
      </c>
      <c r="B1304" t="s">
        <v>4247</v>
      </c>
      <c r="F1304" t="s">
        <v>4142</v>
      </c>
      <c r="G1304" t="s">
        <v>1934</v>
      </c>
    </row>
    <row r="1305" spans="1:7" hidden="1" x14ac:dyDescent="0.25">
      <c r="A1305" t="s">
        <v>7</v>
      </c>
      <c r="B1305" t="s">
        <v>4248</v>
      </c>
      <c r="F1305" t="s">
        <v>4145</v>
      </c>
      <c r="G1305" t="s">
        <v>1934</v>
      </c>
    </row>
    <row r="1306" spans="1:7" hidden="1" x14ac:dyDescent="0.25">
      <c r="A1306" t="s">
        <v>7</v>
      </c>
      <c r="B1306" t="s">
        <v>4248</v>
      </c>
      <c r="F1306" t="s">
        <v>4148</v>
      </c>
      <c r="G1306" t="s">
        <v>1934</v>
      </c>
    </row>
    <row r="1307" spans="1:7" hidden="1" x14ac:dyDescent="0.25">
      <c r="A1307" t="s">
        <v>7</v>
      </c>
      <c r="B1307" t="s">
        <v>4248</v>
      </c>
      <c r="F1307" t="s">
        <v>4151</v>
      </c>
      <c r="G1307" t="s">
        <v>1934</v>
      </c>
    </row>
    <row r="1308" spans="1:7" hidden="1" x14ac:dyDescent="0.25">
      <c r="A1308" t="s">
        <v>7</v>
      </c>
      <c r="B1308" t="s">
        <v>4248</v>
      </c>
      <c r="F1308" t="s">
        <v>4154</v>
      </c>
      <c r="G1308" t="s">
        <v>1934</v>
      </c>
    </row>
    <row r="1309" spans="1:7" hidden="1" x14ac:dyDescent="0.25">
      <c r="A1309" t="s">
        <v>7</v>
      </c>
      <c r="B1309" t="s">
        <v>4248</v>
      </c>
      <c r="F1309" t="s">
        <v>4157</v>
      </c>
      <c r="G1309" t="s">
        <v>1934</v>
      </c>
    </row>
    <row r="1310" spans="1:7" hidden="1" x14ac:dyDescent="0.25">
      <c r="A1310" t="s">
        <v>7</v>
      </c>
      <c r="B1310" t="s">
        <v>4248</v>
      </c>
      <c r="F1310" t="s">
        <v>4160</v>
      </c>
      <c r="G1310" t="s">
        <v>1934</v>
      </c>
    </row>
    <row r="1311" spans="1:7" hidden="1" x14ac:dyDescent="0.25">
      <c r="A1311" t="s">
        <v>4</v>
      </c>
      <c r="B1311" t="s">
        <v>8</v>
      </c>
      <c r="F1311" t="s">
        <v>4163</v>
      </c>
      <c r="G1311" t="s">
        <v>1934</v>
      </c>
    </row>
    <row r="1312" spans="1:7" x14ac:dyDescent="0.25">
      <c r="A1312" t="s">
        <v>2014</v>
      </c>
      <c r="F1312" t="s">
        <v>4166</v>
      </c>
      <c r="G1312" t="s">
        <v>1997</v>
      </c>
    </row>
    <row r="1313" spans="1:7" x14ac:dyDescent="0.25">
      <c r="A1313" t="s">
        <v>4</v>
      </c>
      <c r="B1313" t="s">
        <v>4249</v>
      </c>
      <c r="F1313" t="s">
        <v>4169</v>
      </c>
      <c r="G1313" t="s">
        <v>1997</v>
      </c>
    </row>
    <row r="1314" spans="1:7" x14ac:dyDescent="0.25">
      <c r="A1314" t="s">
        <v>4</v>
      </c>
      <c r="B1314" t="s">
        <v>4250</v>
      </c>
      <c r="F1314" t="s">
        <v>4172</v>
      </c>
      <c r="G1314" t="s">
        <v>1997</v>
      </c>
    </row>
    <row r="1315" spans="1:7" x14ac:dyDescent="0.25">
      <c r="A1315" t="s">
        <v>4</v>
      </c>
      <c r="B1315" t="s">
        <v>4251</v>
      </c>
      <c r="F1315" t="s">
        <v>4175</v>
      </c>
      <c r="G1315" t="s">
        <v>1997</v>
      </c>
    </row>
    <row r="1316" spans="1:7" x14ac:dyDescent="0.25">
      <c r="A1316" t="s">
        <v>4</v>
      </c>
      <c r="B1316" t="s">
        <v>8</v>
      </c>
      <c r="F1316" t="s">
        <v>4178</v>
      </c>
      <c r="G1316" t="s">
        <v>1997</v>
      </c>
    </row>
    <row r="1317" spans="1:7" x14ac:dyDescent="0.25">
      <c r="A1317" t="s">
        <v>4</v>
      </c>
      <c r="B1317" t="s">
        <v>8</v>
      </c>
      <c r="F1317" t="s">
        <v>4181</v>
      </c>
      <c r="G1317" t="s">
        <v>1997</v>
      </c>
    </row>
    <row r="1318" spans="1:7" x14ac:dyDescent="0.25">
      <c r="A1318" t="s">
        <v>4212</v>
      </c>
      <c r="F1318" t="s">
        <v>4187</v>
      </c>
      <c r="G1318" t="s">
        <v>1997</v>
      </c>
    </row>
    <row r="1319" spans="1:7" x14ac:dyDescent="0.25">
      <c r="A1319" t="s">
        <v>2004</v>
      </c>
      <c r="F1319" t="s">
        <v>4184</v>
      </c>
      <c r="G1319" t="s">
        <v>1997</v>
      </c>
    </row>
    <row r="1320" spans="1:7" hidden="1" x14ac:dyDescent="0.25">
      <c r="A1320" t="s">
        <v>62</v>
      </c>
      <c r="B1320" t="s">
        <v>55</v>
      </c>
      <c r="C1320" t="s">
        <v>51</v>
      </c>
      <c r="F1320" t="s">
        <v>4252</v>
      </c>
      <c r="G1320" t="s">
        <v>1102</v>
      </c>
    </row>
    <row r="1321" spans="1:7" hidden="1" x14ac:dyDescent="0.25">
      <c r="A1321" t="s">
        <v>91</v>
      </c>
      <c r="B1321" t="s">
        <v>55</v>
      </c>
      <c r="C1321" t="s">
        <v>51</v>
      </c>
      <c r="F1321" t="s">
        <v>4255</v>
      </c>
      <c r="G1321" t="s">
        <v>1102</v>
      </c>
    </row>
    <row r="1322" spans="1:7" hidden="1" x14ac:dyDescent="0.25">
      <c r="A1322" t="s">
        <v>2004</v>
      </c>
      <c r="F1322" t="s">
        <v>4258</v>
      </c>
      <c r="G1322" t="s">
        <v>1103</v>
      </c>
    </row>
    <row r="1323" spans="1:7" hidden="1" x14ac:dyDescent="0.25">
      <c r="A1323" t="s">
        <v>2004</v>
      </c>
      <c r="F1323" t="s">
        <v>4261</v>
      </c>
      <c r="G1323" t="s">
        <v>91</v>
      </c>
    </row>
    <row r="1324" spans="1:7" hidden="1" x14ac:dyDescent="0.25">
      <c r="A1324" t="s">
        <v>650</v>
      </c>
      <c r="B1324" t="s">
        <v>55</v>
      </c>
      <c r="C1324" t="s">
        <v>51</v>
      </c>
      <c r="F1324" t="s">
        <v>4264</v>
      </c>
      <c r="G1324" t="s">
        <v>1104</v>
      </c>
    </row>
    <row r="1325" spans="1:7" hidden="1" x14ac:dyDescent="0.25">
      <c r="A1325" t="s">
        <v>1606</v>
      </c>
      <c r="B1325" t="s">
        <v>55</v>
      </c>
      <c r="C1325" t="s">
        <v>51</v>
      </c>
      <c r="F1325" t="s">
        <v>4267</v>
      </c>
      <c r="G1325" t="s">
        <v>1104</v>
      </c>
    </row>
    <row r="1326" spans="1:7" hidden="1" x14ac:dyDescent="0.25">
      <c r="A1326" t="s">
        <v>2004</v>
      </c>
      <c r="F1326" t="s">
        <v>4270</v>
      </c>
      <c r="G1326" t="s">
        <v>1105</v>
      </c>
    </row>
    <row r="1327" spans="1:7" hidden="1" x14ac:dyDescent="0.25">
      <c r="A1327" t="s">
        <v>2004</v>
      </c>
      <c r="F1327" t="s">
        <v>4273</v>
      </c>
      <c r="G1327" t="s">
        <v>1106</v>
      </c>
    </row>
    <row r="1328" spans="1:7" hidden="1" x14ac:dyDescent="0.25">
      <c r="A1328" t="s">
        <v>4297</v>
      </c>
      <c r="B1328" t="s">
        <v>55</v>
      </c>
      <c r="F1328" t="s">
        <v>4276</v>
      </c>
      <c r="G1328" t="s">
        <v>1107</v>
      </c>
    </row>
    <row r="1329" spans="1:7" hidden="1" x14ac:dyDescent="0.25">
      <c r="A1329" t="s">
        <v>2004</v>
      </c>
      <c r="B1329" t="s">
        <v>8</v>
      </c>
      <c r="F1329" t="s">
        <v>4279</v>
      </c>
      <c r="G1329" t="s">
        <v>796</v>
      </c>
    </row>
    <row r="1330" spans="1:7" hidden="1" x14ac:dyDescent="0.25">
      <c r="A1330" t="s">
        <v>2004</v>
      </c>
      <c r="F1330" t="s">
        <v>4282</v>
      </c>
      <c r="G1330" t="s">
        <v>1100</v>
      </c>
    </row>
    <row r="1331" spans="1:7" hidden="1" x14ac:dyDescent="0.25">
      <c r="A1331" t="s">
        <v>2004</v>
      </c>
      <c r="F1331" t="s">
        <v>4285</v>
      </c>
      <c r="G1331" s="1" t="s">
        <v>1603</v>
      </c>
    </row>
    <row r="1332" spans="1:7" hidden="1" x14ac:dyDescent="0.25">
      <c r="A1332" t="s">
        <v>2004</v>
      </c>
      <c r="F1332" t="s">
        <v>4288</v>
      </c>
      <c r="G1332" t="s">
        <v>1817</v>
      </c>
    </row>
    <row r="1333" spans="1:7" hidden="1" x14ac:dyDescent="0.25">
      <c r="A1333" t="s">
        <v>2004</v>
      </c>
      <c r="F1333" t="s">
        <v>4291</v>
      </c>
      <c r="G1333" t="s">
        <v>1934</v>
      </c>
    </row>
    <row r="1334" spans="1:7" x14ac:dyDescent="0.25">
      <c r="A1334" t="s">
        <v>4298</v>
      </c>
      <c r="F1334" t="s">
        <v>4294</v>
      </c>
      <c r="G1334" t="s">
        <v>1997</v>
      </c>
    </row>
    <row r="1335" spans="1:7" hidden="1" x14ac:dyDescent="0.25">
      <c r="A1335" t="s">
        <v>91</v>
      </c>
      <c r="B1335" t="s">
        <v>4194</v>
      </c>
      <c r="C1335" t="s">
        <v>1609</v>
      </c>
      <c r="E1335" t="s">
        <v>5074</v>
      </c>
      <c r="F1335" t="s">
        <v>4402</v>
      </c>
      <c r="G1335" t="s">
        <v>1102</v>
      </c>
    </row>
    <row r="1336" spans="1:7" hidden="1" x14ac:dyDescent="0.25">
      <c r="A1336" t="s">
        <v>62</v>
      </c>
      <c r="B1336" t="s">
        <v>4194</v>
      </c>
      <c r="C1336" t="s">
        <v>51</v>
      </c>
      <c r="E1336" t="s">
        <v>5075</v>
      </c>
      <c r="F1336" t="s">
        <v>4405</v>
      </c>
      <c r="G1336" t="s">
        <v>1102</v>
      </c>
    </row>
    <row r="1337" spans="1:7" hidden="1" x14ac:dyDescent="0.25">
      <c r="A1337" t="s">
        <v>91</v>
      </c>
      <c r="B1337" t="s">
        <v>70</v>
      </c>
      <c r="C1337" t="s">
        <v>5076</v>
      </c>
      <c r="F1337" t="s">
        <v>4408</v>
      </c>
      <c r="G1337" t="s">
        <v>1102</v>
      </c>
    </row>
    <row r="1338" spans="1:7" hidden="1" x14ac:dyDescent="0.25">
      <c r="A1338" t="s">
        <v>62</v>
      </c>
      <c r="B1338" t="s">
        <v>70</v>
      </c>
      <c r="C1338" t="s">
        <v>5076</v>
      </c>
      <c r="F1338" t="s">
        <v>4411</v>
      </c>
      <c r="G1338" t="s">
        <v>1102</v>
      </c>
    </row>
    <row r="1339" spans="1:7" hidden="1" x14ac:dyDescent="0.25">
      <c r="A1339" t="s">
        <v>91</v>
      </c>
      <c r="B1339" t="s">
        <v>70</v>
      </c>
      <c r="C1339" t="s">
        <v>5076</v>
      </c>
      <c r="F1339" t="s">
        <v>4414</v>
      </c>
      <c r="G1339" t="s">
        <v>1102</v>
      </c>
    </row>
    <row r="1340" spans="1:7" hidden="1" x14ac:dyDescent="0.25">
      <c r="A1340" t="s">
        <v>62</v>
      </c>
      <c r="B1340" t="s">
        <v>70</v>
      </c>
      <c r="C1340" t="s">
        <v>5076</v>
      </c>
      <c r="F1340" t="s">
        <v>4417</v>
      </c>
      <c r="G1340" t="s">
        <v>1102</v>
      </c>
    </row>
    <row r="1341" spans="1:7" hidden="1" x14ac:dyDescent="0.25">
      <c r="A1341" t="s">
        <v>2004</v>
      </c>
      <c r="F1341" t="s">
        <v>4420</v>
      </c>
      <c r="G1341" t="s">
        <v>1102</v>
      </c>
    </row>
    <row r="1342" spans="1:7" hidden="1" x14ac:dyDescent="0.25">
      <c r="A1342" t="s">
        <v>91</v>
      </c>
      <c r="B1342" t="s">
        <v>70</v>
      </c>
      <c r="C1342" t="s">
        <v>5076</v>
      </c>
      <c r="F1342" t="s">
        <v>4423</v>
      </c>
      <c r="G1342" t="s">
        <v>1102</v>
      </c>
    </row>
    <row r="1343" spans="1:7" hidden="1" x14ac:dyDescent="0.25">
      <c r="A1343" t="s">
        <v>62</v>
      </c>
      <c r="B1343" t="s">
        <v>70</v>
      </c>
      <c r="C1343" t="s">
        <v>5076</v>
      </c>
      <c r="F1343" t="s">
        <v>4426</v>
      </c>
      <c r="G1343" t="s">
        <v>1102</v>
      </c>
    </row>
    <row r="1344" spans="1:7" hidden="1" x14ac:dyDescent="0.25">
      <c r="A1344" t="s">
        <v>91</v>
      </c>
      <c r="B1344" t="s">
        <v>70</v>
      </c>
      <c r="C1344" t="s">
        <v>5076</v>
      </c>
      <c r="F1344" t="s">
        <v>4429</v>
      </c>
      <c r="G1344" t="s">
        <v>1102</v>
      </c>
    </row>
    <row r="1345" spans="1:7" hidden="1" x14ac:dyDescent="0.25">
      <c r="A1345" t="s">
        <v>62</v>
      </c>
      <c r="B1345" t="s">
        <v>70</v>
      </c>
      <c r="C1345" t="s">
        <v>5076</v>
      </c>
      <c r="F1345" t="s">
        <v>4432</v>
      </c>
      <c r="G1345" t="s">
        <v>1102</v>
      </c>
    </row>
    <row r="1346" spans="1:7" hidden="1" x14ac:dyDescent="0.25">
      <c r="A1346" t="s">
        <v>62</v>
      </c>
      <c r="B1346" t="s">
        <v>55</v>
      </c>
      <c r="C1346" t="s">
        <v>51</v>
      </c>
      <c r="F1346" t="s">
        <v>4435</v>
      </c>
      <c r="G1346" t="s">
        <v>1102</v>
      </c>
    </row>
    <row r="1347" spans="1:7" hidden="1" x14ac:dyDescent="0.25">
      <c r="A1347" t="s">
        <v>91</v>
      </c>
      <c r="B1347" t="s">
        <v>55</v>
      </c>
      <c r="C1347" t="s">
        <v>5077</v>
      </c>
      <c r="F1347" t="s">
        <v>4438</v>
      </c>
      <c r="G1347" t="s">
        <v>1102</v>
      </c>
    </row>
    <row r="1348" spans="1:7" hidden="1" x14ac:dyDescent="0.25">
      <c r="A1348" t="s">
        <v>91</v>
      </c>
      <c r="B1348" t="s">
        <v>70</v>
      </c>
      <c r="C1348" t="s">
        <v>5076</v>
      </c>
      <c r="F1348" t="s">
        <v>4441</v>
      </c>
      <c r="G1348" t="s">
        <v>1102</v>
      </c>
    </row>
    <row r="1349" spans="1:7" hidden="1" x14ac:dyDescent="0.25">
      <c r="A1349" t="s">
        <v>62</v>
      </c>
      <c r="B1349" t="s">
        <v>70</v>
      </c>
      <c r="C1349" t="s">
        <v>5076</v>
      </c>
      <c r="F1349" t="s">
        <v>4444</v>
      </c>
      <c r="G1349" t="s">
        <v>1102</v>
      </c>
    </row>
    <row r="1350" spans="1:7" hidden="1" x14ac:dyDescent="0.25">
      <c r="A1350" t="s">
        <v>2004</v>
      </c>
      <c r="F1350" t="s">
        <v>4447</v>
      </c>
      <c r="G1350" t="s">
        <v>1102</v>
      </c>
    </row>
    <row r="1351" spans="1:7" hidden="1" x14ac:dyDescent="0.25">
      <c r="A1351" t="s">
        <v>5078</v>
      </c>
      <c r="B1351" t="s">
        <v>1607</v>
      </c>
      <c r="C1351" t="s">
        <v>5079</v>
      </c>
      <c r="E1351" t="s">
        <v>5080</v>
      </c>
      <c r="F1351" t="s">
        <v>4299</v>
      </c>
      <c r="G1351" t="s">
        <v>1103</v>
      </c>
    </row>
    <row r="1352" spans="1:7" hidden="1" x14ac:dyDescent="0.25">
      <c r="A1352" t="s">
        <v>5081</v>
      </c>
      <c r="B1352" t="s">
        <v>86</v>
      </c>
      <c r="C1352" t="s">
        <v>3071</v>
      </c>
      <c r="E1352" t="s">
        <v>5082</v>
      </c>
      <c r="F1352" t="s">
        <v>4302</v>
      </c>
      <c r="G1352" t="s">
        <v>1103</v>
      </c>
    </row>
    <row r="1353" spans="1:7" hidden="1" x14ac:dyDescent="0.25">
      <c r="A1353" t="s">
        <v>4</v>
      </c>
      <c r="B1353" t="s">
        <v>86</v>
      </c>
      <c r="C1353" t="s">
        <v>51</v>
      </c>
      <c r="F1353" t="s">
        <v>4305</v>
      </c>
      <c r="G1353" t="s">
        <v>1103</v>
      </c>
    </row>
    <row r="1354" spans="1:7" hidden="1" x14ac:dyDescent="0.25">
      <c r="A1354" t="s">
        <v>4</v>
      </c>
      <c r="B1354" t="s">
        <v>86</v>
      </c>
      <c r="C1354" t="s">
        <v>2938</v>
      </c>
      <c r="F1354" t="s">
        <v>4308</v>
      </c>
      <c r="G1354" t="s">
        <v>1103</v>
      </c>
    </row>
    <row r="1355" spans="1:7" hidden="1" x14ac:dyDescent="0.25">
      <c r="A1355" t="s">
        <v>5081</v>
      </c>
      <c r="B1355" t="s">
        <v>86</v>
      </c>
      <c r="C1355" t="s">
        <v>2938</v>
      </c>
      <c r="E1355" t="s">
        <v>5082</v>
      </c>
      <c r="F1355" t="s">
        <v>4311</v>
      </c>
      <c r="G1355" t="s">
        <v>1103</v>
      </c>
    </row>
    <row r="1356" spans="1:7" hidden="1" x14ac:dyDescent="0.25">
      <c r="A1356" t="s">
        <v>4</v>
      </c>
      <c r="B1356" t="s">
        <v>86</v>
      </c>
      <c r="C1356" t="s">
        <v>5083</v>
      </c>
      <c r="E1356" t="s">
        <v>5084</v>
      </c>
      <c r="F1356" t="s">
        <v>4314</v>
      </c>
      <c r="G1356" t="s">
        <v>1103</v>
      </c>
    </row>
    <row r="1357" spans="1:7" hidden="1" x14ac:dyDescent="0.25">
      <c r="A1357" t="s">
        <v>4</v>
      </c>
      <c r="B1357" t="s">
        <v>8</v>
      </c>
      <c r="F1357" t="s">
        <v>4318</v>
      </c>
      <c r="G1357" t="s">
        <v>1103</v>
      </c>
    </row>
    <row r="1358" spans="1:7" hidden="1" x14ac:dyDescent="0.25">
      <c r="A1358" t="s">
        <v>158</v>
      </c>
      <c r="B1358" t="s">
        <v>86</v>
      </c>
      <c r="C1358" t="s">
        <v>60</v>
      </c>
      <c r="D1358">
        <v>2</v>
      </c>
      <c r="E1358" t="s">
        <v>3075</v>
      </c>
      <c r="F1358" t="s">
        <v>4321</v>
      </c>
      <c r="G1358" t="s">
        <v>1103</v>
      </c>
    </row>
    <row r="1359" spans="1:7" hidden="1" x14ac:dyDescent="0.25">
      <c r="A1359" t="s">
        <v>158</v>
      </c>
      <c r="B1359" t="s">
        <v>86</v>
      </c>
      <c r="C1359" t="s">
        <v>60</v>
      </c>
      <c r="D1359">
        <v>1</v>
      </c>
      <c r="E1359" t="s">
        <v>3075</v>
      </c>
      <c r="F1359" t="s">
        <v>4324</v>
      </c>
      <c r="G1359" t="s">
        <v>1103</v>
      </c>
    </row>
    <row r="1360" spans="1:7" hidden="1" x14ac:dyDescent="0.25">
      <c r="A1360" t="s">
        <v>158</v>
      </c>
      <c r="B1360" t="s">
        <v>86</v>
      </c>
      <c r="C1360" t="s">
        <v>60</v>
      </c>
      <c r="D1360">
        <v>2</v>
      </c>
      <c r="E1360" t="s">
        <v>3075</v>
      </c>
      <c r="F1360" t="s">
        <v>4327</v>
      </c>
      <c r="G1360" t="s">
        <v>1103</v>
      </c>
    </row>
    <row r="1361" spans="1:7" hidden="1" x14ac:dyDescent="0.25">
      <c r="A1361" t="s">
        <v>158</v>
      </c>
      <c r="B1361" t="s">
        <v>86</v>
      </c>
      <c r="C1361" t="s">
        <v>200</v>
      </c>
      <c r="D1361">
        <v>2</v>
      </c>
      <c r="E1361" t="s">
        <v>3075</v>
      </c>
      <c r="F1361" t="s">
        <v>4330</v>
      </c>
      <c r="G1361" t="s">
        <v>1103</v>
      </c>
    </row>
    <row r="1362" spans="1:7" hidden="1" x14ac:dyDescent="0.25">
      <c r="A1362" t="s">
        <v>158</v>
      </c>
      <c r="B1362" t="s">
        <v>86</v>
      </c>
      <c r="C1362" t="s">
        <v>200</v>
      </c>
      <c r="D1362">
        <v>4</v>
      </c>
      <c r="E1362" t="s">
        <v>3075</v>
      </c>
      <c r="F1362" t="s">
        <v>4333</v>
      </c>
      <c r="G1362" t="s">
        <v>1103</v>
      </c>
    </row>
    <row r="1363" spans="1:7" hidden="1" x14ac:dyDescent="0.25">
      <c r="A1363" t="s">
        <v>158</v>
      </c>
      <c r="B1363" t="s">
        <v>86</v>
      </c>
      <c r="C1363" t="s">
        <v>200</v>
      </c>
      <c r="D1363">
        <v>4</v>
      </c>
      <c r="E1363" t="s">
        <v>3075</v>
      </c>
      <c r="F1363" t="s">
        <v>4336</v>
      </c>
      <c r="G1363" t="s">
        <v>1103</v>
      </c>
    </row>
    <row r="1364" spans="1:7" hidden="1" x14ac:dyDescent="0.25">
      <c r="A1364" t="s">
        <v>158</v>
      </c>
      <c r="B1364" t="s">
        <v>86</v>
      </c>
      <c r="C1364" t="s">
        <v>200</v>
      </c>
      <c r="D1364">
        <v>1</v>
      </c>
      <c r="E1364" t="s">
        <v>3075</v>
      </c>
      <c r="F1364" t="s">
        <v>4339</v>
      </c>
      <c r="G1364" t="s">
        <v>1103</v>
      </c>
    </row>
    <row r="1365" spans="1:7" hidden="1" x14ac:dyDescent="0.25">
      <c r="A1365" t="s">
        <v>158</v>
      </c>
      <c r="B1365" t="s">
        <v>86</v>
      </c>
      <c r="C1365" t="s">
        <v>5085</v>
      </c>
      <c r="D1365">
        <v>3</v>
      </c>
      <c r="E1365" t="s">
        <v>3075</v>
      </c>
      <c r="F1365" t="s">
        <v>4342</v>
      </c>
      <c r="G1365" t="s">
        <v>1103</v>
      </c>
    </row>
    <row r="1366" spans="1:7" hidden="1" x14ac:dyDescent="0.25">
      <c r="A1366" t="s">
        <v>158</v>
      </c>
      <c r="B1366" t="s">
        <v>86</v>
      </c>
      <c r="C1366" t="s">
        <v>5085</v>
      </c>
      <c r="D1366">
        <v>3</v>
      </c>
      <c r="E1366" t="s">
        <v>3075</v>
      </c>
      <c r="F1366" t="s">
        <v>4345</v>
      </c>
      <c r="G1366" t="s">
        <v>1103</v>
      </c>
    </row>
    <row r="1367" spans="1:7" hidden="1" x14ac:dyDescent="0.25">
      <c r="A1367" t="s">
        <v>158</v>
      </c>
      <c r="B1367" t="s">
        <v>86</v>
      </c>
      <c r="C1367" t="s">
        <v>5085</v>
      </c>
      <c r="D1367">
        <v>3</v>
      </c>
      <c r="E1367" t="s">
        <v>3075</v>
      </c>
      <c r="F1367" t="s">
        <v>4348</v>
      </c>
      <c r="G1367" t="s">
        <v>1103</v>
      </c>
    </row>
    <row r="1368" spans="1:7" hidden="1" x14ac:dyDescent="0.25">
      <c r="A1368" t="s">
        <v>4221</v>
      </c>
      <c r="B1368" t="s">
        <v>86</v>
      </c>
      <c r="C1368" t="s">
        <v>4240</v>
      </c>
      <c r="E1368" t="s">
        <v>4236</v>
      </c>
      <c r="F1368" t="s">
        <v>4351</v>
      </c>
      <c r="G1368" t="s">
        <v>1103</v>
      </c>
    </row>
    <row r="1369" spans="1:7" hidden="1" x14ac:dyDescent="0.25">
      <c r="A1369" t="s">
        <v>4221</v>
      </c>
      <c r="B1369" t="s">
        <v>86</v>
      </c>
      <c r="C1369" t="s">
        <v>4240</v>
      </c>
      <c r="E1369" t="s">
        <v>2936</v>
      </c>
      <c r="F1369" t="s">
        <v>4354</v>
      </c>
      <c r="G1369" t="s">
        <v>1103</v>
      </c>
    </row>
    <row r="1370" spans="1:7" hidden="1" x14ac:dyDescent="0.25">
      <c r="A1370" t="s">
        <v>158</v>
      </c>
      <c r="B1370" t="s">
        <v>86</v>
      </c>
      <c r="C1370" t="s">
        <v>5085</v>
      </c>
      <c r="D1370">
        <v>3</v>
      </c>
      <c r="E1370" t="s">
        <v>3075</v>
      </c>
      <c r="F1370" t="s">
        <v>4357</v>
      </c>
      <c r="G1370" t="s">
        <v>1103</v>
      </c>
    </row>
    <row r="1371" spans="1:7" hidden="1" x14ac:dyDescent="0.25">
      <c r="A1371" t="s">
        <v>158</v>
      </c>
      <c r="B1371" t="s">
        <v>86</v>
      </c>
      <c r="C1371" t="s">
        <v>200</v>
      </c>
      <c r="D1371">
        <v>2</v>
      </c>
      <c r="E1371" t="s">
        <v>3075</v>
      </c>
      <c r="F1371" t="s">
        <v>4360</v>
      </c>
      <c r="G1371" t="s">
        <v>1103</v>
      </c>
    </row>
    <row r="1372" spans="1:7" hidden="1" x14ac:dyDescent="0.25">
      <c r="A1372" t="s">
        <v>158</v>
      </c>
      <c r="B1372" t="s">
        <v>86</v>
      </c>
      <c r="C1372" t="s">
        <v>200</v>
      </c>
      <c r="D1372">
        <v>5</v>
      </c>
      <c r="E1372" t="s">
        <v>3075</v>
      </c>
      <c r="F1372" t="s">
        <v>4363</v>
      </c>
      <c r="G1372" t="s">
        <v>1103</v>
      </c>
    </row>
    <row r="1373" spans="1:7" hidden="1" x14ac:dyDescent="0.25">
      <c r="A1373" t="s">
        <v>158</v>
      </c>
      <c r="B1373" t="s">
        <v>86</v>
      </c>
      <c r="C1373" t="s">
        <v>200</v>
      </c>
      <c r="D1373">
        <v>4</v>
      </c>
      <c r="E1373" t="s">
        <v>3075</v>
      </c>
      <c r="F1373" t="s">
        <v>4366</v>
      </c>
      <c r="G1373" t="s">
        <v>1103</v>
      </c>
    </row>
    <row r="1374" spans="1:7" hidden="1" x14ac:dyDescent="0.25">
      <c r="A1374" t="s">
        <v>158</v>
      </c>
      <c r="B1374" t="s">
        <v>86</v>
      </c>
      <c r="C1374" t="s">
        <v>200</v>
      </c>
      <c r="D1374">
        <v>4</v>
      </c>
      <c r="E1374" t="s">
        <v>3075</v>
      </c>
      <c r="F1374" t="s">
        <v>4369</v>
      </c>
      <c r="G1374" t="s">
        <v>1103</v>
      </c>
    </row>
    <row r="1375" spans="1:7" hidden="1" x14ac:dyDescent="0.25">
      <c r="A1375" t="s">
        <v>158</v>
      </c>
      <c r="B1375" t="s">
        <v>86</v>
      </c>
      <c r="C1375" t="s">
        <v>60</v>
      </c>
      <c r="D1375">
        <v>2</v>
      </c>
      <c r="E1375" t="s">
        <v>3075</v>
      </c>
      <c r="F1375" t="s">
        <v>4372</v>
      </c>
      <c r="G1375" t="s">
        <v>1103</v>
      </c>
    </row>
    <row r="1376" spans="1:7" hidden="1" x14ac:dyDescent="0.25">
      <c r="A1376" t="s">
        <v>158</v>
      </c>
      <c r="B1376" t="s">
        <v>86</v>
      </c>
      <c r="C1376" t="s">
        <v>200</v>
      </c>
      <c r="D1376">
        <v>1</v>
      </c>
      <c r="E1376" t="s">
        <v>3075</v>
      </c>
      <c r="F1376" t="s">
        <v>4375</v>
      </c>
      <c r="G1376" t="s">
        <v>1103</v>
      </c>
    </row>
    <row r="1377" spans="1:7" hidden="1" x14ac:dyDescent="0.25">
      <c r="A1377" t="s">
        <v>4221</v>
      </c>
      <c r="B1377" t="s">
        <v>86</v>
      </c>
      <c r="C1377" t="s">
        <v>2938</v>
      </c>
      <c r="E1377" t="s">
        <v>4236</v>
      </c>
      <c r="F1377" t="s">
        <v>4378</v>
      </c>
      <c r="G1377" t="s">
        <v>1103</v>
      </c>
    </row>
    <row r="1378" spans="1:7" hidden="1" x14ac:dyDescent="0.25">
      <c r="A1378" t="s">
        <v>4221</v>
      </c>
      <c r="B1378" t="s">
        <v>86</v>
      </c>
      <c r="C1378" t="s">
        <v>2938</v>
      </c>
      <c r="E1378" t="s">
        <v>2936</v>
      </c>
      <c r="F1378" t="s">
        <v>4381</v>
      </c>
      <c r="G1378" t="s">
        <v>1103</v>
      </c>
    </row>
    <row r="1379" spans="1:7" hidden="1" x14ac:dyDescent="0.25">
      <c r="A1379" t="s">
        <v>158</v>
      </c>
      <c r="B1379" t="s">
        <v>86</v>
      </c>
      <c r="C1379" t="s">
        <v>200</v>
      </c>
      <c r="D1379">
        <v>4</v>
      </c>
      <c r="E1379" t="s">
        <v>3075</v>
      </c>
      <c r="F1379" t="s">
        <v>4384</v>
      </c>
      <c r="G1379" t="s">
        <v>1103</v>
      </c>
    </row>
    <row r="1380" spans="1:7" hidden="1" x14ac:dyDescent="0.25">
      <c r="A1380" t="s">
        <v>158</v>
      </c>
      <c r="B1380" t="s">
        <v>86</v>
      </c>
      <c r="C1380" t="s">
        <v>200</v>
      </c>
      <c r="D1380">
        <v>3</v>
      </c>
      <c r="E1380" t="s">
        <v>3075</v>
      </c>
      <c r="F1380" t="s">
        <v>4387</v>
      </c>
      <c r="G1380" t="s">
        <v>1103</v>
      </c>
    </row>
    <row r="1381" spans="1:7" hidden="1" x14ac:dyDescent="0.25">
      <c r="A1381" t="s">
        <v>158</v>
      </c>
      <c r="B1381" t="s">
        <v>86</v>
      </c>
      <c r="C1381" t="s">
        <v>200</v>
      </c>
      <c r="D1381">
        <v>2</v>
      </c>
      <c r="E1381" t="s">
        <v>3075</v>
      </c>
      <c r="F1381" t="s">
        <v>4390</v>
      </c>
      <c r="G1381" t="s">
        <v>1103</v>
      </c>
    </row>
    <row r="1382" spans="1:7" hidden="1" x14ac:dyDescent="0.25">
      <c r="A1382" t="s">
        <v>158</v>
      </c>
      <c r="B1382" t="s">
        <v>86</v>
      </c>
      <c r="C1382" t="s">
        <v>200</v>
      </c>
      <c r="D1382">
        <v>3</v>
      </c>
      <c r="E1382" t="s">
        <v>3075</v>
      </c>
      <c r="F1382" t="s">
        <v>4393</v>
      </c>
      <c r="G1382" t="s">
        <v>1103</v>
      </c>
    </row>
    <row r="1383" spans="1:7" hidden="1" x14ac:dyDescent="0.25">
      <c r="A1383" t="s">
        <v>158</v>
      </c>
      <c r="B1383" t="s">
        <v>86</v>
      </c>
      <c r="C1383" t="s">
        <v>200</v>
      </c>
      <c r="D1383">
        <v>4</v>
      </c>
      <c r="E1383" t="s">
        <v>3075</v>
      </c>
      <c r="F1383" t="s">
        <v>4396</v>
      </c>
      <c r="G1383" t="s">
        <v>1103</v>
      </c>
    </row>
    <row r="1384" spans="1:7" hidden="1" x14ac:dyDescent="0.25">
      <c r="A1384" t="s">
        <v>2004</v>
      </c>
      <c r="F1384" t="s">
        <v>4399</v>
      </c>
      <c r="G1384" t="s">
        <v>1103</v>
      </c>
    </row>
    <row r="1385" spans="1:7" hidden="1" x14ac:dyDescent="0.25">
      <c r="A1385" t="s">
        <v>4</v>
      </c>
      <c r="B1385" t="s">
        <v>8</v>
      </c>
      <c r="F1385" t="s">
        <v>4558</v>
      </c>
      <c r="G1385" t="s">
        <v>91</v>
      </c>
    </row>
    <row r="1386" spans="1:7" hidden="1" x14ac:dyDescent="0.25">
      <c r="A1386" t="s">
        <v>4</v>
      </c>
      <c r="B1386" t="s">
        <v>4194</v>
      </c>
      <c r="E1386" t="s">
        <v>5089</v>
      </c>
      <c r="F1386" t="s">
        <v>4561</v>
      </c>
      <c r="G1386" t="s">
        <v>91</v>
      </c>
    </row>
    <row r="1387" spans="1:7" hidden="1" x14ac:dyDescent="0.25">
      <c r="A1387" t="s">
        <v>4</v>
      </c>
      <c r="B1387" t="s">
        <v>8</v>
      </c>
      <c r="F1387" t="s">
        <v>4564</v>
      </c>
      <c r="G1387" t="s">
        <v>91</v>
      </c>
    </row>
    <row r="1388" spans="1:7" hidden="1" x14ac:dyDescent="0.25">
      <c r="A1388" t="s">
        <v>4</v>
      </c>
      <c r="B1388" t="s">
        <v>8</v>
      </c>
      <c r="F1388" t="s">
        <v>4567</v>
      </c>
      <c r="G1388" t="s">
        <v>91</v>
      </c>
    </row>
    <row r="1389" spans="1:7" hidden="1" x14ac:dyDescent="0.25">
      <c r="A1389" t="s">
        <v>289</v>
      </c>
      <c r="B1389" t="s">
        <v>2927</v>
      </c>
      <c r="C1389" t="s">
        <v>53</v>
      </c>
      <c r="D1389">
        <v>3</v>
      </c>
      <c r="F1389" t="s">
        <v>5086</v>
      </c>
      <c r="G1389" t="s">
        <v>91</v>
      </c>
    </row>
    <row r="1390" spans="1:7" hidden="1" x14ac:dyDescent="0.25">
      <c r="A1390" t="s">
        <v>4</v>
      </c>
      <c r="B1390" t="s">
        <v>8</v>
      </c>
      <c r="F1390" t="s">
        <v>4570</v>
      </c>
      <c r="G1390" t="s">
        <v>91</v>
      </c>
    </row>
    <row r="1391" spans="1:7" hidden="1" x14ac:dyDescent="0.25">
      <c r="A1391" t="s">
        <v>2004</v>
      </c>
      <c r="F1391" t="s">
        <v>4573</v>
      </c>
      <c r="G1391" t="s">
        <v>91</v>
      </c>
    </row>
    <row r="1392" spans="1:7" hidden="1" x14ac:dyDescent="0.25">
      <c r="A1392" t="s">
        <v>290</v>
      </c>
      <c r="B1392" t="s">
        <v>4194</v>
      </c>
      <c r="C1392" t="s">
        <v>5093</v>
      </c>
      <c r="F1392" t="s">
        <v>4450</v>
      </c>
      <c r="G1392" t="s">
        <v>1104</v>
      </c>
    </row>
    <row r="1393" spans="1:7" hidden="1" x14ac:dyDescent="0.25">
      <c r="A1393" t="s">
        <v>290</v>
      </c>
      <c r="B1393" t="s">
        <v>4194</v>
      </c>
      <c r="C1393" t="s">
        <v>5093</v>
      </c>
      <c r="F1393" t="s">
        <v>4453</v>
      </c>
      <c r="G1393" t="s">
        <v>1104</v>
      </c>
    </row>
    <row r="1394" spans="1:7" hidden="1" x14ac:dyDescent="0.25">
      <c r="A1394" t="s">
        <v>650</v>
      </c>
      <c r="B1394" t="s">
        <v>4194</v>
      </c>
      <c r="F1394" t="s">
        <v>4456</v>
      </c>
      <c r="G1394" t="s">
        <v>1104</v>
      </c>
    </row>
    <row r="1395" spans="1:7" hidden="1" x14ac:dyDescent="0.25">
      <c r="A1395" t="s">
        <v>289</v>
      </c>
      <c r="B1395" t="s">
        <v>70</v>
      </c>
      <c r="C1395" t="s">
        <v>5093</v>
      </c>
      <c r="E1395" t="s">
        <v>5094</v>
      </c>
      <c r="F1395" t="s">
        <v>4459</v>
      </c>
      <c r="G1395" t="s">
        <v>1104</v>
      </c>
    </row>
    <row r="1396" spans="1:7" hidden="1" x14ac:dyDescent="0.25">
      <c r="A1396" t="s">
        <v>290</v>
      </c>
      <c r="B1396" t="s">
        <v>70</v>
      </c>
      <c r="C1396" t="s">
        <v>5093</v>
      </c>
      <c r="E1396" t="s">
        <v>5094</v>
      </c>
      <c r="F1396" t="s">
        <v>5090</v>
      </c>
      <c r="G1396" t="s">
        <v>1104</v>
      </c>
    </row>
    <row r="1397" spans="1:7" hidden="1" x14ac:dyDescent="0.25">
      <c r="A1397" t="s">
        <v>650</v>
      </c>
      <c r="B1397" t="s">
        <v>70</v>
      </c>
      <c r="F1397" t="s">
        <v>4462</v>
      </c>
      <c r="G1397" t="s">
        <v>1104</v>
      </c>
    </row>
    <row r="1398" spans="1:7" hidden="1" x14ac:dyDescent="0.25">
      <c r="A1398" t="s">
        <v>2004</v>
      </c>
      <c r="B1398" t="s">
        <v>8</v>
      </c>
      <c r="F1398" t="s">
        <v>4465</v>
      </c>
      <c r="G1398" t="s">
        <v>1104</v>
      </c>
    </row>
    <row r="1399" spans="1:7" hidden="1" x14ac:dyDescent="0.25">
      <c r="A1399" t="s">
        <v>289</v>
      </c>
      <c r="B1399" t="s">
        <v>70</v>
      </c>
      <c r="C1399" t="s">
        <v>5093</v>
      </c>
      <c r="E1399" t="s">
        <v>5095</v>
      </c>
      <c r="F1399" t="s">
        <v>4468</v>
      </c>
      <c r="G1399" t="s">
        <v>1104</v>
      </c>
    </row>
    <row r="1400" spans="1:7" hidden="1" x14ac:dyDescent="0.25">
      <c r="A1400" t="s">
        <v>289</v>
      </c>
      <c r="B1400" t="s">
        <v>70</v>
      </c>
      <c r="C1400" t="s">
        <v>5093</v>
      </c>
      <c r="E1400" t="s">
        <v>2936</v>
      </c>
      <c r="F1400" t="s">
        <v>4471</v>
      </c>
      <c r="G1400" t="s">
        <v>1104</v>
      </c>
    </row>
    <row r="1401" spans="1:7" hidden="1" x14ac:dyDescent="0.25">
      <c r="A1401" t="s">
        <v>289</v>
      </c>
      <c r="B1401" t="s">
        <v>70</v>
      </c>
      <c r="C1401" t="s">
        <v>5093</v>
      </c>
      <c r="E1401" t="s">
        <v>2936</v>
      </c>
      <c r="F1401" t="s">
        <v>4474</v>
      </c>
      <c r="G1401" t="s">
        <v>1104</v>
      </c>
    </row>
    <row r="1402" spans="1:7" hidden="1" x14ac:dyDescent="0.25">
      <c r="A1402" t="s">
        <v>289</v>
      </c>
      <c r="B1402" t="s">
        <v>70</v>
      </c>
      <c r="C1402" t="s">
        <v>5093</v>
      </c>
      <c r="E1402" t="s">
        <v>5096</v>
      </c>
      <c r="F1402" t="s">
        <v>4477</v>
      </c>
      <c r="G1402" t="s">
        <v>1104</v>
      </c>
    </row>
    <row r="1403" spans="1:7" hidden="1" x14ac:dyDescent="0.25">
      <c r="A1403" t="s">
        <v>650</v>
      </c>
      <c r="B1403" t="s">
        <v>70</v>
      </c>
      <c r="F1403" t="s">
        <v>4480</v>
      </c>
      <c r="G1403" t="s">
        <v>1104</v>
      </c>
    </row>
    <row r="1404" spans="1:7" hidden="1" x14ac:dyDescent="0.25">
      <c r="A1404" t="s">
        <v>4</v>
      </c>
      <c r="B1404" t="s">
        <v>8</v>
      </c>
      <c r="F1404" t="s">
        <v>4483</v>
      </c>
      <c r="G1404" t="s">
        <v>1104</v>
      </c>
    </row>
    <row r="1405" spans="1:7" hidden="1" x14ac:dyDescent="0.25">
      <c r="A1405" t="s">
        <v>2004</v>
      </c>
      <c r="B1405" t="s">
        <v>8</v>
      </c>
      <c r="F1405" t="s">
        <v>4486</v>
      </c>
      <c r="G1405" t="s">
        <v>1104</v>
      </c>
    </row>
    <row r="1406" spans="1:7" hidden="1" x14ac:dyDescent="0.25">
      <c r="A1406" t="s">
        <v>1094</v>
      </c>
      <c r="B1406" t="s">
        <v>4247</v>
      </c>
      <c r="C1406" t="s">
        <v>58</v>
      </c>
      <c r="E1406" t="s">
        <v>5102</v>
      </c>
      <c r="F1406" t="s">
        <v>5097</v>
      </c>
      <c r="G1406" t="s">
        <v>1105</v>
      </c>
    </row>
    <row r="1407" spans="1:7" hidden="1" x14ac:dyDescent="0.25">
      <c r="A1407" t="s">
        <v>4</v>
      </c>
      <c r="B1407" t="s">
        <v>8</v>
      </c>
      <c r="F1407" t="s">
        <v>4489</v>
      </c>
      <c r="G1407" t="s">
        <v>1105</v>
      </c>
    </row>
    <row r="1408" spans="1:7" hidden="1" x14ac:dyDescent="0.25">
      <c r="A1408" t="s">
        <v>1615</v>
      </c>
      <c r="B1408" t="s">
        <v>86</v>
      </c>
      <c r="C1408" t="s">
        <v>200</v>
      </c>
      <c r="F1408" t="s">
        <v>4492</v>
      </c>
      <c r="G1408" t="s">
        <v>1105</v>
      </c>
    </row>
    <row r="1409" spans="1:7" hidden="1" x14ac:dyDescent="0.25">
      <c r="A1409" t="s">
        <v>4</v>
      </c>
      <c r="B1409" t="s">
        <v>8</v>
      </c>
      <c r="F1409" t="s">
        <v>4495</v>
      </c>
      <c r="G1409" t="s">
        <v>1105</v>
      </c>
    </row>
    <row r="1410" spans="1:7" hidden="1" x14ac:dyDescent="0.25">
      <c r="A1410" t="s">
        <v>1615</v>
      </c>
      <c r="B1410" t="s">
        <v>86</v>
      </c>
      <c r="C1410" t="s">
        <v>200</v>
      </c>
      <c r="F1410" t="s">
        <v>4498</v>
      </c>
      <c r="G1410" t="s">
        <v>1105</v>
      </c>
    </row>
    <row r="1411" spans="1:7" hidden="1" x14ac:dyDescent="0.25">
      <c r="A1411" t="s">
        <v>1615</v>
      </c>
      <c r="B1411" t="s">
        <v>86</v>
      </c>
      <c r="C1411" t="s">
        <v>5103</v>
      </c>
      <c r="E1411" t="s">
        <v>5104</v>
      </c>
      <c r="F1411" t="s">
        <v>4501</v>
      </c>
      <c r="G1411" t="s">
        <v>1105</v>
      </c>
    </row>
    <row r="1412" spans="1:7" hidden="1" x14ac:dyDescent="0.25">
      <c r="A1412" t="s">
        <v>1615</v>
      </c>
      <c r="B1412" t="s">
        <v>86</v>
      </c>
      <c r="C1412" t="s">
        <v>200</v>
      </c>
      <c r="F1412" t="s">
        <v>4504</v>
      </c>
      <c r="G1412" t="s">
        <v>1105</v>
      </c>
    </row>
    <row r="1413" spans="1:7" hidden="1" x14ac:dyDescent="0.25">
      <c r="A1413" t="s">
        <v>1094</v>
      </c>
      <c r="B1413" t="s">
        <v>4247</v>
      </c>
      <c r="C1413" t="s">
        <v>60</v>
      </c>
      <c r="E1413" t="s">
        <v>5102</v>
      </c>
      <c r="F1413" t="s">
        <v>4507</v>
      </c>
      <c r="G1413" t="s">
        <v>1105</v>
      </c>
    </row>
    <row r="1414" spans="1:7" hidden="1" x14ac:dyDescent="0.25">
      <c r="A1414" t="s">
        <v>1094</v>
      </c>
      <c r="B1414" t="s">
        <v>4247</v>
      </c>
      <c r="C1414" t="s">
        <v>60</v>
      </c>
      <c r="E1414" t="s">
        <v>2936</v>
      </c>
      <c r="F1414" t="s">
        <v>4510</v>
      </c>
      <c r="G1414" t="s">
        <v>1105</v>
      </c>
    </row>
    <row r="1415" spans="1:7" hidden="1" x14ac:dyDescent="0.25">
      <c r="A1415" t="s">
        <v>4</v>
      </c>
      <c r="B1415" t="s">
        <v>8</v>
      </c>
      <c r="E1415" t="s">
        <v>2936</v>
      </c>
      <c r="F1415" t="s">
        <v>4513</v>
      </c>
      <c r="G1415" t="s">
        <v>1105</v>
      </c>
    </row>
    <row r="1416" spans="1:7" hidden="1" x14ac:dyDescent="0.25">
      <c r="A1416" t="s">
        <v>4</v>
      </c>
      <c r="B1416" t="s">
        <v>8</v>
      </c>
      <c r="E1416" t="s">
        <v>2936</v>
      </c>
      <c r="F1416" t="s">
        <v>4516</v>
      </c>
      <c r="G1416" t="s">
        <v>1105</v>
      </c>
    </row>
    <row r="1417" spans="1:7" hidden="1" x14ac:dyDescent="0.25">
      <c r="A1417" t="s">
        <v>4</v>
      </c>
      <c r="B1417" t="s">
        <v>8</v>
      </c>
      <c r="E1417" t="s">
        <v>2936</v>
      </c>
      <c r="F1417" t="s">
        <v>4519</v>
      </c>
      <c r="G1417" t="s">
        <v>1105</v>
      </c>
    </row>
    <row r="1418" spans="1:7" hidden="1" x14ac:dyDescent="0.25">
      <c r="A1418" t="s">
        <v>1606</v>
      </c>
      <c r="B1418" t="s">
        <v>70</v>
      </c>
      <c r="F1418" t="s">
        <v>4522</v>
      </c>
      <c r="G1418" t="s">
        <v>1105</v>
      </c>
    </row>
    <row r="1419" spans="1:7" hidden="1" x14ac:dyDescent="0.25">
      <c r="A1419" t="s">
        <v>290</v>
      </c>
      <c r="B1419" t="s">
        <v>70</v>
      </c>
      <c r="C1419" t="s">
        <v>5093</v>
      </c>
      <c r="F1419" t="s">
        <v>4525</v>
      </c>
      <c r="G1419" t="s">
        <v>1105</v>
      </c>
    </row>
    <row r="1420" spans="1:7" hidden="1" x14ac:dyDescent="0.25">
      <c r="A1420" t="s">
        <v>466</v>
      </c>
      <c r="B1420" t="s">
        <v>86</v>
      </c>
      <c r="C1420" t="s">
        <v>5093</v>
      </c>
      <c r="F1420" t="s">
        <v>4528</v>
      </c>
      <c r="G1420" t="s">
        <v>1105</v>
      </c>
    </row>
    <row r="1421" spans="1:7" hidden="1" x14ac:dyDescent="0.25">
      <c r="A1421" t="s">
        <v>1615</v>
      </c>
      <c r="B1421" t="s">
        <v>86</v>
      </c>
      <c r="C1421" t="s">
        <v>5093</v>
      </c>
      <c r="F1421" t="s">
        <v>4531</v>
      </c>
      <c r="G1421" t="s">
        <v>1105</v>
      </c>
    </row>
    <row r="1422" spans="1:7" hidden="1" x14ac:dyDescent="0.25">
      <c r="A1422" t="s">
        <v>466</v>
      </c>
      <c r="B1422" t="s">
        <v>86</v>
      </c>
      <c r="C1422" t="s">
        <v>5093</v>
      </c>
      <c r="F1422" t="s">
        <v>5099</v>
      </c>
      <c r="G1422" t="s">
        <v>1105</v>
      </c>
    </row>
    <row r="1423" spans="1:7" hidden="1" x14ac:dyDescent="0.25">
      <c r="A1423" t="s">
        <v>5105</v>
      </c>
      <c r="F1423" t="s">
        <v>4534</v>
      </c>
      <c r="G1423" t="s">
        <v>1105</v>
      </c>
    </row>
    <row r="1424" spans="1:7" hidden="1" x14ac:dyDescent="0.25">
      <c r="A1424" t="s">
        <v>1615</v>
      </c>
      <c r="B1424" t="s">
        <v>86</v>
      </c>
      <c r="C1424" t="s">
        <v>5093</v>
      </c>
      <c r="F1424" t="s">
        <v>4537</v>
      </c>
      <c r="G1424" t="s">
        <v>1105</v>
      </c>
    </row>
    <row r="1425" spans="1:7" hidden="1" x14ac:dyDescent="0.25">
      <c r="A1425" t="s">
        <v>4</v>
      </c>
      <c r="B1425" t="s">
        <v>8</v>
      </c>
      <c r="F1425" t="s">
        <v>4540</v>
      </c>
      <c r="G1425" t="s">
        <v>1105</v>
      </c>
    </row>
    <row r="1426" spans="1:7" hidden="1" x14ac:dyDescent="0.25">
      <c r="A1426" t="s">
        <v>1606</v>
      </c>
      <c r="B1426" t="s">
        <v>70</v>
      </c>
      <c r="F1426" t="s">
        <v>4543</v>
      </c>
      <c r="G1426" t="s">
        <v>1105</v>
      </c>
    </row>
    <row r="1427" spans="1:7" hidden="1" x14ac:dyDescent="0.25">
      <c r="A1427" t="s">
        <v>1606</v>
      </c>
      <c r="B1427" t="s">
        <v>55</v>
      </c>
      <c r="F1427" t="s">
        <v>4546</v>
      </c>
      <c r="G1427" t="s">
        <v>1105</v>
      </c>
    </row>
    <row r="1428" spans="1:7" hidden="1" x14ac:dyDescent="0.25">
      <c r="A1428" t="s">
        <v>290</v>
      </c>
      <c r="B1428" t="s">
        <v>70</v>
      </c>
      <c r="C1428" t="s">
        <v>5093</v>
      </c>
      <c r="F1428" t="s">
        <v>4549</v>
      </c>
      <c r="G1428" t="s">
        <v>1105</v>
      </c>
    </row>
    <row r="1429" spans="1:7" hidden="1" x14ac:dyDescent="0.25">
      <c r="A1429" t="s">
        <v>4</v>
      </c>
      <c r="B1429" t="s">
        <v>8</v>
      </c>
      <c r="F1429" t="s">
        <v>4552</v>
      </c>
      <c r="G1429" t="s">
        <v>1105</v>
      </c>
    </row>
    <row r="1430" spans="1:7" hidden="1" x14ac:dyDescent="0.25">
      <c r="A1430" t="s">
        <v>2004</v>
      </c>
      <c r="F1430" t="s">
        <v>4555</v>
      </c>
      <c r="G1430" t="s">
        <v>1105</v>
      </c>
    </row>
    <row r="1431" spans="1:7" hidden="1" x14ac:dyDescent="0.25">
      <c r="A1431" t="s">
        <v>1615</v>
      </c>
      <c r="B1431" t="s">
        <v>86</v>
      </c>
      <c r="C1431" t="s">
        <v>200</v>
      </c>
      <c r="F1431" t="s">
        <v>5110</v>
      </c>
      <c r="G1431" t="s">
        <v>1106</v>
      </c>
    </row>
    <row r="1432" spans="1:7" hidden="1" x14ac:dyDescent="0.25">
      <c r="A1432" t="s">
        <v>1094</v>
      </c>
      <c r="B1432" t="s">
        <v>4247</v>
      </c>
      <c r="C1432" t="s">
        <v>60</v>
      </c>
      <c r="F1432" t="s">
        <v>5112</v>
      </c>
      <c r="G1432" t="s">
        <v>1106</v>
      </c>
    </row>
    <row r="1433" spans="1:7" hidden="1" x14ac:dyDescent="0.25">
      <c r="A1433" t="s">
        <v>533</v>
      </c>
      <c r="B1433" t="s">
        <v>1607</v>
      </c>
      <c r="C1433" t="s">
        <v>58</v>
      </c>
      <c r="F1433" t="s">
        <v>5114</v>
      </c>
      <c r="G1433" t="s">
        <v>1106</v>
      </c>
    </row>
    <row r="1434" spans="1:7" hidden="1" x14ac:dyDescent="0.25">
      <c r="A1434" t="s">
        <v>1615</v>
      </c>
      <c r="B1434" t="s">
        <v>86</v>
      </c>
      <c r="C1434" t="s">
        <v>200</v>
      </c>
      <c r="F1434" t="s">
        <v>4576</v>
      </c>
      <c r="G1434" t="s">
        <v>1106</v>
      </c>
    </row>
    <row r="1435" spans="1:7" hidden="1" x14ac:dyDescent="0.25">
      <c r="A1435" t="s">
        <v>1094</v>
      </c>
      <c r="B1435" t="s">
        <v>4247</v>
      </c>
      <c r="C1435" t="s">
        <v>200</v>
      </c>
      <c r="F1435" t="s">
        <v>4579</v>
      </c>
      <c r="G1435" t="s">
        <v>1106</v>
      </c>
    </row>
    <row r="1436" spans="1:7" hidden="1" x14ac:dyDescent="0.25">
      <c r="A1436" t="s">
        <v>1094</v>
      </c>
      <c r="B1436" t="s">
        <v>4247</v>
      </c>
      <c r="C1436" t="s">
        <v>200</v>
      </c>
      <c r="F1436" t="s">
        <v>4582</v>
      </c>
      <c r="G1436" t="s">
        <v>1106</v>
      </c>
    </row>
    <row r="1437" spans="1:7" hidden="1" x14ac:dyDescent="0.25">
      <c r="A1437" t="s">
        <v>5109</v>
      </c>
      <c r="B1437" t="s">
        <v>86</v>
      </c>
      <c r="F1437" t="s">
        <v>4585</v>
      </c>
      <c r="G1437" t="s">
        <v>1106</v>
      </c>
    </row>
    <row r="1438" spans="1:7" hidden="1" x14ac:dyDescent="0.25">
      <c r="A1438" t="s">
        <v>4</v>
      </c>
      <c r="B1438" t="s">
        <v>8</v>
      </c>
      <c r="F1438" t="s">
        <v>4588</v>
      </c>
      <c r="G1438" t="s">
        <v>1106</v>
      </c>
    </row>
    <row r="1439" spans="1:7" hidden="1" x14ac:dyDescent="0.25">
      <c r="A1439" t="s">
        <v>5109</v>
      </c>
      <c r="B1439" t="s">
        <v>86</v>
      </c>
      <c r="F1439" t="s">
        <v>4591</v>
      </c>
      <c r="G1439" t="s">
        <v>1106</v>
      </c>
    </row>
    <row r="1440" spans="1:7" hidden="1" x14ac:dyDescent="0.25">
      <c r="A1440" t="s">
        <v>5109</v>
      </c>
      <c r="B1440" t="s">
        <v>86</v>
      </c>
      <c r="F1440" t="s">
        <v>4594</v>
      </c>
      <c r="G1440" t="s">
        <v>1106</v>
      </c>
    </row>
    <row r="1441" spans="1:7" hidden="1" x14ac:dyDescent="0.25">
      <c r="A1441" t="s">
        <v>2004</v>
      </c>
      <c r="B1441" t="s">
        <v>8</v>
      </c>
      <c r="F1441" t="s">
        <v>4597</v>
      </c>
      <c r="G1441" t="s">
        <v>1106</v>
      </c>
    </row>
    <row r="1442" spans="1:7" hidden="1" x14ac:dyDescent="0.25">
      <c r="A1442" t="s">
        <v>289</v>
      </c>
      <c r="B1442" t="s">
        <v>86</v>
      </c>
      <c r="C1442" t="s">
        <v>200</v>
      </c>
      <c r="F1442" t="s">
        <v>4999</v>
      </c>
      <c r="G1442" t="s">
        <v>1107</v>
      </c>
    </row>
    <row r="1443" spans="1:7" hidden="1" x14ac:dyDescent="0.25">
      <c r="A1443" t="s">
        <v>289</v>
      </c>
      <c r="B1443" t="s">
        <v>86</v>
      </c>
      <c r="C1443" t="s">
        <v>200</v>
      </c>
      <c r="F1443" t="s">
        <v>5002</v>
      </c>
      <c r="G1443" t="s">
        <v>1107</v>
      </c>
    </row>
    <row r="1444" spans="1:7" hidden="1" x14ac:dyDescent="0.25">
      <c r="A1444" t="s">
        <v>289</v>
      </c>
      <c r="B1444" t="s">
        <v>86</v>
      </c>
      <c r="C1444" t="s">
        <v>200</v>
      </c>
      <c r="F1444" t="s">
        <v>5005</v>
      </c>
      <c r="G1444" t="s">
        <v>1107</v>
      </c>
    </row>
    <row r="1445" spans="1:7" hidden="1" x14ac:dyDescent="0.25">
      <c r="A1445" t="s">
        <v>1094</v>
      </c>
      <c r="B1445" t="s">
        <v>4247</v>
      </c>
      <c r="C1445" t="s">
        <v>58</v>
      </c>
      <c r="F1445" t="s">
        <v>5008</v>
      </c>
      <c r="G1445" t="s">
        <v>1107</v>
      </c>
    </row>
    <row r="1446" spans="1:7" hidden="1" x14ac:dyDescent="0.25">
      <c r="A1446" t="s">
        <v>289</v>
      </c>
      <c r="B1446" t="s">
        <v>86</v>
      </c>
      <c r="C1446" t="s">
        <v>200</v>
      </c>
      <c r="F1446" t="s">
        <v>5011</v>
      </c>
      <c r="G1446" t="s">
        <v>1107</v>
      </c>
    </row>
    <row r="1447" spans="1:7" hidden="1" x14ac:dyDescent="0.25">
      <c r="A1447" t="s">
        <v>1094</v>
      </c>
      <c r="B1447" t="s">
        <v>4247</v>
      </c>
      <c r="C1447" t="s">
        <v>58</v>
      </c>
      <c r="F1447" t="s">
        <v>5014</v>
      </c>
      <c r="G1447" t="s">
        <v>1107</v>
      </c>
    </row>
    <row r="1448" spans="1:7" hidden="1" x14ac:dyDescent="0.25">
      <c r="A1448" t="s">
        <v>1094</v>
      </c>
      <c r="B1448" t="s">
        <v>531</v>
      </c>
      <c r="C1448" t="s">
        <v>58</v>
      </c>
      <c r="F1448" t="s">
        <v>5017</v>
      </c>
      <c r="G1448" t="s">
        <v>1107</v>
      </c>
    </row>
    <row r="1449" spans="1:7" hidden="1" x14ac:dyDescent="0.25">
      <c r="A1449" t="s">
        <v>4</v>
      </c>
      <c r="B1449" t="s">
        <v>8</v>
      </c>
      <c r="F1449" t="s">
        <v>5020</v>
      </c>
      <c r="G1449" t="s">
        <v>1107</v>
      </c>
    </row>
    <row r="1450" spans="1:7" hidden="1" x14ac:dyDescent="0.25">
      <c r="A1450" t="s">
        <v>289</v>
      </c>
      <c r="B1450" t="s">
        <v>86</v>
      </c>
      <c r="C1450" t="s">
        <v>60</v>
      </c>
      <c r="F1450" t="s">
        <v>5023</v>
      </c>
      <c r="G1450" t="s">
        <v>1107</v>
      </c>
    </row>
    <row r="1451" spans="1:7" hidden="1" x14ac:dyDescent="0.25">
      <c r="A1451" t="s">
        <v>289</v>
      </c>
      <c r="B1451" t="s">
        <v>86</v>
      </c>
      <c r="C1451" t="s">
        <v>60</v>
      </c>
      <c r="F1451" t="s">
        <v>5026</v>
      </c>
      <c r="G1451" t="s">
        <v>1107</v>
      </c>
    </row>
    <row r="1452" spans="1:7" hidden="1" x14ac:dyDescent="0.25">
      <c r="A1452" t="s">
        <v>289</v>
      </c>
      <c r="B1452" t="s">
        <v>86</v>
      </c>
      <c r="C1452" t="s">
        <v>200</v>
      </c>
      <c r="F1452" t="s">
        <v>5029</v>
      </c>
      <c r="G1452" t="s">
        <v>1107</v>
      </c>
    </row>
    <row r="1453" spans="1:7" hidden="1" x14ac:dyDescent="0.25">
      <c r="A1453" t="s">
        <v>4</v>
      </c>
      <c r="B1453" t="s">
        <v>8</v>
      </c>
      <c r="F1453" t="s">
        <v>5032</v>
      </c>
      <c r="G1453" t="s">
        <v>1107</v>
      </c>
    </row>
    <row r="1454" spans="1:7" hidden="1" x14ac:dyDescent="0.25">
      <c r="A1454" t="s">
        <v>289</v>
      </c>
      <c r="B1454" t="s">
        <v>86</v>
      </c>
      <c r="C1454" t="s">
        <v>60</v>
      </c>
      <c r="F1454" t="s">
        <v>5035</v>
      </c>
      <c r="G1454" t="s">
        <v>1107</v>
      </c>
    </row>
    <row r="1455" spans="1:7" hidden="1" x14ac:dyDescent="0.25">
      <c r="A1455" t="s">
        <v>289</v>
      </c>
      <c r="B1455" t="s">
        <v>86</v>
      </c>
      <c r="C1455" t="s">
        <v>60</v>
      </c>
      <c r="F1455" t="s">
        <v>5038</v>
      </c>
      <c r="G1455" t="s">
        <v>1107</v>
      </c>
    </row>
    <row r="1456" spans="1:7" hidden="1" x14ac:dyDescent="0.25">
      <c r="A1456" t="s">
        <v>4</v>
      </c>
      <c r="B1456" t="s">
        <v>8</v>
      </c>
      <c r="F1456" t="s">
        <v>5041</v>
      </c>
      <c r="G1456" t="s">
        <v>1107</v>
      </c>
    </row>
    <row r="1457" spans="1:7" hidden="1" x14ac:dyDescent="0.25">
      <c r="A1457" t="s">
        <v>1094</v>
      </c>
      <c r="B1457" t="s">
        <v>4247</v>
      </c>
      <c r="C1457" t="s">
        <v>60</v>
      </c>
      <c r="F1457" t="s">
        <v>5116</v>
      </c>
      <c r="G1457" t="s">
        <v>1107</v>
      </c>
    </row>
    <row r="1458" spans="1:7" hidden="1" x14ac:dyDescent="0.25">
      <c r="A1458" t="s">
        <v>1094</v>
      </c>
      <c r="B1458" t="s">
        <v>4247</v>
      </c>
      <c r="C1458" t="s">
        <v>200</v>
      </c>
      <c r="F1458" t="s">
        <v>5119</v>
      </c>
      <c r="G1458" t="s">
        <v>1107</v>
      </c>
    </row>
    <row r="1459" spans="1:7" hidden="1" x14ac:dyDescent="0.25">
      <c r="A1459" t="s">
        <v>1094</v>
      </c>
      <c r="B1459" t="s">
        <v>4247</v>
      </c>
      <c r="C1459" t="s">
        <v>200</v>
      </c>
      <c r="F1459" t="s">
        <v>5122</v>
      </c>
      <c r="G1459" t="s">
        <v>1107</v>
      </c>
    </row>
    <row r="1460" spans="1:7" hidden="1" x14ac:dyDescent="0.25">
      <c r="A1460" t="s">
        <v>4</v>
      </c>
      <c r="B1460" t="s">
        <v>8</v>
      </c>
      <c r="E1460" t="s">
        <v>2936</v>
      </c>
      <c r="F1460" t="s">
        <v>5125</v>
      </c>
      <c r="G1460" t="s">
        <v>1107</v>
      </c>
    </row>
    <row r="1461" spans="1:7" hidden="1" x14ac:dyDescent="0.25">
      <c r="A1461" t="s">
        <v>4</v>
      </c>
      <c r="B1461" t="s">
        <v>8</v>
      </c>
      <c r="E1461" t="s">
        <v>2936</v>
      </c>
      <c r="F1461" t="s">
        <v>5128</v>
      </c>
      <c r="G1461" t="s">
        <v>1107</v>
      </c>
    </row>
    <row r="1462" spans="1:7" hidden="1" x14ac:dyDescent="0.25">
      <c r="A1462" t="s">
        <v>4</v>
      </c>
      <c r="B1462" t="s">
        <v>8</v>
      </c>
      <c r="E1462" t="s">
        <v>2936</v>
      </c>
      <c r="F1462" t="s">
        <v>5131</v>
      </c>
      <c r="G1462" t="s">
        <v>1107</v>
      </c>
    </row>
    <row r="1463" spans="1:7" hidden="1" x14ac:dyDescent="0.25">
      <c r="A1463" t="s">
        <v>4</v>
      </c>
      <c r="B1463" t="s">
        <v>8</v>
      </c>
      <c r="E1463" t="s">
        <v>2936</v>
      </c>
      <c r="F1463" t="s">
        <v>5044</v>
      </c>
      <c r="G1463" t="s">
        <v>1107</v>
      </c>
    </row>
    <row r="1464" spans="1:7" hidden="1" x14ac:dyDescent="0.25">
      <c r="A1464" t="s">
        <v>4</v>
      </c>
      <c r="B1464" t="s">
        <v>8</v>
      </c>
      <c r="E1464" t="s">
        <v>2936</v>
      </c>
      <c r="F1464" t="s">
        <v>5047</v>
      </c>
      <c r="G1464" t="s">
        <v>1107</v>
      </c>
    </row>
    <row r="1465" spans="1:7" hidden="1" x14ac:dyDescent="0.25">
      <c r="A1465" t="s">
        <v>4</v>
      </c>
      <c r="B1465" t="s">
        <v>8</v>
      </c>
      <c r="E1465" t="s">
        <v>2936</v>
      </c>
      <c r="F1465" t="s">
        <v>5050</v>
      </c>
      <c r="G1465" t="s">
        <v>1107</v>
      </c>
    </row>
    <row r="1466" spans="1:7" hidden="1" x14ac:dyDescent="0.25">
      <c r="A1466" t="s">
        <v>289</v>
      </c>
      <c r="B1466" t="s">
        <v>86</v>
      </c>
      <c r="C1466" t="s">
        <v>200</v>
      </c>
      <c r="F1466" t="s">
        <v>5053</v>
      </c>
      <c r="G1466" t="s">
        <v>1107</v>
      </c>
    </row>
    <row r="1467" spans="1:7" hidden="1" x14ac:dyDescent="0.25">
      <c r="A1467" t="s">
        <v>289</v>
      </c>
      <c r="B1467" t="s">
        <v>86</v>
      </c>
      <c r="C1467" t="s">
        <v>200</v>
      </c>
      <c r="F1467" t="s">
        <v>5056</v>
      </c>
      <c r="G1467" t="s">
        <v>1107</v>
      </c>
    </row>
    <row r="1468" spans="1:7" hidden="1" x14ac:dyDescent="0.25">
      <c r="A1468" t="s">
        <v>289</v>
      </c>
      <c r="B1468" t="s">
        <v>86</v>
      </c>
      <c r="C1468" t="s">
        <v>200</v>
      </c>
      <c r="F1468" t="s">
        <v>5059</v>
      </c>
      <c r="G1468" t="s">
        <v>1107</v>
      </c>
    </row>
    <row r="1469" spans="1:7" hidden="1" x14ac:dyDescent="0.25">
      <c r="A1469" t="s">
        <v>289</v>
      </c>
      <c r="B1469" t="s">
        <v>86</v>
      </c>
      <c r="C1469" t="s">
        <v>200</v>
      </c>
      <c r="F1469" t="s">
        <v>5062</v>
      </c>
      <c r="G1469" t="s">
        <v>1107</v>
      </c>
    </row>
    <row r="1470" spans="1:7" hidden="1" x14ac:dyDescent="0.25">
      <c r="A1470" t="s">
        <v>289</v>
      </c>
      <c r="B1470" t="s">
        <v>86</v>
      </c>
      <c r="C1470" t="s">
        <v>200</v>
      </c>
      <c r="F1470" t="s">
        <v>5065</v>
      </c>
      <c r="G1470" t="s">
        <v>1107</v>
      </c>
    </row>
    <row r="1471" spans="1:7" hidden="1" x14ac:dyDescent="0.25">
      <c r="A1471" t="s">
        <v>5134</v>
      </c>
      <c r="F1471" t="s">
        <v>5068</v>
      </c>
      <c r="G1471" t="s">
        <v>1107</v>
      </c>
    </row>
    <row r="1472" spans="1:7" hidden="1" x14ac:dyDescent="0.25">
      <c r="A1472" t="s">
        <v>2004</v>
      </c>
      <c r="F1472" t="s">
        <v>5071</v>
      </c>
      <c r="G1472" t="s">
        <v>1107</v>
      </c>
    </row>
    <row r="1473" spans="1:7" hidden="1" x14ac:dyDescent="0.25">
      <c r="A1473" t="s">
        <v>4</v>
      </c>
      <c r="B1473" t="s">
        <v>9</v>
      </c>
      <c r="F1473" t="s">
        <v>4600</v>
      </c>
      <c r="G1473" t="s">
        <v>796</v>
      </c>
    </row>
    <row r="1474" spans="1:7" hidden="1" x14ac:dyDescent="0.25">
      <c r="A1474" t="s">
        <v>5136</v>
      </c>
      <c r="B1474" t="s">
        <v>5135</v>
      </c>
      <c r="F1474" t="s">
        <v>4603</v>
      </c>
      <c r="G1474" t="s">
        <v>796</v>
      </c>
    </row>
    <row r="1475" spans="1:7" hidden="1" x14ac:dyDescent="0.25">
      <c r="A1475" t="s">
        <v>4</v>
      </c>
      <c r="B1475" t="s">
        <v>53</v>
      </c>
      <c r="F1475" t="s">
        <v>4606</v>
      </c>
      <c r="G1475" t="s">
        <v>796</v>
      </c>
    </row>
    <row r="1476" spans="1:7" hidden="1" x14ac:dyDescent="0.25">
      <c r="A1476" t="s">
        <v>2004</v>
      </c>
      <c r="B1476" t="s">
        <v>8</v>
      </c>
      <c r="F1476" t="s">
        <v>4609</v>
      </c>
      <c r="G1476" t="s">
        <v>796</v>
      </c>
    </row>
    <row r="1477" spans="1:7" hidden="1" x14ac:dyDescent="0.25">
      <c r="A1477" t="s">
        <v>2004</v>
      </c>
      <c r="B1477" t="s">
        <v>8</v>
      </c>
      <c r="F1477" t="s">
        <v>4612</v>
      </c>
      <c r="G1477" t="s">
        <v>796</v>
      </c>
    </row>
    <row r="1478" spans="1:7" hidden="1" x14ac:dyDescent="0.25">
      <c r="A1478" t="s">
        <v>2024</v>
      </c>
      <c r="B1478" t="s">
        <v>796</v>
      </c>
      <c r="F1478" t="s">
        <v>4615</v>
      </c>
      <c r="G1478" t="s">
        <v>796</v>
      </c>
    </row>
    <row r="1479" spans="1:7" hidden="1" x14ac:dyDescent="0.25">
      <c r="A1479" t="s">
        <v>2024</v>
      </c>
      <c r="B1479" t="s">
        <v>796</v>
      </c>
      <c r="F1479" t="s">
        <v>4618</v>
      </c>
      <c r="G1479" t="s">
        <v>796</v>
      </c>
    </row>
    <row r="1480" spans="1:7" hidden="1" x14ac:dyDescent="0.25">
      <c r="A1480" t="s">
        <v>2004</v>
      </c>
      <c r="B1480" t="s">
        <v>8</v>
      </c>
      <c r="F1480" t="s">
        <v>4621</v>
      </c>
      <c r="G1480" t="s">
        <v>796</v>
      </c>
    </row>
    <row r="1481" spans="1:7" hidden="1" x14ac:dyDescent="0.25">
      <c r="A1481" t="s">
        <v>2004</v>
      </c>
      <c r="B1481" t="s">
        <v>8</v>
      </c>
      <c r="F1481" t="s">
        <v>4624</v>
      </c>
      <c r="G1481" t="s">
        <v>796</v>
      </c>
    </row>
    <row r="1482" spans="1:7" hidden="1" x14ac:dyDescent="0.25">
      <c r="A1482" t="s">
        <v>4</v>
      </c>
      <c r="B1482" t="s">
        <v>9</v>
      </c>
      <c r="F1482" t="s">
        <v>4627</v>
      </c>
      <c r="G1482" t="s">
        <v>1100</v>
      </c>
    </row>
    <row r="1483" spans="1:7" hidden="1" x14ac:dyDescent="0.25">
      <c r="A1483" t="s">
        <v>5136</v>
      </c>
      <c r="B1483" t="s">
        <v>5135</v>
      </c>
      <c r="F1483" t="s">
        <v>4630</v>
      </c>
      <c r="G1483" t="s">
        <v>1100</v>
      </c>
    </row>
    <row r="1484" spans="1:7" hidden="1" x14ac:dyDescent="0.25">
      <c r="A1484" t="s">
        <v>5136</v>
      </c>
      <c r="B1484" t="s">
        <v>5135</v>
      </c>
      <c r="E1484" t="s">
        <v>2936</v>
      </c>
      <c r="F1484" t="s">
        <v>4633</v>
      </c>
      <c r="G1484" t="s">
        <v>1100</v>
      </c>
    </row>
    <row r="1485" spans="1:7" hidden="1" x14ac:dyDescent="0.25">
      <c r="A1485" t="s">
        <v>1091</v>
      </c>
      <c r="B1485" t="s">
        <v>5137</v>
      </c>
      <c r="C1485" t="s">
        <v>1099</v>
      </c>
      <c r="F1485" t="s">
        <v>4636</v>
      </c>
      <c r="G1485" t="s">
        <v>1100</v>
      </c>
    </row>
    <row r="1486" spans="1:7" hidden="1" x14ac:dyDescent="0.25">
      <c r="A1486" t="s">
        <v>1091</v>
      </c>
      <c r="B1486" t="s">
        <v>5137</v>
      </c>
      <c r="C1486" t="s">
        <v>1099</v>
      </c>
      <c r="E1486" t="s">
        <v>2936</v>
      </c>
      <c r="F1486" t="s">
        <v>4639</v>
      </c>
      <c r="G1486" t="s">
        <v>1100</v>
      </c>
    </row>
    <row r="1487" spans="1:7" hidden="1" x14ac:dyDescent="0.25">
      <c r="A1487" t="s">
        <v>4</v>
      </c>
      <c r="B1487" t="s">
        <v>9</v>
      </c>
      <c r="F1487" t="s">
        <v>4642</v>
      </c>
      <c r="G1487" t="s">
        <v>1100</v>
      </c>
    </row>
    <row r="1488" spans="1:7" hidden="1" x14ac:dyDescent="0.25">
      <c r="A1488" t="s">
        <v>4</v>
      </c>
      <c r="B1488" t="s">
        <v>9</v>
      </c>
      <c r="E1488" t="s">
        <v>2936</v>
      </c>
      <c r="F1488" t="s">
        <v>4645</v>
      </c>
      <c r="G1488" t="s">
        <v>1100</v>
      </c>
    </row>
    <row r="1489" spans="1:7" hidden="1" x14ac:dyDescent="0.25">
      <c r="A1489" t="s">
        <v>4</v>
      </c>
      <c r="B1489" t="s">
        <v>9</v>
      </c>
      <c r="E1489" t="s">
        <v>2936</v>
      </c>
      <c r="F1489" t="s">
        <v>4648</v>
      </c>
      <c r="G1489" t="s">
        <v>1100</v>
      </c>
    </row>
    <row r="1490" spans="1:7" hidden="1" x14ac:dyDescent="0.25">
      <c r="A1490" t="s">
        <v>4</v>
      </c>
      <c r="B1490" t="s">
        <v>9</v>
      </c>
      <c r="E1490" t="s">
        <v>2936</v>
      </c>
      <c r="F1490" t="s">
        <v>4651</v>
      </c>
      <c r="G1490" t="s">
        <v>1100</v>
      </c>
    </row>
    <row r="1491" spans="1:7" hidden="1" x14ac:dyDescent="0.25">
      <c r="A1491" t="s">
        <v>4</v>
      </c>
      <c r="B1491" t="s">
        <v>9</v>
      </c>
      <c r="E1491" t="s">
        <v>2936</v>
      </c>
      <c r="F1491" t="s">
        <v>4654</v>
      </c>
      <c r="G1491" t="s">
        <v>1100</v>
      </c>
    </row>
    <row r="1492" spans="1:7" hidden="1" x14ac:dyDescent="0.25">
      <c r="A1492" t="s">
        <v>4</v>
      </c>
      <c r="B1492" t="s">
        <v>9</v>
      </c>
      <c r="E1492" t="s">
        <v>2936</v>
      </c>
      <c r="F1492" t="s">
        <v>4657</v>
      </c>
      <c r="G1492" t="s">
        <v>1100</v>
      </c>
    </row>
    <row r="1493" spans="1:7" hidden="1" x14ac:dyDescent="0.25">
      <c r="A1493" t="s">
        <v>4</v>
      </c>
      <c r="B1493" t="s">
        <v>9</v>
      </c>
      <c r="E1493" t="s">
        <v>2936</v>
      </c>
      <c r="F1493" t="s">
        <v>4660</v>
      </c>
      <c r="G1493" t="s">
        <v>1100</v>
      </c>
    </row>
    <row r="1494" spans="1:7" hidden="1" x14ac:dyDescent="0.25">
      <c r="A1494" t="s">
        <v>4</v>
      </c>
      <c r="B1494" t="s">
        <v>9</v>
      </c>
      <c r="E1494" t="s">
        <v>2936</v>
      </c>
      <c r="F1494" t="s">
        <v>4663</v>
      </c>
      <c r="G1494" t="s">
        <v>1100</v>
      </c>
    </row>
    <row r="1495" spans="1:7" hidden="1" x14ac:dyDescent="0.25">
      <c r="A1495" t="s">
        <v>4</v>
      </c>
      <c r="B1495" t="s">
        <v>9</v>
      </c>
      <c r="E1495" t="s">
        <v>2936</v>
      </c>
      <c r="F1495" t="s">
        <v>4666</v>
      </c>
      <c r="G1495" t="s">
        <v>1100</v>
      </c>
    </row>
    <row r="1496" spans="1:7" hidden="1" x14ac:dyDescent="0.25">
      <c r="A1496" t="s">
        <v>4</v>
      </c>
      <c r="B1496" t="s">
        <v>9</v>
      </c>
      <c r="E1496" t="s">
        <v>2936</v>
      </c>
      <c r="F1496" t="s">
        <v>4669</v>
      </c>
      <c r="G1496" t="s">
        <v>1100</v>
      </c>
    </row>
    <row r="1497" spans="1:7" hidden="1" x14ac:dyDescent="0.25">
      <c r="A1497" t="s">
        <v>4</v>
      </c>
      <c r="B1497" t="s">
        <v>9</v>
      </c>
      <c r="E1497" t="s">
        <v>2936</v>
      </c>
      <c r="F1497" t="s">
        <v>4672</v>
      </c>
      <c r="G1497" t="s">
        <v>1100</v>
      </c>
    </row>
    <row r="1498" spans="1:7" hidden="1" x14ac:dyDescent="0.25">
      <c r="A1498" t="s">
        <v>4</v>
      </c>
      <c r="B1498" t="s">
        <v>9</v>
      </c>
      <c r="E1498" t="s">
        <v>2936</v>
      </c>
      <c r="F1498" t="s">
        <v>4675</v>
      </c>
      <c r="G1498" t="s">
        <v>1100</v>
      </c>
    </row>
    <row r="1499" spans="1:7" hidden="1" x14ac:dyDescent="0.25">
      <c r="A1499" t="s">
        <v>1091</v>
      </c>
      <c r="B1499" t="s">
        <v>1607</v>
      </c>
      <c r="C1499" t="s">
        <v>58</v>
      </c>
      <c r="F1499" t="s">
        <v>4678</v>
      </c>
      <c r="G1499" t="s">
        <v>1100</v>
      </c>
    </row>
    <row r="1500" spans="1:7" hidden="1" x14ac:dyDescent="0.25">
      <c r="A1500" t="s">
        <v>4</v>
      </c>
      <c r="B1500" t="s">
        <v>9</v>
      </c>
      <c r="E1500" t="s">
        <v>2936</v>
      </c>
      <c r="F1500" t="s">
        <v>4681</v>
      </c>
      <c r="G1500" t="s">
        <v>1100</v>
      </c>
    </row>
    <row r="1501" spans="1:7" hidden="1" x14ac:dyDescent="0.25">
      <c r="A1501" t="s">
        <v>1091</v>
      </c>
      <c r="B1501" t="s">
        <v>1607</v>
      </c>
      <c r="C1501" t="s">
        <v>58</v>
      </c>
      <c r="F1501" t="s">
        <v>4684</v>
      </c>
      <c r="G1501" t="s">
        <v>1100</v>
      </c>
    </row>
    <row r="1502" spans="1:7" hidden="1" x14ac:dyDescent="0.25">
      <c r="A1502" t="s">
        <v>4</v>
      </c>
      <c r="B1502" t="s">
        <v>9</v>
      </c>
      <c r="E1502" t="s">
        <v>2936</v>
      </c>
      <c r="F1502" t="s">
        <v>4687</v>
      </c>
      <c r="G1502" t="s">
        <v>1100</v>
      </c>
    </row>
    <row r="1503" spans="1:7" hidden="1" x14ac:dyDescent="0.25">
      <c r="A1503" t="s">
        <v>1091</v>
      </c>
      <c r="B1503" t="s">
        <v>1607</v>
      </c>
      <c r="C1503" t="s">
        <v>58</v>
      </c>
      <c r="F1503" t="s">
        <v>4690</v>
      </c>
      <c r="G1503" t="s">
        <v>1100</v>
      </c>
    </row>
    <row r="1504" spans="1:7" hidden="1" x14ac:dyDescent="0.25">
      <c r="A1504" t="s">
        <v>4</v>
      </c>
      <c r="B1504" t="s">
        <v>9</v>
      </c>
      <c r="E1504" t="s">
        <v>2936</v>
      </c>
      <c r="F1504" t="s">
        <v>4693</v>
      </c>
      <c r="G1504" t="s">
        <v>1100</v>
      </c>
    </row>
    <row r="1505" spans="1:7" hidden="1" x14ac:dyDescent="0.25">
      <c r="A1505" t="s">
        <v>1091</v>
      </c>
      <c r="B1505" t="s">
        <v>1607</v>
      </c>
      <c r="C1505" t="s">
        <v>58</v>
      </c>
      <c r="F1505" t="s">
        <v>4696</v>
      </c>
      <c r="G1505" t="s">
        <v>1100</v>
      </c>
    </row>
    <row r="1506" spans="1:7" hidden="1" x14ac:dyDescent="0.25">
      <c r="A1506" t="s">
        <v>4</v>
      </c>
      <c r="B1506" t="s">
        <v>9</v>
      </c>
      <c r="F1506" t="s">
        <v>4699</v>
      </c>
      <c r="G1506" t="s">
        <v>1100</v>
      </c>
    </row>
    <row r="1507" spans="1:7" hidden="1" x14ac:dyDescent="0.25">
      <c r="A1507" t="s">
        <v>4</v>
      </c>
      <c r="B1507" t="s">
        <v>9</v>
      </c>
      <c r="E1507" t="s">
        <v>2936</v>
      </c>
      <c r="F1507" t="s">
        <v>4702</v>
      </c>
      <c r="G1507" t="s">
        <v>1100</v>
      </c>
    </row>
    <row r="1508" spans="1:7" hidden="1" x14ac:dyDescent="0.25">
      <c r="A1508" t="s">
        <v>4</v>
      </c>
      <c r="B1508" t="s">
        <v>9</v>
      </c>
      <c r="E1508" t="s">
        <v>2936</v>
      </c>
      <c r="F1508" t="s">
        <v>4705</v>
      </c>
      <c r="G1508" t="s">
        <v>1100</v>
      </c>
    </row>
    <row r="1509" spans="1:7" hidden="1" x14ac:dyDescent="0.25">
      <c r="A1509" t="s">
        <v>4</v>
      </c>
      <c r="B1509" t="s">
        <v>9</v>
      </c>
      <c r="E1509" t="s">
        <v>2936</v>
      </c>
      <c r="F1509" t="s">
        <v>4708</v>
      </c>
      <c r="G1509" t="s">
        <v>1100</v>
      </c>
    </row>
    <row r="1510" spans="1:7" hidden="1" x14ac:dyDescent="0.25">
      <c r="A1510" t="s">
        <v>4</v>
      </c>
      <c r="B1510" t="s">
        <v>9</v>
      </c>
      <c r="E1510" t="s">
        <v>2936</v>
      </c>
      <c r="F1510" t="s">
        <v>4711</v>
      </c>
      <c r="G1510" t="s">
        <v>1100</v>
      </c>
    </row>
    <row r="1511" spans="1:7" hidden="1" x14ac:dyDescent="0.25">
      <c r="A1511" t="s">
        <v>4</v>
      </c>
      <c r="B1511" t="s">
        <v>9</v>
      </c>
      <c r="E1511" t="s">
        <v>2936</v>
      </c>
      <c r="F1511" t="s">
        <v>4714</v>
      </c>
      <c r="G1511" t="s">
        <v>1100</v>
      </c>
    </row>
    <row r="1512" spans="1:7" hidden="1" x14ac:dyDescent="0.25">
      <c r="A1512" t="s">
        <v>1091</v>
      </c>
      <c r="B1512" t="s">
        <v>531</v>
      </c>
      <c r="C1512" t="s">
        <v>2944</v>
      </c>
      <c r="F1512" t="s">
        <v>4717</v>
      </c>
      <c r="G1512" t="s">
        <v>1100</v>
      </c>
    </row>
    <row r="1513" spans="1:7" hidden="1" x14ac:dyDescent="0.25">
      <c r="A1513" t="s">
        <v>4</v>
      </c>
      <c r="B1513" t="s">
        <v>9</v>
      </c>
      <c r="E1513" t="s">
        <v>2936</v>
      </c>
      <c r="F1513" t="s">
        <v>4720</v>
      </c>
      <c r="G1513" t="s">
        <v>1100</v>
      </c>
    </row>
    <row r="1514" spans="1:7" hidden="1" x14ac:dyDescent="0.25">
      <c r="A1514" t="s">
        <v>1091</v>
      </c>
      <c r="B1514" t="s">
        <v>1607</v>
      </c>
      <c r="C1514" t="s">
        <v>58</v>
      </c>
      <c r="F1514" t="s">
        <v>4723</v>
      </c>
      <c r="G1514" t="s">
        <v>1100</v>
      </c>
    </row>
    <row r="1515" spans="1:7" hidden="1" x14ac:dyDescent="0.25">
      <c r="A1515" t="s">
        <v>4</v>
      </c>
      <c r="B1515" t="s">
        <v>9</v>
      </c>
      <c r="E1515" t="s">
        <v>2936</v>
      </c>
      <c r="F1515" t="s">
        <v>4726</v>
      </c>
      <c r="G1515" t="s">
        <v>1100</v>
      </c>
    </row>
    <row r="1516" spans="1:7" hidden="1" x14ac:dyDescent="0.25">
      <c r="A1516" t="s">
        <v>1091</v>
      </c>
      <c r="B1516" t="s">
        <v>1607</v>
      </c>
      <c r="C1516" t="s">
        <v>58</v>
      </c>
      <c r="F1516" t="s">
        <v>4729</v>
      </c>
      <c r="G1516" t="s">
        <v>1100</v>
      </c>
    </row>
    <row r="1517" spans="1:7" hidden="1" x14ac:dyDescent="0.25">
      <c r="A1517" t="s">
        <v>4</v>
      </c>
      <c r="B1517" t="s">
        <v>9</v>
      </c>
      <c r="E1517" t="s">
        <v>2936</v>
      </c>
      <c r="F1517" t="s">
        <v>4732</v>
      </c>
      <c r="G1517" t="s">
        <v>1100</v>
      </c>
    </row>
    <row r="1518" spans="1:7" hidden="1" x14ac:dyDescent="0.25">
      <c r="A1518" t="s">
        <v>4</v>
      </c>
      <c r="B1518" t="s">
        <v>9</v>
      </c>
      <c r="E1518" t="s">
        <v>2936</v>
      </c>
      <c r="F1518" t="s">
        <v>4735</v>
      </c>
      <c r="G1518" t="s">
        <v>1100</v>
      </c>
    </row>
    <row r="1519" spans="1:7" hidden="1" x14ac:dyDescent="0.25">
      <c r="A1519" t="s">
        <v>4</v>
      </c>
      <c r="B1519" t="s">
        <v>9</v>
      </c>
      <c r="E1519" t="s">
        <v>2936</v>
      </c>
      <c r="F1519" t="s">
        <v>4738</v>
      </c>
      <c r="G1519" t="s">
        <v>1100</v>
      </c>
    </row>
    <row r="1520" spans="1:7" hidden="1" x14ac:dyDescent="0.25">
      <c r="A1520" t="s">
        <v>4</v>
      </c>
      <c r="B1520" t="s">
        <v>9</v>
      </c>
      <c r="E1520" t="s">
        <v>2936</v>
      </c>
      <c r="F1520" t="s">
        <v>4741</v>
      </c>
      <c r="G1520" t="s">
        <v>1100</v>
      </c>
    </row>
    <row r="1521" spans="1:7" hidden="1" x14ac:dyDescent="0.25">
      <c r="A1521" t="s">
        <v>4</v>
      </c>
      <c r="B1521" t="s">
        <v>9</v>
      </c>
      <c r="E1521" t="s">
        <v>2936</v>
      </c>
      <c r="F1521" t="s">
        <v>4744</v>
      </c>
      <c r="G1521" t="s">
        <v>1100</v>
      </c>
    </row>
    <row r="1522" spans="1:7" hidden="1" x14ac:dyDescent="0.25">
      <c r="A1522" t="s">
        <v>4</v>
      </c>
      <c r="B1522" t="s">
        <v>9</v>
      </c>
      <c r="E1522" t="s">
        <v>2936</v>
      </c>
      <c r="F1522" t="s">
        <v>4747</v>
      </c>
      <c r="G1522" t="s">
        <v>1100</v>
      </c>
    </row>
    <row r="1523" spans="1:7" hidden="1" x14ac:dyDescent="0.25">
      <c r="A1523" t="s">
        <v>4</v>
      </c>
      <c r="B1523" t="s">
        <v>9</v>
      </c>
      <c r="E1523" t="s">
        <v>2936</v>
      </c>
      <c r="F1523" t="s">
        <v>4750</v>
      </c>
      <c r="G1523" t="s">
        <v>1100</v>
      </c>
    </row>
    <row r="1524" spans="1:7" hidden="1" x14ac:dyDescent="0.25">
      <c r="A1524" t="s">
        <v>4</v>
      </c>
      <c r="B1524" t="s">
        <v>531</v>
      </c>
      <c r="C1524" t="s">
        <v>1099</v>
      </c>
      <c r="E1524" t="s">
        <v>5138</v>
      </c>
      <c r="F1524" t="s">
        <v>4753</v>
      </c>
      <c r="G1524" t="s">
        <v>1100</v>
      </c>
    </row>
    <row r="1525" spans="1:7" hidden="1" x14ac:dyDescent="0.25">
      <c r="A1525" t="s">
        <v>4</v>
      </c>
      <c r="B1525" t="s">
        <v>9</v>
      </c>
      <c r="E1525" t="s">
        <v>2936</v>
      </c>
      <c r="F1525" t="s">
        <v>4756</v>
      </c>
      <c r="G1525" t="s">
        <v>1100</v>
      </c>
    </row>
    <row r="1526" spans="1:7" hidden="1" x14ac:dyDescent="0.25">
      <c r="A1526" t="s">
        <v>1091</v>
      </c>
      <c r="B1526" t="s">
        <v>1607</v>
      </c>
      <c r="C1526" t="s">
        <v>58</v>
      </c>
      <c r="F1526" t="s">
        <v>4759</v>
      </c>
      <c r="G1526" t="s">
        <v>1100</v>
      </c>
    </row>
    <row r="1527" spans="1:7" hidden="1" x14ac:dyDescent="0.25">
      <c r="A1527" t="s">
        <v>4</v>
      </c>
      <c r="B1527" t="s">
        <v>9</v>
      </c>
      <c r="E1527" t="s">
        <v>2936</v>
      </c>
      <c r="F1527" t="s">
        <v>4762</v>
      </c>
      <c r="G1527" t="s">
        <v>1100</v>
      </c>
    </row>
    <row r="1528" spans="1:7" hidden="1" x14ac:dyDescent="0.25">
      <c r="A1528" t="s">
        <v>1091</v>
      </c>
      <c r="B1528" t="s">
        <v>1607</v>
      </c>
      <c r="C1528" t="s">
        <v>58</v>
      </c>
      <c r="F1528" t="s">
        <v>4765</v>
      </c>
      <c r="G1528" t="s">
        <v>1100</v>
      </c>
    </row>
    <row r="1529" spans="1:7" hidden="1" x14ac:dyDescent="0.25">
      <c r="A1529" t="s">
        <v>4</v>
      </c>
      <c r="B1529" t="s">
        <v>9</v>
      </c>
      <c r="E1529" t="s">
        <v>2936</v>
      </c>
      <c r="F1529" t="s">
        <v>4768</v>
      </c>
      <c r="G1529" t="s">
        <v>1100</v>
      </c>
    </row>
    <row r="1530" spans="1:7" hidden="1" x14ac:dyDescent="0.25">
      <c r="A1530" t="s">
        <v>4</v>
      </c>
      <c r="B1530" t="s">
        <v>9</v>
      </c>
      <c r="E1530" t="s">
        <v>2936</v>
      </c>
      <c r="F1530" t="s">
        <v>4771</v>
      </c>
      <c r="G1530" t="s">
        <v>1100</v>
      </c>
    </row>
    <row r="1531" spans="1:7" hidden="1" x14ac:dyDescent="0.25">
      <c r="A1531" t="s">
        <v>4</v>
      </c>
      <c r="B1531" t="s">
        <v>9</v>
      </c>
      <c r="E1531" t="s">
        <v>2936</v>
      </c>
      <c r="F1531" t="s">
        <v>4774</v>
      </c>
      <c r="G1531" t="s">
        <v>1100</v>
      </c>
    </row>
    <row r="1532" spans="1:7" hidden="1" x14ac:dyDescent="0.25">
      <c r="A1532" t="s">
        <v>4</v>
      </c>
      <c r="B1532" t="s">
        <v>9</v>
      </c>
      <c r="E1532" t="s">
        <v>2936</v>
      </c>
      <c r="F1532" t="s">
        <v>4777</v>
      </c>
      <c r="G1532" t="s">
        <v>1100</v>
      </c>
    </row>
    <row r="1533" spans="1:7" hidden="1" x14ac:dyDescent="0.25">
      <c r="A1533" t="s">
        <v>4</v>
      </c>
      <c r="B1533" t="s">
        <v>9</v>
      </c>
      <c r="E1533" t="s">
        <v>2936</v>
      </c>
      <c r="F1533" t="s">
        <v>4780</v>
      </c>
      <c r="G1533" t="s">
        <v>1100</v>
      </c>
    </row>
    <row r="1534" spans="1:7" hidden="1" x14ac:dyDescent="0.25">
      <c r="A1534" t="s">
        <v>1091</v>
      </c>
      <c r="B1534" t="s">
        <v>1607</v>
      </c>
      <c r="C1534" t="s">
        <v>58</v>
      </c>
      <c r="F1534" t="s">
        <v>4783</v>
      </c>
      <c r="G1534" t="s">
        <v>1100</v>
      </c>
    </row>
    <row r="1535" spans="1:7" hidden="1" x14ac:dyDescent="0.25">
      <c r="A1535" t="s">
        <v>4</v>
      </c>
      <c r="B1535" t="s">
        <v>9</v>
      </c>
      <c r="E1535" t="s">
        <v>2936</v>
      </c>
      <c r="F1535" t="s">
        <v>4786</v>
      </c>
      <c r="G1535" t="s">
        <v>1100</v>
      </c>
    </row>
    <row r="1536" spans="1:7" hidden="1" x14ac:dyDescent="0.25">
      <c r="A1536" t="s">
        <v>1091</v>
      </c>
      <c r="B1536" t="s">
        <v>1607</v>
      </c>
      <c r="C1536" t="s">
        <v>58</v>
      </c>
      <c r="F1536" t="s">
        <v>4789</v>
      </c>
      <c r="G1536" t="s">
        <v>1100</v>
      </c>
    </row>
    <row r="1537" spans="1:7" hidden="1" x14ac:dyDescent="0.25">
      <c r="A1537" t="s">
        <v>4</v>
      </c>
      <c r="B1537" t="s">
        <v>9</v>
      </c>
      <c r="E1537" t="s">
        <v>2936</v>
      </c>
      <c r="F1537" t="s">
        <v>4792</v>
      </c>
      <c r="G1537" t="s">
        <v>1100</v>
      </c>
    </row>
    <row r="1538" spans="1:7" hidden="1" x14ac:dyDescent="0.25">
      <c r="A1538" t="s">
        <v>4</v>
      </c>
      <c r="B1538" t="s">
        <v>9</v>
      </c>
      <c r="E1538" t="s">
        <v>2936</v>
      </c>
      <c r="F1538" t="s">
        <v>4795</v>
      </c>
      <c r="G1538" t="s">
        <v>1100</v>
      </c>
    </row>
    <row r="1539" spans="1:7" hidden="1" x14ac:dyDescent="0.25">
      <c r="A1539" t="s">
        <v>4</v>
      </c>
      <c r="B1539" t="s">
        <v>9</v>
      </c>
      <c r="E1539" t="s">
        <v>2936</v>
      </c>
      <c r="F1539" t="s">
        <v>4798</v>
      </c>
      <c r="G1539" t="s">
        <v>1100</v>
      </c>
    </row>
    <row r="1540" spans="1:7" hidden="1" x14ac:dyDescent="0.25">
      <c r="A1540" t="s">
        <v>4</v>
      </c>
      <c r="B1540" t="s">
        <v>9</v>
      </c>
      <c r="E1540" t="s">
        <v>2936</v>
      </c>
      <c r="F1540" t="s">
        <v>4801</v>
      </c>
      <c r="G1540" t="s">
        <v>1100</v>
      </c>
    </row>
    <row r="1541" spans="1:7" hidden="1" x14ac:dyDescent="0.25">
      <c r="A1541" t="s">
        <v>4</v>
      </c>
      <c r="B1541" t="s">
        <v>9</v>
      </c>
      <c r="E1541" t="s">
        <v>2936</v>
      </c>
      <c r="F1541" t="s">
        <v>4804</v>
      </c>
      <c r="G1541" t="s">
        <v>1100</v>
      </c>
    </row>
    <row r="1542" spans="1:7" hidden="1" x14ac:dyDescent="0.25">
      <c r="A1542" t="s">
        <v>4</v>
      </c>
      <c r="B1542" t="s">
        <v>9</v>
      </c>
      <c r="E1542" t="s">
        <v>2936</v>
      </c>
      <c r="F1542" t="s">
        <v>4807</v>
      </c>
      <c r="G1542" t="s">
        <v>1100</v>
      </c>
    </row>
    <row r="1543" spans="1:7" hidden="1" x14ac:dyDescent="0.25">
      <c r="A1543" t="s">
        <v>4</v>
      </c>
      <c r="B1543" t="s">
        <v>9</v>
      </c>
      <c r="E1543" t="s">
        <v>2936</v>
      </c>
      <c r="F1543" t="s">
        <v>4810</v>
      </c>
      <c r="G1543" t="s">
        <v>1100</v>
      </c>
    </row>
    <row r="1544" spans="1:7" hidden="1" x14ac:dyDescent="0.25">
      <c r="A1544" t="s">
        <v>4</v>
      </c>
      <c r="B1544" t="s">
        <v>9</v>
      </c>
      <c r="E1544" t="s">
        <v>2936</v>
      </c>
      <c r="F1544" t="s">
        <v>4813</v>
      </c>
      <c r="G1544" t="s">
        <v>1100</v>
      </c>
    </row>
    <row r="1545" spans="1:7" hidden="1" x14ac:dyDescent="0.25">
      <c r="A1545" t="s">
        <v>4</v>
      </c>
      <c r="B1545" t="s">
        <v>9</v>
      </c>
      <c r="E1545" t="s">
        <v>2936</v>
      </c>
      <c r="F1545" t="s">
        <v>4816</v>
      </c>
      <c r="G1545" t="s">
        <v>1100</v>
      </c>
    </row>
    <row r="1546" spans="1:7" hidden="1" x14ac:dyDescent="0.25">
      <c r="A1546" t="s">
        <v>4</v>
      </c>
      <c r="B1546" t="s">
        <v>9</v>
      </c>
      <c r="E1546" t="s">
        <v>2936</v>
      </c>
      <c r="F1546" t="s">
        <v>4819</v>
      </c>
      <c r="G1546" t="s">
        <v>1100</v>
      </c>
    </row>
    <row r="1547" spans="1:7" hidden="1" x14ac:dyDescent="0.25">
      <c r="A1547" t="s">
        <v>4</v>
      </c>
      <c r="B1547" t="s">
        <v>9</v>
      </c>
      <c r="E1547" t="s">
        <v>2936</v>
      </c>
      <c r="F1547" t="s">
        <v>4822</v>
      </c>
      <c r="G1547" t="s">
        <v>1100</v>
      </c>
    </row>
    <row r="1548" spans="1:7" hidden="1" x14ac:dyDescent="0.25">
      <c r="A1548" t="s">
        <v>4</v>
      </c>
      <c r="B1548" t="s">
        <v>9</v>
      </c>
      <c r="E1548" t="s">
        <v>2936</v>
      </c>
      <c r="F1548" t="s">
        <v>4825</v>
      </c>
      <c r="G1548" t="s">
        <v>1100</v>
      </c>
    </row>
    <row r="1549" spans="1:7" hidden="1" x14ac:dyDescent="0.25">
      <c r="A1549" t="s">
        <v>4</v>
      </c>
      <c r="B1549" t="s">
        <v>9</v>
      </c>
      <c r="E1549" t="s">
        <v>2936</v>
      </c>
      <c r="F1549" t="s">
        <v>4828</v>
      </c>
      <c r="G1549" t="s">
        <v>1100</v>
      </c>
    </row>
    <row r="1550" spans="1:7" hidden="1" x14ac:dyDescent="0.25">
      <c r="A1550" t="s">
        <v>533</v>
      </c>
      <c r="B1550" t="s">
        <v>1607</v>
      </c>
      <c r="C1550" t="s">
        <v>1099</v>
      </c>
      <c r="E1550" t="s">
        <v>1620</v>
      </c>
      <c r="F1550" t="s">
        <v>4831</v>
      </c>
      <c r="G1550" s="1" t="s">
        <v>1603</v>
      </c>
    </row>
    <row r="1551" spans="1:7" hidden="1" x14ac:dyDescent="0.25">
      <c r="A1551" t="s">
        <v>4</v>
      </c>
      <c r="B1551" t="s">
        <v>8</v>
      </c>
      <c r="F1551" t="s">
        <v>4834</v>
      </c>
      <c r="G1551" s="1" t="s">
        <v>1603</v>
      </c>
    </row>
    <row r="1552" spans="1:7" hidden="1" x14ac:dyDescent="0.25">
      <c r="A1552" t="s">
        <v>533</v>
      </c>
      <c r="B1552" t="s">
        <v>531</v>
      </c>
      <c r="C1552" t="s">
        <v>58</v>
      </c>
      <c r="E1552" t="s">
        <v>4236</v>
      </c>
      <c r="F1552" t="s">
        <v>4837</v>
      </c>
      <c r="G1552" s="1" t="s">
        <v>1603</v>
      </c>
    </row>
    <row r="1553" spans="1:7" hidden="1" x14ac:dyDescent="0.25">
      <c r="A1553" t="s">
        <v>4</v>
      </c>
      <c r="B1553" t="s">
        <v>8</v>
      </c>
      <c r="F1553" t="s">
        <v>4840</v>
      </c>
      <c r="G1553" s="1" t="s">
        <v>1603</v>
      </c>
    </row>
    <row r="1554" spans="1:7" hidden="1" x14ac:dyDescent="0.25">
      <c r="A1554" t="s">
        <v>533</v>
      </c>
      <c r="B1554" t="s">
        <v>531</v>
      </c>
      <c r="C1554" t="s">
        <v>58</v>
      </c>
      <c r="E1554" t="s">
        <v>4236</v>
      </c>
      <c r="F1554" t="s">
        <v>4843</v>
      </c>
      <c r="G1554" s="1" t="s">
        <v>1603</v>
      </c>
    </row>
    <row r="1555" spans="1:7" hidden="1" x14ac:dyDescent="0.25">
      <c r="A1555" t="s">
        <v>289</v>
      </c>
      <c r="B1555" t="s">
        <v>86</v>
      </c>
      <c r="C1555" t="s">
        <v>4240</v>
      </c>
      <c r="F1555" t="s">
        <v>4846</v>
      </c>
      <c r="G1555" s="1" t="s">
        <v>1603</v>
      </c>
    </row>
    <row r="1556" spans="1:7" hidden="1" x14ac:dyDescent="0.25">
      <c r="A1556" t="s">
        <v>289</v>
      </c>
      <c r="B1556" t="s">
        <v>86</v>
      </c>
      <c r="C1556" t="s">
        <v>4240</v>
      </c>
      <c r="E1556" t="s">
        <v>2936</v>
      </c>
      <c r="F1556" t="s">
        <v>4849</v>
      </c>
      <c r="G1556" s="1" t="s">
        <v>1603</v>
      </c>
    </row>
    <row r="1557" spans="1:7" hidden="1" x14ac:dyDescent="0.25">
      <c r="A1557" t="s">
        <v>289</v>
      </c>
      <c r="B1557" t="s">
        <v>86</v>
      </c>
      <c r="C1557" t="s">
        <v>4240</v>
      </c>
      <c r="F1557" t="s">
        <v>4852</v>
      </c>
      <c r="G1557" s="1" t="s">
        <v>1603</v>
      </c>
    </row>
    <row r="1558" spans="1:7" hidden="1" x14ac:dyDescent="0.25">
      <c r="A1558" t="s">
        <v>4241</v>
      </c>
      <c r="B1558" t="s">
        <v>86</v>
      </c>
      <c r="C1558" t="s">
        <v>4240</v>
      </c>
      <c r="E1558" t="s">
        <v>4236</v>
      </c>
      <c r="F1558" t="s">
        <v>4855</v>
      </c>
      <c r="G1558" s="1" t="s">
        <v>1603</v>
      </c>
    </row>
    <row r="1559" spans="1:7" hidden="1" x14ac:dyDescent="0.25">
      <c r="A1559" t="s">
        <v>533</v>
      </c>
      <c r="B1559" t="s">
        <v>531</v>
      </c>
      <c r="C1559" t="s">
        <v>58</v>
      </c>
      <c r="E1559" t="s">
        <v>4236</v>
      </c>
      <c r="F1559" t="s">
        <v>4858</v>
      </c>
      <c r="G1559" s="1" t="s">
        <v>1603</v>
      </c>
    </row>
    <row r="1560" spans="1:7" hidden="1" x14ac:dyDescent="0.25">
      <c r="A1560" t="s">
        <v>533</v>
      </c>
      <c r="B1560" t="s">
        <v>531</v>
      </c>
      <c r="C1560" t="s">
        <v>58</v>
      </c>
      <c r="E1560" t="s">
        <v>4236</v>
      </c>
      <c r="F1560" t="s">
        <v>4861</v>
      </c>
      <c r="G1560" s="1" t="s">
        <v>1603</v>
      </c>
    </row>
    <row r="1561" spans="1:7" hidden="1" x14ac:dyDescent="0.25">
      <c r="A1561" t="s">
        <v>533</v>
      </c>
      <c r="B1561" t="s">
        <v>531</v>
      </c>
      <c r="C1561" t="s">
        <v>58</v>
      </c>
      <c r="E1561" t="s">
        <v>4236</v>
      </c>
      <c r="F1561" t="s">
        <v>4864</v>
      </c>
      <c r="G1561" s="1" t="s">
        <v>1603</v>
      </c>
    </row>
    <row r="1562" spans="1:7" hidden="1" x14ac:dyDescent="0.25">
      <c r="A1562" t="s">
        <v>289</v>
      </c>
      <c r="B1562" t="s">
        <v>86</v>
      </c>
      <c r="C1562" t="s">
        <v>4240</v>
      </c>
      <c r="F1562" t="s">
        <v>4867</v>
      </c>
      <c r="G1562" s="1" t="s">
        <v>1603</v>
      </c>
    </row>
    <row r="1563" spans="1:7" hidden="1" x14ac:dyDescent="0.25">
      <c r="A1563" t="s">
        <v>4241</v>
      </c>
      <c r="B1563" t="s">
        <v>86</v>
      </c>
      <c r="C1563" t="s">
        <v>4240</v>
      </c>
      <c r="E1563" t="s">
        <v>4236</v>
      </c>
      <c r="F1563" t="s">
        <v>4870</v>
      </c>
      <c r="G1563" s="1" t="s">
        <v>1603</v>
      </c>
    </row>
    <row r="1564" spans="1:7" hidden="1" x14ac:dyDescent="0.25">
      <c r="A1564" t="s">
        <v>533</v>
      </c>
      <c r="B1564" t="s">
        <v>531</v>
      </c>
      <c r="C1564" t="s">
        <v>58</v>
      </c>
      <c r="E1564" t="s">
        <v>4236</v>
      </c>
      <c r="F1564" t="s">
        <v>4873</v>
      </c>
      <c r="G1564" s="1" t="s">
        <v>1603</v>
      </c>
    </row>
    <row r="1565" spans="1:7" hidden="1" x14ac:dyDescent="0.25">
      <c r="A1565" t="s">
        <v>533</v>
      </c>
      <c r="B1565" t="s">
        <v>531</v>
      </c>
      <c r="C1565" t="s">
        <v>58</v>
      </c>
      <c r="E1565" t="s">
        <v>4236</v>
      </c>
      <c r="F1565" t="s">
        <v>4876</v>
      </c>
      <c r="G1565" s="1" t="s">
        <v>1603</v>
      </c>
    </row>
    <row r="1566" spans="1:7" hidden="1" x14ac:dyDescent="0.25">
      <c r="A1566" t="s">
        <v>289</v>
      </c>
      <c r="B1566" t="s">
        <v>86</v>
      </c>
      <c r="C1566" t="s">
        <v>4240</v>
      </c>
      <c r="F1566" t="s">
        <v>4879</v>
      </c>
      <c r="G1566" s="1" t="s">
        <v>1603</v>
      </c>
    </row>
    <row r="1567" spans="1:7" hidden="1" x14ac:dyDescent="0.25">
      <c r="A1567" t="s">
        <v>4241</v>
      </c>
      <c r="B1567" t="s">
        <v>86</v>
      </c>
      <c r="C1567" t="s">
        <v>4240</v>
      </c>
      <c r="E1567" t="s">
        <v>4236</v>
      </c>
      <c r="F1567" t="s">
        <v>4882</v>
      </c>
      <c r="G1567" s="1" t="s">
        <v>1603</v>
      </c>
    </row>
    <row r="1568" spans="1:7" hidden="1" x14ac:dyDescent="0.25">
      <c r="A1568" t="s">
        <v>533</v>
      </c>
      <c r="B1568" t="s">
        <v>531</v>
      </c>
      <c r="C1568" t="s">
        <v>1099</v>
      </c>
      <c r="E1568" t="s">
        <v>4236</v>
      </c>
      <c r="F1568" t="s">
        <v>4885</v>
      </c>
      <c r="G1568" s="1" t="s">
        <v>1603</v>
      </c>
    </row>
    <row r="1569" spans="1:7" hidden="1" x14ac:dyDescent="0.25">
      <c r="A1569" t="s">
        <v>533</v>
      </c>
      <c r="B1569" t="s">
        <v>531</v>
      </c>
      <c r="C1569" t="s">
        <v>58</v>
      </c>
      <c r="E1569" t="s">
        <v>4236</v>
      </c>
      <c r="F1569" t="s">
        <v>4888</v>
      </c>
      <c r="G1569" s="1" t="s">
        <v>1603</v>
      </c>
    </row>
    <row r="1570" spans="1:7" hidden="1" x14ac:dyDescent="0.25">
      <c r="A1570" t="s">
        <v>4227</v>
      </c>
      <c r="B1570" t="s">
        <v>531</v>
      </c>
      <c r="C1570" t="s">
        <v>4233</v>
      </c>
      <c r="E1570" t="s">
        <v>2957</v>
      </c>
      <c r="F1570" t="s">
        <v>4891</v>
      </c>
      <c r="G1570" s="1" t="s">
        <v>1603</v>
      </c>
    </row>
    <row r="1571" spans="1:7" hidden="1" x14ac:dyDescent="0.25">
      <c r="A1571" t="s">
        <v>4</v>
      </c>
      <c r="B1571" t="s">
        <v>8</v>
      </c>
      <c r="F1571" t="s">
        <v>4894</v>
      </c>
      <c r="G1571" s="1" t="s">
        <v>1603</v>
      </c>
    </row>
    <row r="1572" spans="1:7" hidden="1" x14ac:dyDescent="0.25">
      <c r="A1572" t="s">
        <v>2004</v>
      </c>
      <c r="B1572" t="s">
        <v>8</v>
      </c>
      <c r="F1572" t="s">
        <v>4897</v>
      </c>
      <c r="G1572" s="1" t="s">
        <v>1603</v>
      </c>
    </row>
    <row r="1573" spans="1:7" hidden="1" x14ac:dyDescent="0.25">
      <c r="A1573" t="s">
        <v>2004</v>
      </c>
      <c r="F1573" t="s">
        <v>4900</v>
      </c>
      <c r="G1573" t="s">
        <v>1817</v>
      </c>
    </row>
    <row r="1574" spans="1:7" hidden="1" x14ac:dyDescent="0.25">
      <c r="A1574" t="s">
        <v>2004</v>
      </c>
      <c r="F1574" t="s">
        <v>4903</v>
      </c>
      <c r="G1574" t="s">
        <v>1817</v>
      </c>
    </row>
    <row r="1575" spans="1:7" hidden="1" x14ac:dyDescent="0.25">
      <c r="A1575" t="s">
        <v>159</v>
      </c>
      <c r="B1575" t="s">
        <v>86</v>
      </c>
      <c r="C1575" t="s">
        <v>5103</v>
      </c>
      <c r="F1575" t="s">
        <v>4906</v>
      </c>
      <c r="G1575" t="s">
        <v>1817</v>
      </c>
    </row>
    <row r="1576" spans="1:7" hidden="1" x14ac:dyDescent="0.25">
      <c r="A1576" t="s">
        <v>3073</v>
      </c>
      <c r="B1576" t="s">
        <v>86</v>
      </c>
      <c r="C1576" t="s">
        <v>5103</v>
      </c>
      <c r="F1576" t="s">
        <v>4909</v>
      </c>
      <c r="G1576" t="s">
        <v>1817</v>
      </c>
    </row>
    <row r="1577" spans="1:7" hidden="1" x14ac:dyDescent="0.25">
      <c r="A1577" t="s">
        <v>2004</v>
      </c>
      <c r="F1577" t="s">
        <v>4912</v>
      </c>
      <c r="G1577" t="s">
        <v>1817</v>
      </c>
    </row>
    <row r="1578" spans="1:7" hidden="1" x14ac:dyDescent="0.25">
      <c r="A1578" t="s">
        <v>4</v>
      </c>
      <c r="B1578" t="s">
        <v>5139</v>
      </c>
      <c r="E1578" t="s">
        <v>5140</v>
      </c>
      <c r="F1578" t="s">
        <v>4915</v>
      </c>
      <c r="G1578" t="s">
        <v>1817</v>
      </c>
    </row>
    <row r="1579" spans="1:7" hidden="1" x14ac:dyDescent="0.25">
      <c r="A1579" t="s">
        <v>2004</v>
      </c>
      <c r="F1579" t="s">
        <v>4918</v>
      </c>
      <c r="G1579" t="s">
        <v>1817</v>
      </c>
    </row>
    <row r="1580" spans="1:7" hidden="1" x14ac:dyDescent="0.25">
      <c r="A1580" t="s">
        <v>4</v>
      </c>
      <c r="B1580" t="s">
        <v>8</v>
      </c>
      <c r="F1580" t="s">
        <v>4921</v>
      </c>
      <c r="G1580" t="s">
        <v>1934</v>
      </c>
    </row>
    <row r="1581" spans="1:7" hidden="1" x14ac:dyDescent="0.25">
      <c r="A1581" t="s">
        <v>4</v>
      </c>
      <c r="B1581" t="s">
        <v>8</v>
      </c>
      <c r="E1581" t="s">
        <v>2936</v>
      </c>
      <c r="F1581" t="s">
        <v>4924</v>
      </c>
      <c r="G1581" t="s">
        <v>1934</v>
      </c>
    </row>
    <row r="1582" spans="1:7" hidden="1" x14ac:dyDescent="0.25">
      <c r="A1582" t="s">
        <v>4</v>
      </c>
      <c r="B1582" t="s">
        <v>8</v>
      </c>
      <c r="E1582" t="s">
        <v>2936</v>
      </c>
      <c r="F1582" t="s">
        <v>4927</v>
      </c>
      <c r="G1582" t="s">
        <v>1934</v>
      </c>
    </row>
    <row r="1583" spans="1:7" hidden="1" x14ac:dyDescent="0.25">
      <c r="A1583" t="s">
        <v>4</v>
      </c>
      <c r="B1583" t="s">
        <v>8</v>
      </c>
      <c r="E1583" t="s">
        <v>2936</v>
      </c>
      <c r="F1583" t="s">
        <v>4930</v>
      </c>
      <c r="G1583" t="s">
        <v>1934</v>
      </c>
    </row>
    <row r="1584" spans="1:7" hidden="1" x14ac:dyDescent="0.25">
      <c r="A1584" t="s">
        <v>4</v>
      </c>
      <c r="B1584" t="s">
        <v>8</v>
      </c>
      <c r="E1584" t="s">
        <v>2936</v>
      </c>
      <c r="F1584" t="s">
        <v>4933</v>
      </c>
      <c r="G1584" t="s">
        <v>1934</v>
      </c>
    </row>
    <row r="1585" spans="1:7" hidden="1" x14ac:dyDescent="0.25">
      <c r="A1585" t="s">
        <v>4</v>
      </c>
      <c r="B1585" t="s">
        <v>8</v>
      </c>
      <c r="E1585" t="s">
        <v>2936</v>
      </c>
      <c r="F1585" t="s">
        <v>4936</v>
      </c>
      <c r="G1585" t="s">
        <v>1934</v>
      </c>
    </row>
    <row r="1586" spans="1:7" hidden="1" x14ac:dyDescent="0.25">
      <c r="A1586" t="s">
        <v>4</v>
      </c>
      <c r="B1586" t="s">
        <v>8</v>
      </c>
      <c r="E1586" t="s">
        <v>2936</v>
      </c>
      <c r="F1586" t="s">
        <v>4939</v>
      </c>
      <c r="G1586" t="s">
        <v>1934</v>
      </c>
    </row>
    <row r="1587" spans="1:7" hidden="1" x14ac:dyDescent="0.25">
      <c r="A1587" t="s">
        <v>4</v>
      </c>
      <c r="B1587" t="s">
        <v>8</v>
      </c>
      <c r="E1587" t="s">
        <v>2936</v>
      </c>
      <c r="F1587" t="s">
        <v>4942</v>
      </c>
      <c r="G1587" t="s">
        <v>1934</v>
      </c>
    </row>
    <row r="1588" spans="1:7" hidden="1" x14ac:dyDescent="0.25">
      <c r="A1588" t="s">
        <v>4</v>
      </c>
      <c r="B1588" t="s">
        <v>8</v>
      </c>
      <c r="E1588" t="s">
        <v>2936</v>
      </c>
      <c r="F1588" t="s">
        <v>4945</v>
      </c>
      <c r="G1588" t="s">
        <v>1934</v>
      </c>
    </row>
    <row r="1589" spans="1:7" hidden="1" x14ac:dyDescent="0.25">
      <c r="A1589" t="s">
        <v>4</v>
      </c>
      <c r="B1589" t="s">
        <v>8</v>
      </c>
      <c r="E1589" t="s">
        <v>2936</v>
      </c>
      <c r="F1589" t="s">
        <v>4948</v>
      </c>
      <c r="G1589" t="s">
        <v>1934</v>
      </c>
    </row>
    <row r="1590" spans="1:7" hidden="1" x14ac:dyDescent="0.25">
      <c r="A1590" t="s">
        <v>4</v>
      </c>
      <c r="B1590" t="s">
        <v>8</v>
      </c>
      <c r="E1590" t="s">
        <v>2936</v>
      </c>
      <c r="F1590" t="s">
        <v>4951</v>
      </c>
      <c r="G1590" t="s">
        <v>1934</v>
      </c>
    </row>
    <row r="1591" spans="1:7" hidden="1" x14ac:dyDescent="0.25">
      <c r="A1591" t="s">
        <v>4</v>
      </c>
      <c r="B1591" t="s">
        <v>8</v>
      </c>
      <c r="E1591" t="s">
        <v>2936</v>
      </c>
      <c r="F1591" t="s">
        <v>4954</v>
      </c>
      <c r="G1591" t="s">
        <v>1934</v>
      </c>
    </row>
    <row r="1592" spans="1:7" hidden="1" x14ac:dyDescent="0.25">
      <c r="A1592" t="s">
        <v>4</v>
      </c>
      <c r="B1592" t="s">
        <v>8</v>
      </c>
      <c r="E1592" t="s">
        <v>2936</v>
      </c>
      <c r="F1592" t="s">
        <v>4957</v>
      </c>
      <c r="G1592" t="s">
        <v>1934</v>
      </c>
    </row>
    <row r="1593" spans="1:7" hidden="1" x14ac:dyDescent="0.25">
      <c r="A1593" t="s">
        <v>4</v>
      </c>
      <c r="B1593" t="s">
        <v>8</v>
      </c>
      <c r="E1593" t="s">
        <v>2936</v>
      </c>
      <c r="F1593" t="s">
        <v>4960</v>
      </c>
      <c r="G1593" t="s">
        <v>1934</v>
      </c>
    </row>
    <row r="1594" spans="1:7" hidden="1" x14ac:dyDescent="0.25">
      <c r="A1594" t="s">
        <v>4</v>
      </c>
      <c r="B1594" t="s">
        <v>8</v>
      </c>
      <c r="E1594" t="s">
        <v>2936</v>
      </c>
      <c r="F1594" t="s">
        <v>4963</v>
      </c>
      <c r="G1594" t="s">
        <v>1934</v>
      </c>
    </row>
    <row r="1595" spans="1:7" hidden="1" x14ac:dyDescent="0.25">
      <c r="A1595" t="s">
        <v>4</v>
      </c>
      <c r="B1595" t="s">
        <v>8</v>
      </c>
      <c r="E1595" t="s">
        <v>2936</v>
      </c>
      <c r="F1595" t="s">
        <v>4966</v>
      </c>
      <c r="G1595" t="s">
        <v>1934</v>
      </c>
    </row>
    <row r="1596" spans="1:7" hidden="1" x14ac:dyDescent="0.25">
      <c r="A1596" t="s">
        <v>4</v>
      </c>
      <c r="B1596" t="s">
        <v>8</v>
      </c>
      <c r="E1596" t="s">
        <v>2936</v>
      </c>
      <c r="F1596" t="s">
        <v>4969</v>
      </c>
      <c r="G1596" t="s">
        <v>1934</v>
      </c>
    </row>
    <row r="1597" spans="1:7" hidden="1" x14ac:dyDescent="0.25">
      <c r="A1597" t="s">
        <v>4</v>
      </c>
      <c r="B1597" t="s">
        <v>8</v>
      </c>
      <c r="E1597" t="s">
        <v>2936</v>
      </c>
      <c r="F1597" t="s">
        <v>4972</v>
      </c>
      <c r="G1597" t="s">
        <v>1934</v>
      </c>
    </row>
    <row r="1598" spans="1:7" hidden="1" x14ac:dyDescent="0.25">
      <c r="A1598" t="s">
        <v>4</v>
      </c>
      <c r="B1598" t="s">
        <v>8</v>
      </c>
      <c r="E1598" t="s">
        <v>2936</v>
      </c>
      <c r="F1598" t="s">
        <v>4975</v>
      </c>
      <c r="G1598" t="s">
        <v>1934</v>
      </c>
    </row>
    <row r="1599" spans="1:7" hidden="1" x14ac:dyDescent="0.25">
      <c r="A1599" t="s">
        <v>2004</v>
      </c>
      <c r="B1599" t="s">
        <v>8</v>
      </c>
      <c r="F1599" t="s">
        <v>4978</v>
      </c>
      <c r="G1599" t="s">
        <v>1934</v>
      </c>
    </row>
    <row r="1600" spans="1:7" x14ac:dyDescent="0.25">
      <c r="A1600" t="s">
        <v>2014</v>
      </c>
      <c r="F1600" t="s">
        <v>4981</v>
      </c>
      <c r="G1600" t="s">
        <v>1997</v>
      </c>
    </row>
    <row r="1601" spans="1:7" x14ac:dyDescent="0.25">
      <c r="A1601" t="s">
        <v>2014</v>
      </c>
      <c r="F1601" t="s">
        <v>4984</v>
      </c>
      <c r="G1601" t="s">
        <v>1997</v>
      </c>
    </row>
    <row r="1602" spans="1:7" x14ac:dyDescent="0.25">
      <c r="A1602" t="s">
        <v>2014</v>
      </c>
      <c r="F1602" t="s">
        <v>4987</v>
      </c>
      <c r="G1602" t="s">
        <v>1997</v>
      </c>
    </row>
    <row r="1603" spans="1:7" x14ac:dyDescent="0.25">
      <c r="A1603" t="s">
        <v>2014</v>
      </c>
      <c r="F1603" t="s">
        <v>4990</v>
      </c>
      <c r="G1603" t="s">
        <v>1997</v>
      </c>
    </row>
    <row r="1604" spans="1:7" x14ac:dyDescent="0.25">
      <c r="A1604" t="s">
        <v>2014</v>
      </c>
      <c r="F1604" t="s">
        <v>4993</v>
      </c>
      <c r="G1604" t="s">
        <v>1997</v>
      </c>
    </row>
    <row r="1605" spans="1:7" x14ac:dyDescent="0.25">
      <c r="A1605" t="s">
        <v>2014</v>
      </c>
      <c r="F1605" t="s">
        <v>4996</v>
      </c>
      <c r="G1605" t="s">
        <v>1997</v>
      </c>
    </row>
    <row r="1606" spans="1:7" hidden="1" x14ac:dyDescent="0.25">
      <c r="A1606" t="s">
        <v>91</v>
      </c>
      <c r="B1606" t="s">
        <v>5259</v>
      </c>
      <c r="C1606" t="s">
        <v>51</v>
      </c>
      <c r="F1606" t="s">
        <v>5144</v>
      </c>
      <c r="G1606" t="s">
        <v>1102</v>
      </c>
    </row>
    <row r="1607" spans="1:7" hidden="1" x14ac:dyDescent="0.25">
      <c r="A1607" t="s">
        <v>62</v>
      </c>
      <c r="B1607" t="s">
        <v>5259</v>
      </c>
      <c r="C1607" t="s">
        <v>5260</v>
      </c>
      <c r="E1607" t="s">
        <v>5261</v>
      </c>
      <c r="F1607" t="s">
        <v>5146</v>
      </c>
      <c r="G1607" t="s">
        <v>1102</v>
      </c>
    </row>
    <row r="1608" spans="1:7" hidden="1" x14ac:dyDescent="0.25">
      <c r="A1608" t="s">
        <v>2004</v>
      </c>
      <c r="F1608" t="s">
        <v>5196</v>
      </c>
      <c r="G1608" t="s">
        <v>1103</v>
      </c>
    </row>
    <row r="1609" spans="1:7" hidden="1" x14ac:dyDescent="0.25">
      <c r="A1609" t="s">
        <v>4</v>
      </c>
      <c r="B1609" t="s">
        <v>5262</v>
      </c>
      <c r="C1609" t="s">
        <v>1609</v>
      </c>
      <c r="F1609" t="s">
        <v>5141</v>
      </c>
      <c r="G1609" t="s">
        <v>91</v>
      </c>
    </row>
    <row r="1610" spans="1:7" hidden="1" x14ac:dyDescent="0.25">
      <c r="A1610" t="s">
        <v>4</v>
      </c>
      <c r="B1610" t="s">
        <v>8</v>
      </c>
      <c r="F1610" t="s">
        <v>5226</v>
      </c>
      <c r="G1610" t="s">
        <v>1104</v>
      </c>
    </row>
    <row r="1611" spans="1:7" hidden="1" x14ac:dyDescent="0.25">
      <c r="A1611" t="s">
        <v>1606</v>
      </c>
      <c r="B1611" t="s">
        <v>5263</v>
      </c>
      <c r="C1611" t="s">
        <v>4233</v>
      </c>
      <c r="F1611" t="s">
        <v>5148</v>
      </c>
      <c r="G1611" t="s">
        <v>1105</v>
      </c>
    </row>
    <row r="1612" spans="1:7" hidden="1" x14ac:dyDescent="0.25">
      <c r="A1612" t="s">
        <v>289</v>
      </c>
      <c r="B1612" t="s">
        <v>5263</v>
      </c>
      <c r="C1612" t="s">
        <v>5093</v>
      </c>
      <c r="F1612" t="s">
        <v>5151</v>
      </c>
      <c r="G1612" t="s">
        <v>1105</v>
      </c>
    </row>
    <row r="1613" spans="1:7" hidden="1" x14ac:dyDescent="0.25">
      <c r="A1613" t="s">
        <v>289</v>
      </c>
      <c r="B1613" t="s">
        <v>5263</v>
      </c>
      <c r="C1613" t="s">
        <v>5093</v>
      </c>
      <c r="E1613" t="s">
        <v>2936</v>
      </c>
      <c r="F1613" t="s">
        <v>5154</v>
      </c>
      <c r="G1613" t="s">
        <v>1105</v>
      </c>
    </row>
    <row r="1614" spans="1:7" hidden="1" x14ac:dyDescent="0.25">
      <c r="A1614" t="s">
        <v>289</v>
      </c>
      <c r="B1614" t="s">
        <v>5263</v>
      </c>
      <c r="C1614" t="s">
        <v>5093</v>
      </c>
      <c r="E1614" t="s">
        <v>2936</v>
      </c>
      <c r="F1614" t="s">
        <v>5157</v>
      </c>
      <c r="G1614" t="s">
        <v>1105</v>
      </c>
    </row>
    <row r="1615" spans="1:7" hidden="1" x14ac:dyDescent="0.25">
      <c r="A1615" t="s">
        <v>289</v>
      </c>
      <c r="B1615" t="s">
        <v>5263</v>
      </c>
      <c r="C1615" t="s">
        <v>5093</v>
      </c>
      <c r="E1615" t="s">
        <v>2936</v>
      </c>
      <c r="F1615" t="s">
        <v>5160</v>
      </c>
      <c r="G1615" t="s">
        <v>1105</v>
      </c>
    </row>
    <row r="1616" spans="1:7" hidden="1" x14ac:dyDescent="0.25">
      <c r="A1616" t="s">
        <v>289</v>
      </c>
      <c r="B1616" t="s">
        <v>5263</v>
      </c>
      <c r="C1616" t="s">
        <v>5093</v>
      </c>
      <c r="E1616" t="s">
        <v>2936</v>
      </c>
      <c r="F1616" t="s">
        <v>5163</v>
      </c>
      <c r="G1616" t="s">
        <v>1105</v>
      </c>
    </row>
    <row r="1617" spans="1:7" hidden="1" x14ac:dyDescent="0.25">
      <c r="A1617" t="s">
        <v>289</v>
      </c>
      <c r="B1617" t="s">
        <v>5263</v>
      </c>
      <c r="C1617" t="s">
        <v>5093</v>
      </c>
      <c r="E1617" t="s">
        <v>2936</v>
      </c>
      <c r="F1617" t="s">
        <v>5166</v>
      </c>
      <c r="G1617" t="s">
        <v>1105</v>
      </c>
    </row>
    <row r="1618" spans="1:7" hidden="1" x14ac:dyDescent="0.25">
      <c r="A1618" t="s">
        <v>4232</v>
      </c>
      <c r="B1618" t="s">
        <v>5263</v>
      </c>
      <c r="C1618" t="s">
        <v>1609</v>
      </c>
      <c r="F1618" t="s">
        <v>5169</v>
      </c>
      <c r="G1618" t="s">
        <v>1105</v>
      </c>
    </row>
    <row r="1619" spans="1:7" hidden="1" x14ac:dyDescent="0.25">
      <c r="A1619" t="s">
        <v>650</v>
      </c>
      <c r="B1619" t="s">
        <v>5263</v>
      </c>
      <c r="C1619" t="s">
        <v>1609</v>
      </c>
      <c r="F1619" t="s">
        <v>5172</v>
      </c>
      <c r="G1619" t="s">
        <v>1105</v>
      </c>
    </row>
    <row r="1620" spans="1:7" hidden="1" x14ac:dyDescent="0.25">
      <c r="A1620" t="s">
        <v>2004</v>
      </c>
      <c r="B1620" t="s">
        <v>8</v>
      </c>
      <c r="F1620" t="s">
        <v>5175</v>
      </c>
      <c r="G1620" t="s">
        <v>1106</v>
      </c>
    </row>
    <row r="1621" spans="1:7" hidden="1" x14ac:dyDescent="0.25">
      <c r="A1621" t="s">
        <v>2004</v>
      </c>
      <c r="F1621" t="s">
        <v>5229</v>
      </c>
      <c r="G1621" t="s">
        <v>1107</v>
      </c>
    </row>
    <row r="1622" spans="1:7" hidden="1" x14ac:dyDescent="0.25">
      <c r="A1622" t="s">
        <v>2004</v>
      </c>
      <c r="B1622" t="s">
        <v>8</v>
      </c>
      <c r="F1622" t="s">
        <v>5178</v>
      </c>
      <c r="G1622" t="s">
        <v>796</v>
      </c>
    </row>
    <row r="1623" spans="1:7" hidden="1" x14ac:dyDescent="0.25">
      <c r="A1623" t="s">
        <v>4</v>
      </c>
      <c r="B1623" t="s">
        <v>9</v>
      </c>
      <c r="F1623" t="s">
        <v>5232</v>
      </c>
      <c r="G1623" t="s">
        <v>1100</v>
      </c>
    </row>
    <row r="1624" spans="1:7" hidden="1" x14ac:dyDescent="0.25">
      <c r="A1624" t="s">
        <v>4</v>
      </c>
      <c r="B1624" t="s">
        <v>9</v>
      </c>
      <c r="E1624" t="s">
        <v>5264</v>
      </c>
      <c r="F1624" t="s">
        <v>5235</v>
      </c>
      <c r="G1624" t="s">
        <v>1100</v>
      </c>
    </row>
    <row r="1625" spans="1:7" hidden="1" x14ac:dyDescent="0.25">
      <c r="A1625" t="s">
        <v>2024</v>
      </c>
      <c r="B1625" t="s">
        <v>1304</v>
      </c>
      <c r="F1625" t="s">
        <v>5238</v>
      </c>
      <c r="G1625" t="s">
        <v>1100</v>
      </c>
    </row>
    <row r="1626" spans="1:7" hidden="1" x14ac:dyDescent="0.25">
      <c r="A1626" t="s">
        <v>2024</v>
      </c>
      <c r="B1626" t="s">
        <v>1304</v>
      </c>
      <c r="F1626" t="s">
        <v>5241</v>
      </c>
      <c r="G1626" t="s">
        <v>1100</v>
      </c>
    </row>
    <row r="1627" spans="1:7" hidden="1" x14ac:dyDescent="0.25">
      <c r="A1627" t="s">
        <v>4</v>
      </c>
      <c r="B1627" t="s">
        <v>9</v>
      </c>
      <c r="E1627" t="s">
        <v>2936</v>
      </c>
      <c r="F1627" t="s">
        <v>5244</v>
      </c>
      <c r="G1627" t="s">
        <v>1100</v>
      </c>
    </row>
    <row r="1628" spans="1:7" hidden="1" x14ac:dyDescent="0.25">
      <c r="A1628" t="s">
        <v>4</v>
      </c>
      <c r="B1628" t="s">
        <v>9</v>
      </c>
      <c r="E1628" t="s">
        <v>2936</v>
      </c>
      <c r="F1628" t="s">
        <v>5247</v>
      </c>
      <c r="G1628" t="s">
        <v>1100</v>
      </c>
    </row>
    <row r="1629" spans="1:7" hidden="1" x14ac:dyDescent="0.25">
      <c r="A1629" t="s">
        <v>4</v>
      </c>
      <c r="B1629" t="s">
        <v>9</v>
      </c>
      <c r="E1629" t="s">
        <v>2936</v>
      </c>
      <c r="F1629" t="s">
        <v>5250</v>
      </c>
      <c r="G1629" t="s">
        <v>1100</v>
      </c>
    </row>
    <row r="1630" spans="1:7" hidden="1" x14ac:dyDescent="0.25">
      <c r="A1630" t="s">
        <v>4</v>
      </c>
      <c r="B1630" t="s">
        <v>9</v>
      </c>
      <c r="E1630" t="s">
        <v>2936</v>
      </c>
      <c r="F1630" t="s">
        <v>5253</v>
      </c>
      <c r="G1630" t="s">
        <v>1100</v>
      </c>
    </row>
    <row r="1631" spans="1:7" hidden="1" x14ac:dyDescent="0.25">
      <c r="A1631" t="s">
        <v>4</v>
      </c>
      <c r="B1631" t="s">
        <v>9</v>
      </c>
      <c r="E1631" t="s">
        <v>2936</v>
      </c>
      <c r="F1631" t="s">
        <v>5256</v>
      </c>
      <c r="G1631" t="s">
        <v>1100</v>
      </c>
    </row>
    <row r="1632" spans="1:7" hidden="1" x14ac:dyDescent="0.25">
      <c r="A1632" t="s">
        <v>4</v>
      </c>
      <c r="B1632" t="s">
        <v>8</v>
      </c>
      <c r="F1632" t="s">
        <v>5181</v>
      </c>
      <c r="G1632" s="1" t="s">
        <v>1603</v>
      </c>
    </row>
    <row r="1633" spans="1:7" hidden="1" x14ac:dyDescent="0.25">
      <c r="A1633" t="s">
        <v>1606</v>
      </c>
      <c r="B1633" t="s">
        <v>5263</v>
      </c>
      <c r="C1633" t="s">
        <v>51</v>
      </c>
      <c r="F1633" t="s">
        <v>5184</v>
      </c>
      <c r="G1633" s="1" t="s">
        <v>1603</v>
      </c>
    </row>
    <row r="1634" spans="1:7" hidden="1" x14ac:dyDescent="0.25">
      <c r="A1634" t="s">
        <v>289</v>
      </c>
      <c r="B1634" t="s">
        <v>5263</v>
      </c>
      <c r="C1634" t="s">
        <v>4233</v>
      </c>
      <c r="F1634" t="s">
        <v>5187</v>
      </c>
      <c r="G1634" s="1" t="s">
        <v>1603</v>
      </c>
    </row>
    <row r="1635" spans="1:7" hidden="1" x14ac:dyDescent="0.25">
      <c r="A1635" t="s">
        <v>289</v>
      </c>
      <c r="B1635" t="s">
        <v>5263</v>
      </c>
      <c r="C1635" t="s">
        <v>4233</v>
      </c>
      <c r="E1635" t="s">
        <v>2936</v>
      </c>
      <c r="F1635" t="s">
        <v>5190</v>
      </c>
      <c r="G1635" s="1" t="s">
        <v>1603</v>
      </c>
    </row>
    <row r="1636" spans="1:7" hidden="1" x14ac:dyDescent="0.25">
      <c r="A1636" t="s">
        <v>4232</v>
      </c>
      <c r="B1636" t="s">
        <v>5263</v>
      </c>
      <c r="C1636" t="s">
        <v>4233</v>
      </c>
      <c r="F1636" t="s">
        <v>5193</v>
      </c>
      <c r="G1636" s="1" t="s">
        <v>1603</v>
      </c>
    </row>
    <row r="1637" spans="1:7" hidden="1" x14ac:dyDescent="0.25">
      <c r="A1637" t="s">
        <v>5265</v>
      </c>
      <c r="B1637" t="s">
        <v>5263</v>
      </c>
      <c r="C1637" t="s">
        <v>4233</v>
      </c>
      <c r="F1637" t="s">
        <v>5199</v>
      </c>
      <c r="G1637" t="s">
        <v>1817</v>
      </c>
    </row>
    <row r="1638" spans="1:7" hidden="1" x14ac:dyDescent="0.25">
      <c r="A1638" t="s">
        <v>5265</v>
      </c>
      <c r="B1638" t="s">
        <v>5263</v>
      </c>
      <c r="C1638" t="s">
        <v>4233</v>
      </c>
      <c r="E1638" t="s">
        <v>2936</v>
      </c>
      <c r="F1638" t="s">
        <v>5202</v>
      </c>
      <c r="G1638" t="s">
        <v>1817</v>
      </c>
    </row>
    <row r="1639" spans="1:7" hidden="1" x14ac:dyDescent="0.25">
      <c r="A1639" t="s">
        <v>5265</v>
      </c>
      <c r="B1639" t="s">
        <v>5263</v>
      </c>
      <c r="C1639" t="s">
        <v>4233</v>
      </c>
      <c r="E1639" t="s">
        <v>2936</v>
      </c>
      <c r="F1639" t="s">
        <v>5205</v>
      </c>
      <c r="G1639" t="s">
        <v>1817</v>
      </c>
    </row>
    <row r="1640" spans="1:7" hidden="1" x14ac:dyDescent="0.25">
      <c r="A1640" t="s">
        <v>5265</v>
      </c>
      <c r="B1640" t="s">
        <v>5263</v>
      </c>
      <c r="C1640" t="s">
        <v>4233</v>
      </c>
      <c r="E1640" t="s">
        <v>2936</v>
      </c>
      <c r="F1640" t="s">
        <v>5208</v>
      </c>
      <c r="G1640" t="s">
        <v>1817</v>
      </c>
    </row>
    <row r="1641" spans="1:7" hidden="1" x14ac:dyDescent="0.25">
      <c r="A1641" t="s">
        <v>5265</v>
      </c>
      <c r="B1641" t="s">
        <v>5263</v>
      </c>
      <c r="C1641" t="s">
        <v>4233</v>
      </c>
      <c r="E1641" t="s">
        <v>2936</v>
      </c>
      <c r="F1641" t="s">
        <v>5211</v>
      </c>
      <c r="G1641" t="s">
        <v>1817</v>
      </c>
    </row>
    <row r="1642" spans="1:7" hidden="1" x14ac:dyDescent="0.25">
      <c r="A1642" t="s">
        <v>4235</v>
      </c>
      <c r="B1642" t="s">
        <v>5263</v>
      </c>
      <c r="C1642" t="s">
        <v>4233</v>
      </c>
      <c r="F1642" t="s">
        <v>5214</v>
      </c>
      <c r="G1642" t="s">
        <v>1817</v>
      </c>
    </row>
    <row r="1643" spans="1:7" hidden="1" x14ac:dyDescent="0.25">
      <c r="A1643" t="s">
        <v>2004</v>
      </c>
      <c r="B1643" t="s">
        <v>8</v>
      </c>
      <c r="F1643" t="s">
        <v>5217</v>
      </c>
      <c r="G1643" t="s">
        <v>1934</v>
      </c>
    </row>
    <row r="1644" spans="1:7" x14ac:dyDescent="0.25">
      <c r="A1644" t="s">
        <v>4</v>
      </c>
      <c r="B1644" t="s">
        <v>5266</v>
      </c>
      <c r="F1644" t="s">
        <v>5220</v>
      </c>
      <c r="G1644" t="s">
        <v>1997</v>
      </c>
    </row>
    <row r="1645" spans="1:7" x14ac:dyDescent="0.25">
      <c r="A1645" t="s">
        <v>4</v>
      </c>
      <c r="B1645" t="s">
        <v>5267</v>
      </c>
      <c r="F1645" t="s">
        <v>5223</v>
      </c>
      <c r="G1645" t="s">
        <v>1997</v>
      </c>
    </row>
    <row r="1646" spans="1:7" hidden="1" x14ac:dyDescent="0.25">
      <c r="A1646" t="s">
        <v>64</v>
      </c>
      <c r="B1646" t="s">
        <v>4193</v>
      </c>
      <c r="C1646" t="s">
        <v>5076</v>
      </c>
      <c r="F1646" t="s">
        <v>5272</v>
      </c>
      <c r="G1646" t="s">
        <v>1102</v>
      </c>
    </row>
    <row r="1647" spans="1:7" hidden="1" x14ac:dyDescent="0.25">
      <c r="A1647" t="s">
        <v>85</v>
      </c>
      <c r="B1647" t="s">
        <v>4193</v>
      </c>
      <c r="C1647" t="s">
        <v>5076</v>
      </c>
      <c r="F1647" t="s">
        <v>5274</v>
      </c>
      <c r="G1647" t="s">
        <v>1102</v>
      </c>
    </row>
    <row r="1648" spans="1:7" hidden="1" x14ac:dyDescent="0.25">
      <c r="A1648" t="s">
        <v>289</v>
      </c>
      <c r="B1648" t="s">
        <v>86</v>
      </c>
      <c r="C1648" t="s">
        <v>4240</v>
      </c>
      <c r="F1648" t="s">
        <v>5385</v>
      </c>
      <c r="G1648" s="1" t="s">
        <v>1603</v>
      </c>
    </row>
    <row r="1649" spans="1:7" hidden="1" x14ac:dyDescent="0.25">
      <c r="A1649" t="s">
        <v>4241</v>
      </c>
      <c r="B1649" t="s">
        <v>86</v>
      </c>
      <c r="C1649" t="s">
        <v>4240</v>
      </c>
      <c r="F1649" t="s">
        <v>5388</v>
      </c>
      <c r="G1649" s="1" t="s">
        <v>1603</v>
      </c>
    </row>
    <row r="1650" spans="1:7" hidden="1" x14ac:dyDescent="0.25">
      <c r="A1650" t="s">
        <v>533</v>
      </c>
      <c r="B1650" t="s">
        <v>531</v>
      </c>
      <c r="C1650" t="s">
        <v>1099</v>
      </c>
      <c r="E1650" t="s">
        <v>1620</v>
      </c>
      <c r="F1650" t="s">
        <v>5391</v>
      </c>
      <c r="G1650" s="1" t="s">
        <v>1603</v>
      </c>
    </row>
    <row r="1651" spans="1:7" hidden="1" x14ac:dyDescent="0.25">
      <c r="A1651" t="s">
        <v>4</v>
      </c>
      <c r="B1651" t="s">
        <v>8</v>
      </c>
      <c r="F1651" t="s">
        <v>5394</v>
      </c>
      <c r="G1651" s="1" t="s">
        <v>1603</v>
      </c>
    </row>
    <row r="1652" spans="1:7" hidden="1" x14ac:dyDescent="0.25">
      <c r="A1652" t="s">
        <v>533</v>
      </c>
      <c r="B1652" t="s">
        <v>531</v>
      </c>
      <c r="C1652" t="s">
        <v>58</v>
      </c>
      <c r="E1652" t="s">
        <v>4236</v>
      </c>
      <c r="F1652" t="s">
        <v>5396</v>
      </c>
      <c r="G1652" s="1" t="s">
        <v>1603</v>
      </c>
    </row>
    <row r="1653" spans="1:7" hidden="1" x14ac:dyDescent="0.25">
      <c r="A1653" t="s">
        <v>533</v>
      </c>
      <c r="B1653" t="s">
        <v>531</v>
      </c>
      <c r="C1653" t="s">
        <v>58</v>
      </c>
      <c r="E1653" t="s">
        <v>4236</v>
      </c>
      <c r="F1653" t="s">
        <v>5399</v>
      </c>
      <c r="G1653" s="1" t="s">
        <v>1603</v>
      </c>
    </row>
    <row r="1654" spans="1:7" hidden="1" x14ac:dyDescent="0.25">
      <c r="A1654" t="s">
        <v>533</v>
      </c>
      <c r="B1654" t="s">
        <v>531</v>
      </c>
      <c r="C1654" t="s">
        <v>58</v>
      </c>
      <c r="E1654" t="s">
        <v>4236</v>
      </c>
      <c r="F1654" t="s">
        <v>5402</v>
      </c>
      <c r="G1654" s="1" t="s">
        <v>1603</v>
      </c>
    </row>
    <row r="1655" spans="1:7" hidden="1" x14ac:dyDescent="0.25">
      <c r="A1655" t="s">
        <v>533</v>
      </c>
      <c r="B1655" t="s">
        <v>531</v>
      </c>
      <c r="C1655" t="s">
        <v>58</v>
      </c>
      <c r="E1655" t="s">
        <v>4236</v>
      </c>
      <c r="F1655" t="s">
        <v>5405</v>
      </c>
      <c r="G1655" s="1" t="s">
        <v>1603</v>
      </c>
    </row>
    <row r="1656" spans="1:7" hidden="1" x14ac:dyDescent="0.25">
      <c r="A1656" t="s">
        <v>533</v>
      </c>
      <c r="B1656" t="s">
        <v>531</v>
      </c>
      <c r="C1656" t="s">
        <v>58</v>
      </c>
      <c r="E1656" t="s">
        <v>4236</v>
      </c>
      <c r="F1656" t="s">
        <v>5408</v>
      </c>
      <c r="G1656" s="1" t="s">
        <v>1603</v>
      </c>
    </row>
    <row r="1657" spans="1:7" hidden="1" x14ac:dyDescent="0.25">
      <c r="A1657" t="s">
        <v>4223</v>
      </c>
      <c r="B1657" t="s">
        <v>86</v>
      </c>
      <c r="C1657" t="s">
        <v>58</v>
      </c>
      <c r="F1657" t="s">
        <v>5411</v>
      </c>
      <c r="G1657" s="1" t="s">
        <v>1603</v>
      </c>
    </row>
    <row r="1658" spans="1:7" hidden="1" x14ac:dyDescent="0.25">
      <c r="A1658" t="s">
        <v>4223</v>
      </c>
      <c r="B1658" t="s">
        <v>86</v>
      </c>
      <c r="C1658" t="s">
        <v>58</v>
      </c>
      <c r="E1658" t="s">
        <v>2954</v>
      </c>
      <c r="F1658" t="s">
        <v>5414</v>
      </c>
      <c r="G1658" s="1" t="s">
        <v>1603</v>
      </c>
    </row>
    <row r="1659" spans="1:7" hidden="1" x14ac:dyDescent="0.25">
      <c r="A1659" t="s">
        <v>4223</v>
      </c>
      <c r="B1659" t="s">
        <v>86</v>
      </c>
      <c r="C1659" t="s">
        <v>58</v>
      </c>
      <c r="F1659" t="s">
        <v>5417</v>
      </c>
      <c r="G1659" s="1" t="s">
        <v>1603</v>
      </c>
    </row>
    <row r="1660" spans="1:7" hidden="1" x14ac:dyDescent="0.25">
      <c r="A1660" t="s">
        <v>4223</v>
      </c>
      <c r="B1660" t="s">
        <v>86</v>
      </c>
      <c r="C1660" t="s">
        <v>58</v>
      </c>
      <c r="E1660" t="s">
        <v>2954</v>
      </c>
      <c r="F1660" t="s">
        <v>5420</v>
      </c>
      <c r="G1660" s="1" t="s">
        <v>1603</v>
      </c>
    </row>
    <row r="1661" spans="1:7" hidden="1" x14ac:dyDescent="0.25">
      <c r="A1661" t="s">
        <v>4223</v>
      </c>
      <c r="B1661" t="s">
        <v>86</v>
      </c>
      <c r="C1661" t="s">
        <v>58</v>
      </c>
      <c r="F1661" t="s">
        <v>5423</v>
      </c>
      <c r="G1661" s="1" t="s">
        <v>1603</v>
      </c>
    </row>
    <row r="1662" spans="1:7" hidden="1" x14ac:dyDescent="0.25">
      <c r="A1662" t="s">
        <v>4223</v>
      </c>
      <c r="B1662" t="s">
        <v>86</v>
      </c>
      <c r="C1662" t="s">
        <v>58</v>
      </c>
      <c r="E1662" t="s">
        <v>2936</v>
      </c>
      <c r="F1662" t="s">
        <v>5426</v>
      </c>
      <c r="G1662" s="1" t="s">
        <v>1603</v>
      </c>
    </row>
    <row r="1663" spans="1:7" hidden="1" x14ac:dyDescent="0.25">
      <c r="A1663" t="s">
        <v>4223</v>
      </c>
      <c r="B1663" t="s">
        <v>86</v>
      </c>
      <c r="C1663" t="s">
        <v>58</v>
      </c>
      <c r="E1663" t="s">
        <v>4236</v>
      </c>
      <c r="F1663" t="s">
        <v>5429</v>
      </c>
      <c r="G1663" s="1" t="s">
        <v>1603</v>
      </c>
    </row>
    <row r="1664" spans="1:7" hidden="1" x14ac:dyDescent="0.25">
      <c r="A1664" t="s">
        <v>4223</v>
      </c>
      <c r="B1664" t="s">
        <v>86</v>
      </c>
      <c r="C1664" t="s">
        <v>58</v>
      </c>
      <c r="F1664" t="s">
        <v>5432</v>
      </c>
      <c r="G1664" s="1" t="s">
        <v>1603</v>
      </c>
    </row>
    <row r="1665" spans="1:7" hidden="1" x14ac:dyDescent="0.25">
      <c r="A1665" t="s">
        <v>4223</v>
      </c>
      <c r="B1665" t="s">
        <v>86</v>
      </c>
      <c r="C1665" t="s">
        <v>58</v>
      </c>
      <c r="E1665" t="s">
        <v>2954</v>
      </c>
      <c r="F1665" t="s">
        <v>5435</v>
      </c>
      <c r="G1665" s="1" t="s">
        <v>1603</v>
      </c>
    </row>
    <row r="1666" spans="1:7" hidden="1" x14ac:dyDescent="0.25">
      <c r="A1666" t="s">
        <v>533</v>
      </c>
      <c r="B1666" t="s">
        <v>531</v>
      </c>
      <c r="C1666" t="s">
        <v>58</v>
      </c>
      <c r="E1666" t="s">
        <v>4236</v>
      </c>
      <c r="F1666" t="s">
        <v>5438</v>
      </c>
      <c r="G1666" s="1" t="s">
        <v>1603</v>
      </c>
    </row>
    <row r="1667" spans="1:7" hidden="1" x14ac:dyDescent="0.25">
      <c r="A1667" t="s">
        <v>533</v>
      </c>
      <c r="B1667" t="s">
        <v>531</v>
      </c>
      <c r="C1667" t="s">
        <v>58</v>
      </c>
      <c r="E1667" t="s">
        <v>4236</v>
      </c>
      <c r="F1667" t="s">
        <v>5441</v>
      </c>
      <c r="G1667" s="1" t="s">
        <v>1603</v>
      </c>
    </row>
    <row r="1668" spans="1:7" hidden="1" x14ac:dyDescent="0.25">
      <c r="A1668" t="s">
        <v>4223</v>
      </c>
      <c r="B1668" t="s">
        <v>86</v>
      </c>
      <c r="C1668" t="s">
        <v>200</v>
      </c>
      <c r="E1668" t="s">
        <v>1605</v>
      </c>
      <c r="F1668" t="s">
        <v>5444</v>
      </c>
      <c r="G1668" s="1" t="s">
        <v>1603</v>
      </c>
    </row>
    <row r="1669" spans="1:7" hidden="1" x14ac:dyDescent="0.25">
      <c r="A1669" t="s">
        <v>4223</v>
      </c>
      <c r="B1669" t="s">
        <v>86</v>
      </c>
      <c r="C1669" t="s">
        <v>200</v>
      </c>
      <c r="E1669" t="s">
        <v>1605</v>
      </c>
      <c r="F1669" t="s">
        <v>5447</v>
      </c>
      <c r="G1669" s="1" t="s">
        <v>1603</v>
      </c>
    </row>
    <row r="1670" spans="1:7" hidden="1" x14ac:dyDescent="0.25">
      <c r="A1670" t="s">
        <v>4</v>
      </c>
      <c r="B1670" t="s">
        <v>8</v>
      </c>
      <c r="F1670" t="s">
        <v>5450</v>
      </c>
      <c r="G1670" s="1" t="s">
        <v>1603</v>
      </c>
    </row>
    <row r="1671" spans="1:7" hidden="1" x14ac:dyDescent="0.25">
      <c r="A1671" t="s">
        <v>4</v>
      </c>
      <c r="B1671" t="s">
        <v>4193</v>
      </c>
      <c r="C1671" t="s">
        <v>5076</v>
      </c>
      <c r="F1671" t="s">
        <v>5282</v>
      </c>
      <c r="G1671" t="s">
        <v>1103</v>
      </c>
    </row>
    <row r="1672" spans="1:7" hidden="1" x14ac:dyDescent="0.25">
      <c r="A1672" t="s">
        <v>4</v>
      </c>
      <c r="B1672" t="s">
        <v>4193</v>
      </c>
      <c r="C1672" t="s">
        <v>5076</v>
      </c>
      <c r="E1672" t="s">
        <v>5474</v>
      </c>
      <c r="F1672" t="s">
        <v>5269</v>
      </c>
      <c r="G1672" t="s">
        <v>1103</v>
      </c>
    </row>
    <row r="1673" spans="1:7" hidden="1" x14ac:dyDescent="0.25">
      <c r="A1673" t="s">
        <v>158</v>
      </c>
      <c r="B1673" t="s">
        <v>86</v>
      </c>
      <c r="C1673" t="s">
        <v>200</v>
      </c>
      <c r="D1673">
        <v>3</v>
      </c>
      <c r="E1673" t="s">
        <v>3075</v>
      </c>
      <c r="F1673" t="s">
        <v>5285</v>
      </c>
      <c r="G1673" t="s">
        <v>1103</v>
      </c>
    </row>
    <row r="1674" spans="1:7" hidden="1" x14ac:dyDescent="0.25">
      <c r="A1674" t="s">
        <v>158</v>
      </c>
      <c r="B1674" t="s">
        <v>86</v>
      </c>
      <c r="C1674" t="s">
        <v>200</v>
      </c>
      <c r="D1674">
        <v>4</v>
      </c>
      <c r="E1674" t="s">
        <v>3075</v>
      </c>
      <c r="F1674" t="s">
        <v>5288</v>
      </c>
      <c r="G1674" t="s">
        <v>1103</v>
      </c>
    </row>
    <row r="1675" spans="1:7" hidden="1" x14ac:dyDescent="0.25">
      <c r="A1675" t="s">
        <v>4</v>
      </c>
      <c r="B1675" t="s">
        <v>5475</v>
      </c>
      <c r="C1675" t="s">
        <v>5076</v>
      </c>
      <c r="E1675" t="s">
        <v>5474</v>
      </c>
      <c r="F1675" t="s">
        <v>5291</v>
      </c>
      <c r="G1675" t="s">
        <v>1103</v>
      </c>
    </row>
    <row r="1676" spans="1:7" hidden="1" x14ac:dyDescent="0.25">
      <c r="A1676" t="s">
        <v>4</v>
      </c>
      <c r="B1676" t="s">
        <v>8</v>
      </c>
      <c r="F1676" t="s">
        <v>5294</v>
      </c>
      <c r="G1676" t="s">
        <v>1103</v>
      </c>
    </row>
    <row r="1677" spans="1:7" hidden="1" x14ac:dyDescent="0.25">
      <c r="A1677" t="s">
        <v>4</v>
      </c>
      <c r="B1677" t="s">
        <v>8</v>
      </c>
      <c r="F1677" t="s">
        <v>5276</v>
      </c>
      <c r="G1677" t="s">
        <v>91</v>
      </c>
    </row>
    <row r="1678" spans="1:7" hidden="1" x14ac:dyDescent="0.25">
      <c r="A1678" t="s">
        <v>2004</v>
      </c>
      <c r="F1678" t="s">
        <v>5279</v>
      </c>
      <c r="G1678" t="s">
        <v>91</v>
      </c>
    </row>
    <row r="1679" spans="1:7" hidden="1" x14ac:dyDescent="0.25">
      <c r="A1679" t="s">
        <v>2004</v>
      </c>
      <c r="B1679" t="s">
        <v>8</v>
      </c>
      <c r="F1679" t="s">
        <v>5297</v>
      </c>
      <c r="G1679" t="s">
        <v>1104</v>
      </c>
    </row>
    <row r="1680" spans="1:7" hidden="1" x14ac:dyDescent="0.25">
      <c r="A1680" t="s">
        <v>4</v>
      </c>
      <c r="B1680" t="s">
        <v>8</v>
      </c>
      <c r="F1680" t="s">
        <v>5304</v>
      </c>
      <c r="G1680" t="s">
        <v>1105</v>
      </c>
    </row>
    <row r="1681" spans="1:7" hidden="1" x14ac:dyDescent="0.25">
      <c r="A1681" t="s">
        <v>2004</v>
      </c>
      <c r="B1681" t="s">
        <v>8</v>
      </c>
      <c r="F1681" t="s">
        <v>5307</v>
      </c>
      <c r="G1681" t="s">
        <v>1105</v>
      </c>
    </row>
    <row r="1682" spans="1:7" hidden="1" x14ac:dyDescent="0.25">
      <c r="A1682" t="s">
        <v>4</v>
      </c>
      <c r="B1682" t="s">
        <v>8</v>
      </c>
      <c r="F1682" t="s">
        <v>5310</v>
      </c>
      <c r="G1682" t="s">
        <v>1106</v>
      </c>
    </row>
    <row r="1683" spans="1:7" hidden="1" x14ac:dyDescent="0.25">
      <c r="A1683" t="s">
        <v>2004</v>
      </c>
      <c r="B1683" t="s">
        <v>8</v>
      </c>
      <c r="F1683" t="s">
        <v>5313</v>
      </c>
      <c r="G1683" t="s">
        <v>1106</v>
      </c>
    </row>
    <row r="1684" spans="1:7" hidden="1" x14ac:dyDescent="0.25">
      <c r="A1684" t="s">
        <v>4</v>
      </c>
      <c r="B1684" t="s">
        <v>8</v>
      </c>
      <c r="F1684" t="s">
        <v>5316</v>
      </c>
      <c r="G1684" t="s">
        <v>1107</v>
      </c>
    </row>
    <row r="1685" spans="1:7" hidden="1" x14ac:dyDescent="0.25">
      <c r="A1685" t="s">
        <v>289</v>
      </c>
      <c r="B1685" t="s">
        <v>86</v>
      </c>
      <c r="C1685" t="s">
        <v>200</v>
      </c>
      <c r="F1685" t="s">
        <v>5319</v>
      </c>
      <c r="G1685" t="s">
        <v>1107</v>
      </c>
    </row>
    <row r="1686" spans="1:7" hidden="1" x14ac:dyDescent="0.25">
      <c r="A1686" t="s">
        <v>289</v>
      </c>
      <c r="B1686" t="s">
        <v>86</v>
      </c>
      <c r="C1686" t="s">
        <v>200</v>
      </c>
      <c r="F1686" t="s">
        <v>5322</v>
      </c>
      <c r="G1686" t="s">
        <v>1107</v>
      </c>
    </row>
    <row r="1687" spans="1:7" hidden="1" x14ac:dyDescent="0.25">
      <c r="A1687" t="s">
        <v>2004</v>
      </c>
      <c r="B1687" t="s">
        <v>8</v>
      </c>
      <c r="F1687" t="s">
        <v>5325</v>
      </c>
      <c r="G1687" t="s">
        <v>796</v>
      </c>
    </row>
    <row r="1688" spans="1:7" hidden="1" x14ac:dyDescent="0.25">
      <c r="A1688" t="s">
        <v>4</v>
      </c>
      <c r="B1688" t="s">
        <v>9</v>
      </c>
      <c r="F1688" t="s">
        <v>5328</v>
      </c>
      <c r="G1688" t="s">
        <v>1100</v>
      </c>
    </row>
    <row r="1689" spans="1:7" hidden="1" x14ac:dyDescent="0.25">
      <c r="A1689" t="s">
        <v>4</v>
      </c>
      <c r="B1689" t="s">
        <v>9</v>
      </c>
      <c r="E1689" t="s">
        <v>2936</v>
      </c>
      <c r="F1689" t="s">
        <v>5331</v>
      </c>
      <c r="G1689" t="s">
        <v>1100</v>
      </c>
    </row>
    <row r="1690" spans="1:7" hidden="1" x14ac:dyDescent="0.25">
      <c r="A1690" t="s">
        <v>4</v>
      </c>
      <c r="B1690" t="s">
        <v>9</v>
      </c>
      <c r="E1690" t="s">
        <v>2936</v>
      </c>
      <c r="F1690" t="s">
        <v>5334</v>
      </c>
      <c r="G1690" t="s">
        <v>1100</v>
      </c>
    </row>
    <row r="1691" spans="1:7" hidden="1" x14ac:dyDescent="0.25">
      <c r="A1691" t="s">
        <v>5136</v>
      </c>
      <c r="F1691" t="s">
        <v>5337</v>
      </c>
      <c r="G1691" t="s">
        <v>1100</v>
      </c>
    </row>
    <row r="1692" spans="1:7" hidden="1" x14ac:dyDescent="0.25">
      <c r="A1692" t="s">
        <v>4</v>
      </c>
      <c r="B1692" t="s">
        <v>53</v>
      </c>
      <c r="F1692" t="s">
        <v>5340</v>
      </c>
      <c r="G1692" t="s">
        <v>1100</v>
      </c>
    </row>
    <row r="1693" spans="1:7" hidden="1" x14ac:dyDescent="0.25">
      <c r="A1693" t="s">
        <v>1091</v>
      </c>
      <c r="B1693" t="s">
        <v>53</v>
      </c>
      <c r="F1693" t="s">
        <v>5343</v>
      </c>
      <c r="G1693" t="s">
        <v>1100</v>
      </c>
    </row>
    <row r="1694" spans="1:7" hidden="1" x14ac:dyDescent="0.25">
      <c r="A1694" t="s">
        <v>1091</v>
      </c>
      <c r="B1694" t="s">
        <v>58</v>
      </c>
      <c r="F1694" t="s">
        <v>5346</v>
      </c>
      <c r="G1694" t="s">
        <v>1100</v>
      </c>
    </row>
    <row r="1695" spans="1:7" hidden="1" x14ac:dyDescent="0.25">
      <c r="A1695" t="s">
        <v>4</v>
      </c>
      <c r="B1695" t="s">
        <v>9</v>
      </c>
      <c r="E1695" t="s">
        <v>2936</v>
      </c>
      <c r="F1695" t="s">
        <v>5349</v>
      </c>
      <c r="G1695" t="s">
        <v>1100</v>
      </c>
    </row>
    <row r="1696" spans="1:7" hidden="1" x14ac:dyDescent="0.25">
      <c r="A1696" t="s">
        <v>4</v>
      </c>
      <c r="B1696" t="s">
        <v>9</v>
      </c>
      <c r="E1696" t="s">
        <v>2936</v>
      </c>
      <c r="F1696" t="s">
        <v>5352</v>
      </c>
      <c r="G1696" t="s">
        <v>1100</v>
      </c>
    </row>
    <row r="1697" spans="1:7" hidden="1" x14ac:dyDescent="0.25">
      <c r="A1697" t="s">
        <v>4</v>
      </c>
      <c r="B1697" t="s">
        <v>9</v>
      </c>
      <c r="E1697" t="s">
        <v>2936</v>
      </c>
      <c r="F1697" t="s">
        <v>5355</v>
      </c>
      <c r="G1697" t="s">
        <v>1100</v>
      </c>
    </row>
    <row r="1698" spans="1:7" hidden="1" x14ac:dyDescent="0.25">
      <c r="A1698" t="s">
        <v>5476</v>
      </c>
      <c r="B1698" t="s">
        <v>86</v>
      </c>
      <c r="C1698" t="s">
        <v>58</v>
      </c>
      <c r="F1698" t="s">
        <v>5358</v>
      </c>
      <c r="G1698" t="s">
        <v>1100</v>
      </c>
    </row>
    <row r="1699" spans="1:7" hidden="1" x14ac:dyDescent="0.25">
      <c r="A1699" t="s">
        <v>5476</v>
      </c>
      <c r="B1699" t="s">
        <v>86</v>
      </c>
      <c r="C1699" t="s">
        <v>58</v>
      </c>
      <c r="F1699" t="s">
        <v>5361</v>
      </c>
      <c r="G1699" t="s">
        <v>1100</v>
      </c>
    </row>
    <row r="1700" spans="1:7" hidden="1" x14ac:dyDescent="0.25">
      <c r="A1700" t="s">
        <v>4</v>
      </c>
      <c r="B1700" t="s">
        <v>5477</v>
      </c>
      <c r="F1700" t="s">
        <v>5364</v>
      </c>
      <c r="G1700" t="s">
        <v>1100</v>
      </c>
    </row>
    <row r="1701" spans="1:7" hidden="1" x14ac:dyDescent="0.25">
      <c r="A1701" t="s">
        <v>4</v>
      </c>
      <c r="B1701" t="s">
        <v>9</v>
      </c>
      <c r="F1701" t="s">
        <v>5367</v>
      </c>
      <c r="G1701" t="s">
        <v>1100</v>
      </c>
    </row>
    <row r="1702" spans="1:7" hidden="1" x14ac:dyDescent="0.25">
      <c r="A1702" t="s">
        <v>4</v>
      </c>
      <c r="B1702" t="s">
        <v>9</v>
      </c>
      <c r="E1702" t="s">
        <v>2936</v>
      </c>
      <c r="F1702" t="s">
        <v>5370</v>
      </c>
      <c r="G1702" t="s">
        <v>1100</v>
      </c>
    </row>
    <row r="1703" spans="1:7" hidden="1" x14ac:dyDescent="0.25">
      <c r="A1703" t="s">
        <v>4</v>
      </c>
      <c r="B1703" t="s">
        <v>9</v>
      </c>
      <c r="E1703" t="s">
        <v>2936</v>
      </c>
      <c r="F1703" t="s">
        <v>5373</v>
      </c>
      <c r="G1703" t="s">
        <v>1100</v>
      </c>
    </row>
    <row r="1704" spans="1:7" hidden="1" x14ac:dyDescent="0.25">
      <c r="A1704" t="s">
        <v>5476</v>
      </c>
      <c r="B1704" t="s">
        <v>86</v>
      </c>
      <c r="C1704" t="s">
        <v>58</v>
      </c>
      <c r="F1704" t="s">
        <v>5376</v>
      </c>
      <c r="G1704" t="s">
        <v>1100</v>
      </c>
    </row>
    <row r="1705" spans="1:7" hidden="1" x14ac:dyDescent="0.25">
      <c r="A1705" t="s">
        <v>4</v>
      </c>
      <c r="B1705" t="s">
        <v>9</v>
      </c>
      <c r="F1705" t="s">
        <v>5379</v>
      </c>
      <c r="G1705" t="s">
        <v>1100</v>
      </c>
    </row>
    <row r="1706" spans="1:7" hidden="1" x14ac:dyDescent="0.25">
      <c r="A1706" t="s">
        <v>4</v>
      </c>
      <c r="B1706" t="s">
        <v>9</v>
      </c>
      <c r="F1706" t="s">
        <v>5382</v>
      </c>
      <c r="G1706" t="s">
        <v>1100</v>
      </c>
    </row>
    <row r="1707" spans="1:7" hidden="1" x14ac:dyDescent="0.25">
      <c r="A1707" t="s">
        <v>1094</v>
      </c>
      <c r="B1707" t="s">
        <v>86</v>
      </c>
      <c r="C1707" t="s">
        <v>58</v>
      </c>
      <c r="E1707" t="s">
        <v>1620</v>
      </c>
      <c r="F1707" t="s">
        <v>5453</v>
      </c>
      <c r="G1707" t="s">
        <v>1817</v>
      </c>
    </row>
    <row r="1708" spans="1:7" hidden="1" x14ac:dyDescent="0.25">
      <c r="A1708" t="s">
        <v>1094</v>
      </c>
      <c r="B1708" t="s">
        <v>86</v>
      </c>
      <c r="C1708" t="s">
        <v>58</v>
      </c>
      <c r="E1708" t="s">
        <v>1620</v>
      </c>
      <c r="F1708" t="s">
        <v>5456</v>
      </c>
      <c r="G1708" t="s">
        <v>1817</v>
      </c>
    </row>
    <row r="1709" spans="1:7" hidden="1" x14ac:dyDescent="0.25">
      <c r="A1709" t="s">
        <v>4</v>
      </c>
      <c r="B1709" t="s">
        <v>5478</v>
      </c>
      <c r="F1709" t="s">
        <v>5459</v>
      </c>
      <c r="G1709" t="s">
        <v>1934</v>
      </c>
    </row>
    <row r="1710" spans="1:7" hidden="1" x14ac:dyDescent="0.25">
      <c r="A1710" t="s">
        <v>4</v>
      </c>
      <c r="B1710" t="s">
        <v>8</v>
      </c>
      <c r="F1710" t="s">
        <v>5462</v>
      </c>
      <c r="G1710" t="s">
        <v>1934</v>
      </c>
    </row>
    <row r="1711" spans="1:7" hidden="1" x14ac:dyDescent="0.25">
      <c r="A1711" t="s">
        <v>4</v>
      </c>
      <c r="B1711" t="s">
        <v>5478</v>
      </c>
      <c r="E1711" t="s">
        <v>5479</v>
      </c>
      <c r="F1711" t="s">
        <v>5465</v>
      </c>
      <c r="G1711" t="s">
        <v>1934</v>
      </c>
    </row>
    <row r="1712" spans="1:7" x14ac:dyDescent="0.25">
      <c r="A1712" t="s">
        <v>159</v>
      </c>
      <c r="B1712" t="s">
        <v>5480</v>
      </c>
      <c r="C1712" t="s">
        <v>4240</v>
      </c>
      <c r="F1712" t="s">
        <v>5468</v>
      </c>
      <c r="G1712" t="s">
        <v>1997</v>
      </c>
    </row>
    <row r="1713" spans="1:7" x14ac:dyDescent="0.25">
      <c r="A1713" t="s">
        <v>4</v>
      </c>
      <c r="B1713" t="s">
        <v>8</v>
      </c>
      <c r="F1713" t="s">
        <v>5471</v>
      </c>
      <c r="G1713" t="s">
        <v>1997</v>
      </c>
    </row>
    <row r="1714" spans="1:7" hidden="1" x14ac:dyDescent="0.25">
      <c r="A1714" t="s">
        <v>64</v>
      </c>
      <c r="B1714" t="s">
        <v>4193</v>
      </c>
      <c r="C1714" t="s">
        <v>5076</v>
      </c>
      <c r="F1714" t="s">
        <v>5481</v>
      </c>
      <c r="G1714" t="s">
        <v>1102</v>
      </c>
    </row>
    <row r="1715" spans="1:7" hidden="1" x14ac:dyDescent="0.25">
      <c r="A1715" t="s">
        <v>85</v>
      </c>
      <c r="B1715" t="s">
        <v>4193</v>
      </c>
      <c r="C1715" t="s">
        <v>5076</v>
      </c>
      <c r="F1715" t="s">
        <v>5484</v>
      </c>
      <c r="G1715" t="s">
        <v>1102</v>
      </c>
    </row>
    <row r="1716" spans="1:7" hidden="1" x14ac:dyDescent="0.25">
      <c r="A1716" t="s">
        <v>91</v>
      </c>
      <c r="B1716" t="s">
        <v>5505</v>
      </c>
      <c r="C1716" t="s">
        <v>51</v>
      </c>
      <c r="F1716" t="s">
        <v>5487</v>
      </c>
      <c r="G1716" t="s">
        <v>1102</v>
      </c>
    </row>
    <row r="1717" spans="1:7" hidden="1" x14ac:dyDescent="0.25">
      <c r="A1717" t="s">
        <v>3019</v>
      </c>
      <c r="B1717" t="s">
        <v>5505</v>
      </c>
      <c r="C1717" t="s">
        <v>51</v>
      </c>
      <c r="F1717" t="s">
        <v>5490</v>
      </c>
      <c r="G1717" t="s">
        <v>1102</v>
      </c>
    </row>
    <row r="1718" spans="1:7" hidden="1" x14ac:dyDescent="0.25">
      <c r="A1718" t="s">
        <v>64</v>
      </c>
      <c r="B1718" t="s">
        <v>4193</v>
      </c>
      <c r="C1718" t="s">
        <v>5076</v>
      </c>
      <c r="F1718" t="s">
        <v>5493</v>
      </c>
      <c r="G1718" t="s">
        <v>1102</v>
      </c>
    </row>
    <row r="1719" spans="1:7" hidden="1" x14ac:dyDescent="0.25">
      <c r="A1719" t="s">
        <v>85</v>
      </c>
      <c r="B1719" t="s">
        <v>4193</v>
      </c>
      <c r="C1719" t="s">
        <v>5076</v>
      </c>
      <c r="F1719" t="s">
        <v>5496</v>
      </c>
      <c r="G1719" t="s">
        <v>1102</v>
      </c>
    </row>
    <row r="1720" spans="1:7" hidden="1" x14ac:dyDescent="0.25">
      <c r="A1720" t="s">
        <v>64</v>
      </c>
      <c r="B1720" t="s">
        <v>4193</v>
      </c>
      <c r="C1720" t="s">
        <v>5076</v>
      </c>
      <c r="F1720" t="s">
        <v>5499</v>
      </c>
      <c r="G1720" t="s">
        <v>1102</v>
      </c>
    </row>
    <row r="1721" spans="1:7" hidden="1" x14ac:dyDescent="0.25">
      <c r="A1721" t="s">
        <v>85</v>
      </c>
      <c r="B1721" t="s">
        <v>4193</v>
      </c>
      <c r="C1721" t="s">
        <v>5076</v>
      </c>
      <c r="F1721" t="s">
        <v>5502</v>
      </c>
      <c r="G1721" t="s">
        <v>1102</v>
      </c>
    </row>
    <row r="1722" spans="1:7" hidden="1" x14ac:dyDescent="0.25">
      <c r="A1722" t="s">
        <v>2004</v>
      </c>
      <c r="B1722" t="s">
        <v>8</v>
      </c>
      <c r="F1722" t="s">
        <v>5842</v>
      </c>
      <c r="G1722" t="s">
        <v>1102</v>
      </c>
    </row>
    <row r="1723" spans="1:7" hidden="1" x14ac:dyDescent="0.25">
      <c r="A1723" t="s">
        <v>91</v>
      </c>
      <c r="B1723" t="s">
        <v>55</v>
      </c>
      <c r="C1723" t="s">
        <v>51</v>
      </c>
      <c r="F1723" t="s">
        <v>5845</v>
      </c>
      <c r="G1723" t="s">
        <v>1102</v>
      </c>
    </row>
    <row r="1724" spans="1:7" hidden="1" x14ac:dyDescent="0.25">
      <c r="A1724" t="s">
        <v>62</v>
      </c>
      <c r="B1724" t="s">
        <v>6169</v>
      </c>
      <c r="C1724" t="s">
        <v>58</v>
      </c>
      <c r="E1724" t="s">
        <v>6166</v>
      </c>
      <c r="F1724" t="s">
        <v>6025</v>
      </c>
      <c r="G1724" t="s">
        <v>1102</v>
      </c>
    </row>
    <row r="1725" spans="1:7" hidden="1" x14ac:dyDescent="0.25">
      <c r="A1725" t="s">
        <v>91</v>
      </c>
      <c r="B1725" t="s">
        <v>6168</v>
      </c>
      <c r="C1725" t="s">
        <v>51</v>
      </c>
      <c r="F1725" t="s">
        <v>6028</v>
      </c>
      <c r="G1725" t="s">
        <v>1102</v>
      </c>
    </row>
    <row r="1726" spans="1:7" hidden="1" x14ac:dyDescent="0.25">
      <c r="A1726" t="s">
        <v>91</v>
      </c>
      <c r="B1726" t="s">
        <v>6167</v>
      </c>
      <c r="C1726" t="s">
        <v>51</v>
      </c>
      <c r="F1726" t="s">
        <v>6031</v>
      </c>
      <c r="G1726" t="s">
        <v>1102</v>
      </c>
    </row>
    <row r="1727" spans="1:7" hidden="1" x14ac:dyDescent="0.25">
      <c r="A1727" t="s">
        <v>62</v>
      </c>
      <c r="B1727" t="s">
        <v>6168</v>
      </c>
      <c r="C1727" t="s">
        <v>51</v>
      </c>
      <c r="F1727" t="s">
        <v>6034</v>
      </c>
      <c r="G1727" t="s">
        <v>1102</v>
      </c>
    </row>
    <row r="1728" spans="1:7" hidden="1" x14ac:dyDescent="0.25">
      <c r="A1728" t="s">
        <v>3019</v>
      </c>
      <c r="B1728" t="s">
        <v>6167</v>
      </c>
      <c r="C1728" t="s">
        <v>51</v>
      </c>
      <c r="F1728" t="s">
        <v>6037</v>
      </c>
      <c r="G1728" t="s">
        <v>1102</v>
      </c>
    </row>
    <row r="1729" spans="1:7" hidden="1" x14ac:dyDescent="0.25">
      <c r="A1729" t="s">
        <v>91</v>
      </c>
      <c r="B1729" t="s">
        <v>6169</v>
      </c>
      <c r="C1729" t="s">
        <v>58</v>
      </c>
      <c r="F1729" t="s">
        <v>6040</v>
      </c>
      <c r="G1729" t="s">
        <v>1102</v>
      </c>
    </row>
    <row r="1730" spans="1:7" hidden="1" x14ac:dyDescent="0.25">
      <c r="A1730" t="s">
        <v>62</v>
      </c>
      <c r="B1730" t="s">
        <v>6169</v>
      </c>
      <c r="C1730" t="s">
        <v>6170</v>
      </c>
      <c r="E1730" t="s">
        <v>6171</v>
      </c>
      <c r="F1730" t="s">
        <v>6043</v>
      </c>
      <c r="G1730" t="s">
        <v>1102</v>
      </c>
    </row>
    <row r="1731" spans="1:7" hidden="1" x14ac:dyDescent="0.25">
      <c r="A1731" t="s">
        <v>4198</v>
      </c>
      <c r="B1731" t="s">
        <v>86</v>
      </c>
      <c r="C1731" t="s">
        <v>6172</v>
      </c>
      <c r="F1731" t="s">
        <v>5506</v>
      </c>
      <c r="G1731" t="s">
        <v>1103</v>
      </c>
    </row>
    <row r="1732" spans="1:7" hidden="1" x14ac:dyDescent="0.25">
      <c r="A1732" t="s">
        <v>1606</v>
      </c>
      <c r="B1732" t="s">
        <v>4193</v>
      </c>
      <c r="C1732" t="s">
        <v>5076</v>
      </c>
      <c r="F1732" t="s">
        <v>5509</v>
      </c>
      <c r="G1732" t="s">
        <v>1103</v>
      </c>
    </row>
    <row r="1733" spans="1:7" hidden="1" x14ac:dyDescent="0.25">
      <c r="A1733" t="s">
        <v>6173</v>
      </c>
      <c r="B1733" t="s">
        <v>4193</v>
      </c>
      <c r="C1733" t="s">
        <v>5076</v>
      </c>
      <c r="E1733" t="s">
        <v>5474</v>
      </c>
      <c r="F1733" t="s">
        <v>5512</v>
      </c>
      <c r="G1733" t="s">
        <v>1103</v>
      </c>
    </row>
    <row r="1734" spans="1:7" hidden="1" x14ac:dyDescent="0.25">
      <c r="A1734" t="s">
        <v>1606</v>
      </c>
      <c r="B1734" t="s">
        <v>4193</v>
      </c>
      <c r="C1734" t="s">
        <v>5076</v>
      </c>
      <c r="F1734" t="s">
        <v>5515</v>
      </c>
      <c r="G1734" t="s">
        <v>1103</v>
      </c>
    </row>
    <row r="1735" spans="1:7" hidden="1" x14ac:dyDescent="0.25">
      <c r="A1735" t="s">
        <v>6173</v>
      </c>
      <c r="B1735" t="s">
        <v>4193</v>
      </c>
      <c r="C1735" t="s">
        <v>5076</v>
      </c>
      <c r="E1735" t="s">
        <v>5474</v>
      </c>
      <c r="F1735" t="s">
        <v>5518</v>
      </c>
      <c r="G1735" t="s">
        <v>1103</v>
      </c>
    </row>
    <row r="1736" spans="1:7" hidden="1" x14ac:dyDescent="0.25">
      <c r="A1736" t="s">
        <v>4198</v>
      </c>
      <c r="B1736" t="s">
        <v>86</v>
      </c>
      <c r="C1736" t="s">
        <v>2944</v>
      </c>
      <c r="F1736" t="s">
        <v>5521</v>
      </c>
      <c r="G1736" t="s">
        <v>1103</v>
      </c>
    </row>
    <row r="1737" spans="1:7" hidden="1" x14ac:dyDescent="0.25">
      <c r="A1737" t="s">
        <v>4198</v>
      </c>
      <c r="B1737" t="s">
        <v>86</v>
      </c>
      <c r="C1737" t="s">
        <v>2944</v>
      </c>
      <c r="E1737" t="s">
        <v>2936</v>
      </c>
      <c r="F1737" t="s">
        <v>5524</v>
      </c>
      <c r="G1737" t="s">
        <v>1103</v>
      </c>
    </row>
    <row r="1738" spans="1:7" hidden="1" x14ac:dyDescent="0.25">
      <c r="A1738" t="s">
        <v>4198</v>
      </c>
      <c r="B1738" t="s">
        <v>86</v>
      </c>
      <c r="C1738" t="s">
        <v>528</v>
      </c>
      <c r="F1738" t="s">
        <v>5527</v>
      </c>
      <c r="G1738" t="s">
        <v>1103</v>
      </c>
    </row>
    <row r="1739" spans="1:7" hidden="1" x14ac:dyDescent="0.25">
      <c r="A1739" t="s">
        <v>4198</v>
      </c>
      <c r="B1739" t="s">
        <v>86</v>
      </c>
      <c r="C1739" t="s">
        <v>528</v>
      </c>
      <c r="E1739" t="s">
        <v>2936</v>
      </c>
      <c r="F1739" t="s">
        <v>5530</v>
      </c>
      <c r="G1739" t="s">
        <v>1103</v>
      </c>
    </row>
    <row r="1740" spans="1:7" hidden="1" x14ac:dyDescent="0.25">
      <c r="A1740" t="s">
        <v>1606</v>
      </c>
      <c r="B1740" t="s">
        <v>4193</v>
      </c>
      <c r="C1740" t="s">
        <v>5076</v>
      </c>
      <c r="F1740" t="s">
        <v>5533</v>
      </c>
      <c r="G1740" t="s">
        <v>1103</v>
      </c>
    </row>
    <row r="1741" spans="1:7" hidden="1" x14ac:dyDescent="0.25">
      <c r="A1741" t="s">
        <v>6173</v>
      </c>
      <c r="B1741" t="s">
        <v>4193</v>
      </c>
      <c r="C1741" t="s">
        <v>5076</v>
      </c>
      <c r="E1741" t="s">
        <v>5474</v>
      </c>
      <c r="F1741" t="s">
        <v>5536</v>
      </c>
      <c r="G1741" t="s">
        <v>1103</v>
      </c>
    </row>
    <row r="1742" spans="1:7" hidden="1" x14ac:dyDescent="0.25">
      <c r="A1742" t="s">
        <v>4</v>
      </c>
      <c r="B1742" t="s">
        <v>8</v>
      </c>
      <c r="F1742" t="s">
        <v>5803</v>
      </c>
      <c r="G1742" t="s">
        <v>1103</v>
      </c>
    </row>
    <row r="1743" spans="1:7" hidden="1" x14ac:dyDescent="0.25">
      <c r="A1743" t="s">
        <v>4198</v>
      </c>
      <c r="B1743" t="s">
        <v>86</v>
      </c>
      <c r="C1743" t="s">
        <v>6174</v>
      </c>
      <c r="F1743" t="s">
        <v>5806</v>
      </c>
      <c r="G1743" t="s">
        <v>1103</v>
      </c>
    </row>
    <row r="1744" spans="1:7" hidden="1" x14ac:dyDescent="0.25">
      <c r="A1744" t="s">
        <v>158</v>
      </c>
      <c r="B1744" t="s">
        <v>86</v>
      </c>
      <c r="C1744" t="s">
        <v>200</v>
      </c>
      <c r="D1744">
        <v>3</v>
      </c>
      <c r="E1744" t="s">
        <v>3075</v>
      </c>
      <c r="F1744" t="s">
        <v>5809</v>
      </c>
      <c r="G1744" t="s">
        <v>1103</v>
      </c>
    </row>
    <row r="1745" spans="1:7" hidden="1" x14ac:dyDescent="0.25">
      <c r="A1745" t="s">
        <v>158</v>
      </c>
      <c r="B1745" t="s">
        <v>86</v>
      </c>
      <c r="C1745" t="s">
        <v>200</v>
      </c>
      <c r="D1745">
        <v>4</v>
      </c>
      <c r="E1745" t="s">
        <v>3075</v>
      </c>
      <c r="F1745" t="s">
        <v>5812</v>
      </c>
      <c r="G1745" t="s">
        <v>1103</v>
      </c>
    </row>
    <row r="1746" spans="1:7" hidden="1" x14ac:dyDescent="0.25">
      <c r="A1746" t="s">
        <v>158</v>
      </c>
      <c r="B1746" t="s">
        <v>86</v>
      </c>
      <c r="C1746" t="s">
        <v>60</v>
      </c>
      <c r="D1746">
        <v>2</v>
      </c>
      <c r="E1746" t="s">
        <v>3075</v>
      </c>
      <c r="F1746" t="s">
        <v>5815</v>
      </c>
      <c r="G1746" t="s">
        <v>1103</v>
      </c>
    </row>
    <row r="1747" spans="1:7" hidden="1" x14ac:dyDescent="0.25">
      <c r="A1747" t="s">
        <v>158</v>
      </c>
      <c r="B1747" t="s">
        <v>86</v>
      </c>
      <c r="C1747" t="s">
        <v>200</v>
      </c>
      <c r="D1747">
        <v>2</v>
      </c>
      <c r="E1747" t="s">
        <v>3075</v>
      </c>
      <c r="F1747" t="s">
        <v>5818</v>
      </c>
      <c r="G1747" t="s">
        <v>1103</v>
      </c>
    </row>
    <row r="1748" spans="1:7" hidden="1" x14ac:dyDescent="0.25">
      <c r="A1748" t="s">
        <v>158</v>
      </c>
      <c r="B1748" t="s">
        <v>86</v>
      </c>
      <c r="C1748" t="s">
        <v>60</v>
      </c>
      <c r="D1748">
        <v>3</v>
      </c>
      <c r="E1748" t="s">
        <v>3075</v>
      </c>
      <c r="F1748" t="s">
        <v>5821</v>
      </c>
      <c r="G1748" t="s">
        <v>1103</v>
      </c>
    </row>
    <row r="1749" spans="1:7" hidden="1" x14ac:dyDescent="0.25">
      <c r="A1749" t="s">
        <v>158</v>
      </c>
      <c r="B1749" t="s">
        <v>86</v>
      </c>
      <c r="C1749" t="s">
        <v>60</v>
      </c>
      <c r="D1749">
        <v>3</v>
      </c>
      <c r="E1749" t="s">
        <v>3075</v>
      </c>
      <c r="F1749" t="s">
        <v>5824</v>
      </c>
      <c r="G1749" t="s">
        <v>1103</v>
      </c>
    </row>
    <row r="1750" spans="1:7" hidden="1" x14ac:dyDescent="0.25">
      <c r="A1750" t="s">
        <v>158</v>
      </c>
      <c r="B1750" t="s">
        <v>86</v>
      </c>
      <c r="C1750" t="s">
        <v>200</v>
      </c>
      <c r="D1750">
        <v>2</v>
      </c>
      <c r="E1750" t="s">
        <v>3075</v>
      </c>
      <c r="F1750" t="s">
        <v>5827</v>
      </c>
      <c r="G1750" t="s">
        <v>1103</v>
      </c>
    </row>
    <row r="1751" spans="1:7" hidden="1" x14ac:dyDescent="0.25">
      <c r="A1751" t="s">
        <v>2004</v>
      </c>
      <c r="B1751" t="s">
        <v>8</v>
      </c>
      <c r="F1751" t="s">
        <v>6022</v>
      </c>
      <c r="G1751" t="s">
        <v>1103</v>
      </c>
    </row>
    <row r="1752" spans="1:7" hidden="1" x14ac:dyDescent="0.25">
      <c r="A1752" t="s">
        <v>4</v>
      </c>
      <c r="B1752" t="s">
        <v>8</v>
      </c>
      <c r="F1752" t="s">
        <v>5685</v>
      </c>
      <c r="G1752" t="s">
        <v>91</v>
      </c>
    </row>
    <row r="1753" spans="1:7" hidden="1" x14ac:dyDescent="0.25">
      <c r="A1753" t="s">
        <v>4</v>
      </c>
      <c r="B1753" t="s">
        <v>8</v>
      </c>
      <c r="F1753" t="s">
        <v>5688</v>
      </c>
      <c r="G1753" t="s">
        <v>91</v>
      </c>
    </row>
    <row r="1754" spans="1:7" hidden="1" x14ac:dyDescent="0.25">
      <c r="A1754" t="s">
        <v>4</v>
      </c>
      <c r="B1754" t="s">
        <v>8</v>
      </c>
      <c r="F1754" t="s">
        <v>5691</v>
      </c>
      <c r="G1754" t="s">
        <v>91</v>
      </c>
    </row>
    <row r="1755" spans="1:7" hidden="1" x14ac:dyDescent="0.25">
      <c r="A1755" t="s">
        <v>2004</v>
      </c>
      <c r="B1755" t="s">
        <v>8</v>
      </c>
      <c r="F1755" t="s">
        <v>5694</v>
      </c>
      <c r="G1755" t="s">
        <v>91</v>
      </c>
    </row>
    <row r="1756" spans="1:7" hidden="1" x14ac:dyDescent="0.25">
      <c r="A1756" t="s">
        <v>4</v>
      </c>
      <c r="B1756" t="s">
        <v>8</v>
      </c>
      <c r="F1756" t="s">
        <v>5848</v>
      </c>
      <c r="G1756" t="s">
        <v>91</v>
      </c>
    </row>
    <row r="1757" spans="1:7" hidden="1" x14ac:dyDescent="0.25">
      <c r="A1757" t="s">
        <v>2004</v>
      </c>
      <c r="B1757" t="s">
        <v>8</v>
      </c>
      <c r="F1757" t="s">
        <v>5851</v>
      </c>
      <c r="G1757" t="s">
        <v>91</v>
      </c>
    </row>
    <row r="1758" spans="1:7" hidden="1" x14ac:dyDescent="0.25">
      <c r="A1758" t="s">
        <v>2004</v>
      </c>
      <c r="B1758" t="s">
        <v>8</v>
      </c>
      <c r="F1758" t="s">
        <v>5854</v>
      </c>
      <c r="G1758" t="s">
        <v>91</v>
      </c>
    </row>
    <row r="1759" spans="1:7" hidden="1" x14ac:dyDescent="0.25">
      <c r="A1759" t="s">
        <v>4</v>
      </c>
      <c r="B1759" t="s">
        <v>8</v>
      </c>
      <c r="F1759" t="s">
        <v>6067</v>
      </c>
      <c r="G1759" t="s">
        <v>91</v>
      </c>
    </row>
    <row r="1760" spans="1:7" hidden="1" x14ac:dyDescent="0.25">
      <c r="A1760" t="s">
        <v>4</v>
      </c>
      <c r="B1760" t="s">
        <v>8</v>
      </c>
      <c r="F1760" t="s">
        <v>6070</v>
      </c>
      <c r="G1760" t="s">
        <v>91</v>
      </c>
    </row>
    <row r="1761" spans="1:7" hidden="1" x14ac:dyDescent="0.25">
      <c r="A1761" t="s">
        <v>4</v>
      </c>
      <c r="B1761" t="s">
        <v>8</v>
      </c>
      <c r="F1761" t="s">
        <v>6073</v>
      </c>
      <c r="G1761" t="s">
        <v>91</v>
      </c>
    </row>
    <row r="1762" spans="1:7" hidden="1" x14ac:dyDescent="0.25">
      <c r="A1762" t="s">
        <v>290</v>
      </c>
      <c r="B1762" t="s">
        <v>5505</v>
      </c>
      <c r="C1762" t="s">
        <v>6175</v>
      </c>
      <c r="F1762" t="s">
        <v>5697</v>
      </c>
      <c r="G1762" t="s">
        <v>1104</v>
      </c>
    </row>
    <row r="1763" spans="1:7" hidden="1" x14ac:dyDescent="0.25">
      <c r="A1763" t="s">
        <v>290</v>
      </c>
      <c r="B1763" t="s">
        <v>5505</v>
      </c>
      <c r="C1763" t="s">
        <v>6175</v>
      </c>
      <c r="E1763" t="s">
        <v>2936</v>
      </c>
      <c r="F1763" t="s">
        <v>5701</v>
      </c>
      <c r="G1763" t="s">
        <v>1104</v>
      </c>
    </row>
    <row r="1764" spans="1:7" hidden="1" x14ac:dyDescent="0.25">
      <c r="A1764" t="s">
        <v>290</v>
      </c>
      <c r="B1764" t="s">
        <v>5505</v>
      </c>
      <c r="C1764" t="s">
        <v>6175</v>
      </c>
      <c r="E1764" t="s">
        <v>2936</v>
      </c>
      <c r="F1764" t="s">
        <v>5704</v>
      </c>
      <c r="G1764" t="s">
        <v>1104</v>
      </c>
    </row>
    <row r="1765" spans="1:7" hidden="1" x14ac:dyDescent="0.25">
      <c r="A1765" t="s">
        <v>2004</v>
      </c>
      <c r="B1765" t="s">
        <v>8</v>
      </c>
      <c r="F1765" t="s">
        <v>5707</v>
      </c>
      <c r="G1765" t="s">
        <v>1104</v>
      </c>
    </row>
    <row r="1766" spans="1:7" hidden="1" x14ac:dyDescent="0.25">
      <c r="A1766" t="s">
        <v>4</v>
      </c>
      <c r="B1766" t="s">
        <v>8</v>
      </c>
      <c r="F1766" t="s">
        <v>5830</v>
      </c>
      <c r="G1766" t="s">
        <v>1104</v>
      </c>
    </row>
    <row r="1767" spans="1:7" hidden="1" x14ac:dyDescent="0.25">
      <c r="A1767" t="s">
        <v>4</v>
      </c>
      <c r="B1767" t="s">
        <v>8</v>
      </c>
      <c r="F1767" t="s">
        <v>5833</v>
      </c>
      <c r="G1767" t="s">
        <v>1104</v>
      </c>
    </row>
    <row r="1768" spans="1:7" hidden="1" x14ac:dyDescent="0.25">
      <c r="A1768" t="s">
        <v>4</v>
      </c>
      <c r="B1768" t="s">
        <v>8</v>
      </c>
      <c r="F1768" t="s">
        <v>5836</v>
      </c>
      <c r="G1768" t="s">
        <v>1104</v>
      </c>
    </row>
    <row r="1769" spans="1:7" hidden="1" x14ac:dyDescent="0.25">
      <c r="A1769" t="s">
        <v>1606</v>
      </c>
      <c r="B1769" t="s">
        <v>55</v>
      </c>
      <c r="C1769" t="s">
        <v>51</v>
      </c>
      <c r="F1769" t="s">
        <v>5839</v>
      </c>
      <c r="G1769" t="s">
        <v>1104</v>
      </c>
    </row>
    <row r="1770" spans="1:7" hidden="1" x14ac:dyDescent="0.25">
      <c r="A1770" t="s">
        <v>4</v>
      </c>
      <c r="B1770" t="s">
        <v>6169</v>
      </c>
      <c r="C1770" t="s">
        <v>58</v>
      </c>
      <c r="F1770" t="s">
        <v>6046</v>
      </c>
      <c r="G1770" t="s">
        <v>1104</v>
      </c>
    </row>
    <row r="1771" spans="1:7" hidden="1" x14ac:dyDescent="0.25">
      <c r="A1771" t="s">
        <v>4</v>
      </c>
      <c r="B1771" t="s">
        <v>6169</v>
      </c>
      <c r="C1771" t="s">
        <v>58</v>
      </c>
      <c r="E1771" t="s">
        <v>4205</v>
      </c>
      <c r="F1771" t="s">
        <v>6049</v>
      </c>
      <c r="G1771" t="s">
        <v>1104</v>
      </c>
    </row>
    <row r="1772" spans="1:7" hidden="1" x14ac:dyDescent="0.25">
      <c r="A1772" t="s">
        <v>1606</v>
      </c>
      <c r="B1772" t="s">
        <v>6168</v>
      </c>
      <c r="C1772" t="s">
        <v>51</v>
      </c>
      <c r="F1772" t="s">
        <v>6052</v>
      </c>
      <c r="G1772" t="s">
        <v>1104</v>
      </c>
    </row>
    <row r="1773" spans="1:7" hidden="1" x14ac:dyDescent="0.25">
      <c r="A1773" t="s">
        <v>1606</v>
      </c>
      <c r="B1773" t="s">
        <v>6167</v>
      </c>
      <c r="C1773" t="s">
        <v>51</v>
      </c>
      <c r="F1773" t="s">
        <v>6055</v>
      </c>
      <c r="G1773" t="s">
        <v>1104</v>
      </c>
    </row>
    <row r="1774" spans="1:7" hidden="1" x14ac:dyDescent="0.25">
      <c r="A1774" t="s">
        <v>650</v>
      </c>
      <c r="B1774" t="s">
        <v>6168</v>
      </c>
      <c r="C1774" t="s">
        <v>51</v>
      </c>
      <c r="F1774" t="s">
        <v>6058</v>
      </c>
      <c r="G1774" t="s">
        <v>1104</v>
      </c>
    </row>
    <row r="1775" spans="1:7" hidden="1" x14ac:dyDescent="0.25">
      <c r="A1775" t="s">
        <v>650</v>
      </c>
      <c r="B1775" t="s">
        <v>6167</v>
      </c>
      <c r="C1775" t="s">
        <v>51</v>
      </c>
      <c r="F1775" t="s">
        <v>6061</v>
      </c>
      <c r="G1775" t="s">
        <v>1104</v>
      </c>
    </row>
    <row r="1776" spans="1:7" hidden="1" x14ac:dyDescent="0.25">
      <c r="A1776" t="s">
        <v>1606</v>
      </c>
      <c r="B1776" t="s">
        <v>6169</v>
      </c>
      <c r="C1776" t="s">
        <v>58</v>
      </c>
      <c r="F1776" t="s">
        <v>6064</v>
      </c>
      <c r="G1776" t="s">
        <v>1104</v>
      </c>
    </row>
    <row r="1777" spans="1:7" hidden="1" x14ac:dyDescent="0.25">
      <c r="A1777" t="s">
        <v>6176</v>
      </c>
      <c r="B1777" t="s">
        <v>6169</v>
      </c>
      <c r="C1777" t="s">
        <v>58</v>
      </c>
      <c r="F1777" t="s">
        <v>6163</v>
      </c>
      <c r="G1777" t="s">
        <v>1104</v>
      </c>
    </row>
    <row r="1778" spans="1:7" hidden="1" x14ac:dyDescent="0.25">
      <c r="A1778" t="s">
        <v>2004</v>
      </c>
      <c r="B1778" t="s">
        <v>8</v>
      </c>
      <c r="F1778" t="s">
        <v>5710</v>
      </c>
      <c r="G1778" t="s">
        <v>1105</v>
      </c>
    </row>
    <row r="1779" spans="1:7" hidden="1" x14ac:dyDescent="0.25">
      <c r="A1779" t="s">
        <v>4</v>
      </c>
      <c r="B1779" t="s">
        <v>1607</v>
      </c>
      <c r="C1779" t="s">
        <v>6177</v>
      </c>
      <c r="F1779" t="s">
        <v>5713</v>
      </c>
      <c r="G1779" t="s">
        <v>1105</v>
      </c>
    </row>
    <row r="1780" spans="1:7" hidden="1" x14ac:dyDescent="0.25">
      <c r="A1780" t="s">
        <v>2004</v>
      </c>
      <c r="B1780" t="s">
        <v>8</v>
      </c>
      <c r="F1780" t="s">
        <v>5716</v>
      </c>
      <c r="G1780" t="s">
        <v>1105</v>
      </c>
    </row>
    <row r="1781" spans="1:7" hidden="1" x14ac:dyDescent="0.25">
      <c r="A1781" t="s">
        <v>2004</v>
      </c>
      <c r="B1781" t="s">
        <v>8</v>
      </c>
      <c r="F1781" t="s">
        <v>5857</v>
      </c>
      <c r="G1781" t="s">
        <v>1105</v>
      </c>
    </row>
    <row r="1782" spans="1:7" hidden="1" x14ac:dyDescent="0.25">
      <c r="A1782" t="s">
        <v>4</v>
      </c>
      <c r="B1782" t="s">
        <v>55</v>
      </c>
      <c r="C1782" t="s">
        <v>51</v>
      </c>
      <c r="F1782" t="s">
        <v>5860</v>
      </c>
      <c r="G1782" t="s">
        <v>1105</v>
      </c>
    </row>
    <row r="1783" spans="1:7" hidden="1" x14ac:dyDescent="0.25">
      <c r="A1783" t="s">
        <v>650</v>
      </c>
      <c r="B1783" t="s">
        <v>55</v>
      </c>
      <c r="C1783" t="s">
        <v>51</v>
      </c>
      <c r="E1783" t="s">
        <v>6178</v>
      </c>
      <c r="F1783" t="s">
        <v>5863</v>
      </c>
      <c r="G1783" t="s">
        <v>1105</v>
      </c>
    </row>
    <row r="1784" spans="1:7" hidden="1" x14ac:dyDescent="0.25">
      <c r="A1784" t="s">
        <v>4</v>
      </c>
      <c r="B1784" t="s">
        <v>8</v>
      </c>
      <c r="F1784" t="s">
        <v>5866</v>
      </c>
      <c r="G1784" t="s">
        <v>1105</v>
      </c>
    </row>
    <row r="1785" spans="1:7" hidden="1" x14ac:dyDescent="0.25">
      <c r="A1785" t="s">
        <v>2004</v>
      </c>
      <c r="B1785" t="s">
        <v>8</v>
      </c>
      <c r="F1785" t="s">
        <v>6076</v>
      </c>
      <c r="G1785" t="s">
        <v>1105</v>
      </c>
    </row>
    <row r="1786" spans="1:7" hidden="1" x14ac:dyDescent="0.25">
      <c r="A1786" t="s">
        <v>2004</v>
      </c>
      <c r="B1786" t="s">
        <v>8</v>
      </c>
      <c r="F1786" t="s">
        <v>5539</v>
      </c>
      <c r="G1786" t="s">
        <v>1106</v>
      </c>
    </row>
    <row r="1787" spans="1:7" hidden="1" x14ac:dyDescent="0.25">
      <c r="A1787" t="s">
        <v>2004</v>
      </c>
      <c r="B1787" t="s">
        <v>8</v>
      </c>
      <c r="F1787" t="s">
        <v>5542</v>
      </c>
      <c r="G1787" t="s">
        <v>1106</v>
      </c>
    </row>
    <row r="1788" spans="1:7" hidden="1" x14ac:dyDescent="0.25">
      <c r="A1788" t="s">
        <v>2004</v>
      </c>
      <c r="B1788" t="s">
        <v>8</v>
      </c>
      <c r="F1788" t="s">
        <v>5545</v>
      </c>
      <c r="G1788" t="s">
        <v>1106</v>
      </c>
    </row>
    <row r="1789" spans="1:7" hidden="1" x14ac:dyDescent="0.25">
      <c r="A1789" t="s">
        <v>1615</v>
      </c>
      <c r="B1789" t="s">
        <v>86</v>
      </c>
      <c r="C1789" t="s">
        <v>200</v>
      </c>
      <c r="F1789" t="s">
        <v>5869</v>
      </c>
      <c r="G1789" t="s">
        <v>1106</v>
      </c>
    </row>
    <row r="1790" spans="1:7" hidden="1" x14ac:dyDescent="0.25">
      <c r="A1790" t="s">
        <v>1615</v>
      </c>
      <c r="B1790" t="s">
        <v>86</v>
      </c>
      <c r="C1790" t="s">
        <v>200</v>
      </c>
      <c r="F1790" t="s">
        <v>5872</v>
      </c>
      <c r="G1790" t="s">
        <v>1106</v>
      </c>
    </row>
    <row r="1791" spans="1:7" hidden="1" x14ac:dyDescent="0.25">
      <c r="A1791" t="s">
        <v>1615</v>
      </c>
      <c r="B1791" t="s">
        <v>86</v>
      </c>
      <c r="C1791" t="s">
        <v>200</v>
      </c>
      <c r="F1791" t="s">
        <v>5875</v>
      </c>
      <c r="G1791" t="s">
        <v>1106</v>
      </c>
    </row>
    <row r="1792" spans="1:7" hidden="1" x14ac:dyDescent="0.25">
      <c r="A1792" t="s">
        <v>2004</v>
      </c>
      <c r="B1792" t="s">
        <v>8</v>
      </c>
      <c r="F1792" t="s">
        <v>6079</v>
      </c>
      <c r="G1792" t="s">
        <v>1106</v>
      </c>
    </row>
    <row r="1793" spans="1:7" hidden="1" x14ac:dyDescent="0.25">
      <c r="A1793" t="s">
        <v>2004</v>
      </c>
      <c r="B1793" t="s">
        <v>8</v>
      </c>
      <c r="F1793" t="s">
        <v>5548</v>
      </c>
      <c r="G1793" t="s">
        <v>1107</v>
      </c>
    </row>
    <row r="1794" spans="1:7" hidden="1" x14ac:dyDescent="0.25">
      <c r="A1794" t="s">
        <v>2004</v>
      </c>
      <c r="B1794" t="s">
        <v>8</v>
      </c>
      <c r="F1794" t="s">
        <v>5552</v>
      </c>
      <c r="G1794" t="s">
        <v>1107</v>
      </c>
    </row>
    <row r="1795" spans="1:7" hidden="1" x14ac:dyDescent="0.25">
      <c r="A1795" t="s">
        <v>2004</v>
      </c>
      <c r="B1795" t="s">
        <v>8</v>
      </c>
      <c r="F1795" t="s">
        <v>5555</v>
      </c>
      <c r="G1795" t="s">
        <v>1107</v>
      </c>
    </row>
    <row r="1796" spans="1:7" hidden="1" x14ac:dyDescent="0.25">
      <c r="A1796" t="s">
        <v>2004</v>
      </c>
      <c r="B1796" t="s">
        <v>8</v>
      </c>
      <c r="F1796" t="s">
        <v>5719</v>
      </c>
      <c r="G1796" t="s">
        <v>796</v>
      </c>
    </row>
    <row r="1797" spans="1:7" hidden="1" x14ac:dyDescent="0.25">
      <c r="A1797" t="s">
        <v>4</v>
      </c>
      <c r="B1797" t="s">
        <v>9</v>
      </c>
      <c r="F1797" t="s">
        <v>5722</v>
      </c>
      <c r="G1797" t="s">
        <v>796</v>
      </c>
    </row>
    <row r="1798" spans="1:7" hidden="1" x14ac:dyDescent="0.25">
      <c r="A1798" t="s">
        <v>5136</v>
      </c>
      <c r="F1798" t="s">
        <v>5725</v>
      </c>
      <c r="G1798" t="s">
        <v>796</v>
      </c>
    </row>
    <row r="1799" spans="1:7" hidden="1" x14ac:dyDescent="0.25">
      <c r="A1799" t="s">
        <v>5136</v>
      </c>
      <c r="F1799" t="s">
        <v>5728</v>
      </c>
      <c r="G1799" t="s">
        <v>796</v>
      </c>
    </row>
    <row r="1800" spans="1:7" hidden="1" x14ac:dyDescent="0.25">
      <c r="A1800" t="s">
        <v>793</v>
      </c>
      <c r="B1800" t="s">
        <v>531</v>
      </c>
      <c r="F1800" t="s">
        <v>5731</v>
      </c>
      <c r="G1800" t="s">
        <v>796</v>
      </c>
    </row>
    <row r="1801" spans="1:7" hidden="1" x14ac:dyDescent="0.25">
      <c r="A1801" t="s">
        <v>4</v>
      </c>
      <c r="B1801" t="s">
        <v>9</v>
      </c>
      <c r="F1801" t="s">
        <v>5734</v>
      </c>
      <c r="G1801" t="s">
        <v>796</v>
      </c>
    </row>
    <row r="1802" spans="1:7" hidden="1" x14ac:dyDescent="0.25">
      <c r="A1802" t="s">
        <v>4</v>
      </c>
      <c r="B1802" t="s">
        <v>9</v>
      </c>
      <c r="E1802" t="s">
        <v>2936</v>
      </c>
      <c r="F1802" t="s">
        <v>5737</v>
      </c>
      <c r="G1802" t="s">
        <v>796</v>
      </c>
    </row>
    <row r="1803" spans="1:7" hidden="1" x14ac:dyDescent="0.25">
      <c r="A1803" t="s">
        <v>4</v>
      </c>
      <c r="B1803" t="s">
        <v>9</v>
      </c>
      <c r="E1803" t="s">
        <v>2936</v>
      </c>
      <c r="F1803" t="s">
        <v>5740</v>
      </c>
      <c r="G1803" t="s">
        <v>796</v>
      </c>
    </row>
    <row r="1804" spans="1:7" hidden="1" x14ac:dyDescent="0.25">
      <c r="A1804" t="s">
        <v>2004</v>
      </c>
      <c r="B1804" t="s">
        <v>8</v>
      </c>
      <c r="F1804" t="s">
        <v>5743</v>
      </c>
      <c r="G1804" t="s">
        <v>796</v>
      </c>
    </row>
    <row r="1805" spans="1:7" hidden="1" x14ac:dyDescent="0.25">
      <c r="A1805" t="s">
        <v>2004</v>
      </c>
      <c r="B1805" t="s">
        <v>8</v>
      </c>
      <c r="F1805" t="s">
        <v>5878</v>
      </c>
      <c r="G1805" t="s">
        <v>796</v>
      </c>
    </row>
    <row r="1806" spans="1:7" hidden="1" x14ac:dyDescent="0.25">
      <c r="A1806" t="s">
        <v>2004</v>
      </c>
      <c r="B1806" t="s">
        <v>8</v>
      </c>
      <c r="F1806" t="s">
        <v>6082</v>
      </c>
      <c r="G1806" t="s">
        <v>796</v>
      </c>
    </row>
    <row r="1807" spans="1:7" hidden="1" x14ac:dyDescent="0.25">
      <c r="A1807" t="s">
        <v>4</v>
      </c>
      <c r="B1807" t="s">
        <v>9</v>
      </c>
      <c r="F1807" t="s">
        <v>5558</v>
      </c>
      <c r="G1807" t="s">
        <v>1100</v>
      </c>
    </row>
    <row r="1808" spans="1:7" hidden="1" x14ac:dyDescent="0.25">
      <c r="A1808" t="s">
        <v>4</v>
      </c>
      <c r="B1808" t="s">
        <v>86</v>
      </c>
      <c r="C1808" t="s">
        <v>528</v>
      </c>
      <c r="E1808" t="s">
        <v>6179</v>
      </c>
      <c r="F1808" t="s">
        <v>5561</v>
      </c>
      <c r="G1808" t="s">
        <v>1100</v>
      </c>
    </row>
    <row r="1809" spans="1:7" hidden="1" x14ac:dyDescent="0.25">
      <c r="A1809" t="s">
        <v>4</v>
      </c>
      <c r="B1809" t="s">
        <v>9</v>
      </c>
      <c r="E1809" t="s">
        <v>2936</v>
      </c>
      <c r="F1809" t="s">
        <v>5564</v>
      </c>
      <c r="G1809" t="s">
        <v>1100</v>
      </c>
    </row>
    <row r="1810" spans="1:7" hidden="1" x14ac:dyDescent="0.25">
      <c r="A1810" t="s">
        <v>4</v>
      </c>
      <c r="B1810" t="s">
        <v>9</v>
      </c>
      <c r="E1810" t="s">
        <v>2936</v>
      </c>
      <c r="F1810" t="s">
        <v>5567</v>
      </c>
      <c r="G1810" t="s">
        <v>1100</v>
      </c>
    </row>
    <row r="1811" spans="1:7" hidden="1" x14ac:dyDescent="0.25">
      <c r="A1811" t="s">
        <v>4</v>
      </c>
      <c r="B1811" t="s">
        <v>9</v>
      </c>
      <c r="E1811" t="s">
        <v>2936</v>
      </c>
      <c r="F1811" t="s">
        <v>5570</v>
      </c>
      <c r="G1811" t="s">
        <v>1100</v>
      </c>
    </row>
    <row r="1812" spans="1:7" hidden="1" x14ac:dyDescent="0.25">
      <c r="A1812" t="s">
        <v>4</v>
      </c>
      <c r="B1812" t="s">
        <v>9</v>
      </c>
      <c r="E1812" t="s">
        <v>2936</v>
      </c>
      <c r="F1812" t="s">
        <v>5573</v>
      </c>
      <c r="G1812" t="s">
        <v>1100</v>
      </c>
    </row>
    <row r="1813" spans="1:7" hidden="1" x14ac:dyDescent="0.25">
      <c r="A1813" t="s">
        <v>4</v>
      </c>
      <c r="B1813" t="s">
        <v>9</v>
      </c>
      <c r="E1813" t="s">
        <v>2936</v>
      </c>
      <c r="F1813" t="s">
        <v>5576</v>
      </c>
      <c r="G1813" t="s">
        <v>1100</v>
      </c>
    </row>
    <row r="1814" spans="1:7" hidden="1" x14ac:dyDescent="0.25">
      <c r="A1814" t="s">
        <v>4</v>
      </c>
      <c r="B1814" t="s">
        <v>9</v>
      </c>
      <c r="E1814" t="s">
        <v>2936</v>
      </c>
      <c r="F1814" t="s">
        <v>5579</v>
      </c>
      <c r="G1814" t="s">
        <v>1100</v>
      </c>
    </row>
    <row r="1815" spans="1:7" hidden="1" x14ac:dyDescent="0.25">
      <c r="A1815" t="s">
        <v>4</v>
      </c>
      <c r="B1815" t="s">
        <v>9</v>
      </c>
      <c r="E1815" t="s">
        <v>2936</v>
      </c>
      <c r="F1815" t="s">
        <v>5582</v>
      </c>
      <c r="G1815" t="s">
        <v>1100</v>
      </c>
    </row>
    <row r="1816" spans="1:7" hidden="1" x14ac:dyDescent="0.25">
      <c r="A1816" t="s">
        <v>4</v>
      </c>
      <c r="B1816" t="s">
        <v>9</v>
      </c>
      <c r="E1816" t="s">
        <v>2936</v>
      </c>
      <c r="F1816" t="s">
        <v>5585</v>
      </c>
      <c r="G1816" t="s">
        <v>1100</v>
      </c>
    </row>
    <row r="1817" spans="1:7" hidden="1" x14ac:dyDescent="0.25">
      <c r="A1817" t="s">
        <v>4</v>
      </c>
      <c r="B1817" t="s">
        <v>9</v>
      </c>
      <c r="E1817" t="s">
        <v>2936</v>
      </c>
      <c r="F1817" t="s">
        <v>5588</v>
      </c>
      <c r="G1817" t="s">
        <v>1100</v>
      </c>
    </row>
    <row r="1818" spans="1:7" hidden="1" x14ac:dyDescent="0.25">
      <c r="A1818" t="s">
        <v>6180</v>
      </c>
      <c r="F1818" t="s">
        <v>5591</v>
      </c>
      <c r="G1818" t="s">
        <v>1100</v>
      </c>
    </row>
    <row r="1819" spans="1:7" hidden="1" x14ac:dyDescent="0.25">
      <c r="A1819" t="s">
        <v>1091</v>
      </c>
      <c r="B1819" t="s">
        <v>531</v>
      </c>
      <c r="C1819" t="s">
        <v>6181</v>
      </c>
      <c r="F1819" t="s">
        <v>5594</v>
      </c>
      <c r="G1819" t="s">
        <v>1100</v>
      </c>
    </row>
    <row r="1820" spans="1:7" hidden="1" x14ac:dyDescent="0.25">
      <c r="A1820" t="s">
        <v>4</v>
      </c>
      <c r="B1820" t="s">
        <v>9</v>
      </c>
      <c r="F1820" t="s">
        <v>5597</v>
      </c>
      <c r="G1820" t="s">
        <v>1100</v>
      </c>
    </row>
    <row r="1821" spans="1:7" hidden="1" x14ac:dyDescent="0.25">
      <c r="A1821" t="s">
        <v>4</v>
      </c>
      <c r="B1821" t="s">
        <v>9</v>
      </c>
      <c r="F1821" t="s">
        <v>5600</v>
      </c>
      <c r="G1821" t="s">
        <v>1100</v>
      </c>
    </row>
    <row r="1822" spans="1:7" hidden="1" x14ac:dyDescent="0.25">
      <c r="A1822" t="s">
        <v>4</v>
      </c>
      <c r="B1822" t="s">
        <v>9</v>
      </c>
      <c r="F1822" t="s">
        <v>5603</v>
      </c>
      <c r="G1822" t="s">
        <v>1100</v>
      </c>
    </row>
    <row r="1823" spans="1:7" hidden="1" x14ac:dyDescent="0.25">
      <c r="A1823" t="s">
        <v>4</v>
      </c>
      <c r="B1823" t="s">
        <v>9</v>
      </c>
      <c r="F1823" t="s">
        <v>5606</v>
      </c>
      <c r="G1823" t="s">
        <v>1100</v>
      </c>
    </row>
    <row r="1824" spans="1:7" hidden="1" x14ac:dyDescent="0.25">
      <c r="A1824" t="s">
        <v>6180</v>
      </c>
      <c r="F1824" t="s">
        <v>5609</v>
      </c>
      <c r="G1824" t="s">
        <v>1100</v>
      </c>
    </row>
    <row r="1825" spans="1:7" hidden="1" x14ac:dyDescent="0.25">
      <c r="A1825" t="s">
        <v>6182</v>
      </c>
      <c r="B1825" t="s">
        <v>531</v>
      </c>
      <c r="C1825" t="s">
        <v>6181</v>
      </c>
      <c r="F1825" t="s">
        <v>5612</v>
      </c>
      <c r="G1825" t="s">
        <v>1100</v>
      </c>
    </row>
    <row r="1826" spans="1:7" hidden="1" x14ac:dyDescent="0.25">
      <c r="A1826" t="s">
        <v>4</v>
      </c>
      <c r="B1826" t="s">
        <v>9</v>
      </c>
      <c r="F1826" t="s">
        <v>5615</v>
      </c>
      <c r="G1826" t="s">
        <v>1100</v>
      </c>
    </row>
    <row r="1827" spans="1:7" hidden="1" x14ac:dyDescent="0.25">
      <c r="A1827" t="s">
        <v>4</v>
      </c>
      <c r="B1827" t="s">
        <v>9</v>
      </c>
      <c r="F1827" t="s">
        <v>5618</v>
      </c>
      <c r="G1827" t="s">
        <v>1100</v>
      </c>
    </row>
    <row r="1828" spans="1:7" hidden="1" x14ac:dyDescent="0.25">
      <c r="A1828" t="s">
        <v>4</v>
      </c>
      <c r="B1828" t="s">
        <v>9</v>
      </c>
      <c r="E1828" t="s">
        <v>2936</v>
      </c>
      <c r="F1828" t="s">
        <v>5621</v>
      </c>
      <c r="G1828" t="s">
        <v>1100</v>
      </c>
    </row>
    <row r="1829" spans="1:7" hidden="1" x14ac:dyDescent="0.25">
      <c r="A1829" t="s">
        <v>4</v>
      </c>
      <c r="B1829" t="s">
        <v>9</v>
      </c>
      <c r="E1829" t="s">
        <v>2936</v>
      </c>
      <c r="F1829" t="s">
        <v>5624</v>
      </c>
      <c r="G1829" t="s">
        <v>1100</v>
      </c>
    </row>
    <row r="1830" spans="1:7" hidden="1" x14ac:dyDescent="0.25">
      <c r="A1830" t="s">
        <v>4</v>
      </c>
      <c r="B1830" t="s">
        <v>9</v>
      </c>
      <c r="E1830" t="s">
        <v>2936</v>
      </c>
      <c r="F1830" t="s">
        <v>5627</v>
      </c>
      <c r="G1830" t="s">
        <v>1100</v>
      </c>
    </row>
    <row r="1831" spans="1:7" hidden="1" x14ac:dyDescent="0.25">
      <c r="A1831" t="s">
        <v>4</v>
      </c>
      <c r="B1831" t="s">
        <v>9</v>
      </c>
      <c r="E1831" t="s">
        <v>2936</v>
      </c>
      <c r="F1831" t="s">
        <v>5630</v>
      </c>
      <c r="G1831" t="s">
        <v>1100</v>
      </c>
    </row>
    <row r="1832" spans="1:7" hidden="1" x14ac:dyDescent="0.25">
      <c r="A1832" t="s">
        <v>4</v>
      </c>
      <c r="B1832" t="s">
        <v>9</v>
      </c>
      <c r="E1832" t="s">
        <v>2936</v>
      </c>
      <c r="F1832" t="s">
        <v>5935</v>
      </c>
      <c r="G1832" t="s">
        <v>1100</v>
      </c>
    </row>
    <row r="1833" spans="1:7" hidden="1" x14ac:dyDescent="0.25">
      <c r="A1833" t="s">
        <v>4</v>
      </c>
      <c r="B1833" t="s">
        <v>9</v>
      </c>
      <c r="E1833" t="s">
        <v>2936</v>
      </c>
      <c r="F1833" t="s">
        <v>5938</v>
      </c>
      <c r="G1833" t="s">
        <v>1100</v>
      </c>
    </row>
    <row r="1834" spans="1:7" hidden="1" x14ac:dyDescent="0.25">
      <c r="A1834" t="s">
        <v>4</v>
      </c>
      <c r="B1834" t="s">
        <v>9</v>
      </c>
      <c r="E1834" t="s">
        <v>2936</v>
      </c>
      <c r="F1834" t="s">
        <v>5941</v>
      </c>
      <c r="G1834" t="s">
        <v>1100</v>
      </c>
    </row>
    <row r="1835" spans="1:7" hidden="1" x14ac:dyDescent="0.25">
      <c r="A1835" t="s">
        <v>4</v>
      </c>
      <c r="B1835" t="s">
        <v>9</v>
      </c>
      <c r="E1835" t="s">
        <v>2936</v>
      </c>
      <c r="F1835" t="s">
        <v>5944</v>
      </c>
      <c r="G1835" t="s">
        <v>1100</v>
      </c>
    </row>
    <row r="1836" spans="1:7" hidden="1" x14ac:dyDescent="0.25">
      <c r="A1836" t="s">
        <v>4</v>
      </c>
      <c r="B1836" t="s">
        <v>9</v>
      </c>
      <c r="E1836" t="s">
        <v>2936</v>
      </c>
      <c r="F1836" t="s">
        <v>5947</v>
      </c>
      <c r="G1836" t="s">
        <v>1100</v>
      </c>
    </row>
    <row r="1837" spans="1:7" hidden="1" x14ac:dyDescent="0.25">
      <c r="A1837" t="s">
        <v>4</v>
      </c>
      <c r="B1837" t="s">
        <v>9</v>
      </c>
      <c r="E1837" t="s">
        <v>2936</v>
      </c>
      <c r="F1837" t="s">
        <v>5950</v>
      </c>
      <c r="G1837" t="s">
        <v>1100</v>
      </c>
    </row>
    <row r="1838" spans="1:7" hidden="1" x14ac:dyDescent="0.25">
      <c r="A1838" t="s">
        <v>4</v>
      </c>
      <c r="B1838" t="s">
        <v>9</v>
      </c>
      <c r="E1838" t="s">
        <v>2936</v>
      </c>
      <c r="F1838" t="s">
        <v>5953</v>
      </c>
      <c r="G1838" t="s">
        <v>1100</v>
      </c>
    </row>
    <row r="1839" spans="1:7" hidden="1" x14ac:dyDescent="0.25">
      <c r="A1839" t="s">
        <v>4</v>
      </c>
      <c r="B1839" t="s">
        <v>9</v>
      </c>
      <c r="E1839" t="s">
        <v>2936</v>
      </c>
      <c r="F1839" t="s">
        <v>5956</v>
      </c>
      <c r="G1839" t="s">
        <v>1100</v>
      </c>
    </row>
    <row r="1840" spans="1:7" hidden="1" x14ac:dyDescent="0.25">
      <c r="A1840" t="s">
        <v>4</v>
      </c>
      <c r="B1840" t="s">
        <v>9</v>
      </c>
      <c r="E1840" t="s">
        <v>2936</v>
      </c>
      <c r="F1840" t="s">
        <v>5959</v>
      </c>
      <c r="G1840" t="s">
        <v>1100</v>
      </c>
    </row>
    <row r="1841" spans="1:7" hidden="1" x14ac:dyDescent="0.25">
      <c r="A1841" t="s">
        <v>1091</v>
      </c>
      <c r="B1841" t="s">
        <v>58</v>
      </c>
      <c r="F1841" t="s">
        <v>5962</v>
      </c>
      <c r="G1841" t="s">
        <v>1100</v>
      </c>
    </row>
    <row r="1842" spans="1:7" hidden="1" x14ac:dyDescent="0.25">
      <c r="A1842" t="s">
        <v>1091</v>
      </c>
      <c r="B1842" t="s">
        <v>6183</v>
      </c>
      <c r="F1842" t="s">
        <v>5965</v>
      </c>
      <c r="G1842" t="s">
        <v>1100</v>
      </c>
    </row>
    <row r="1843" spans="1:7" hidden="1" x14ac:dyDescent="0.25">
      <c r="A1843" t="s">
        <v>4</v>
      </c>
      <c r="B1843" t="s">
        <v>9</v>
      </c>
      <c r="F1843" t="s">
        <v>5968</v>
      </c>
      <c r="G1843" t="s">
        <v>1100</v>
      </c>
    </row>
    <row r="1844" spans="1:7" hidden="1" x14ac:dyDescent="0.25">
      <c r="A1844" t="s">
        <v>4</v>
      </c>
      <c r="B1844" t="s">
        <v>9</v>
      </c>
      <c r="E1844" t="s">
        <v>2936</v>
      </c>
      <c r="F1844" t="s">
        <v>5971</v>
      </c>
      <c r="G1844" t="s">
        <v>1100</v>
      </c>
    </row>
    <row r="1845" spans="1:7" hidden="1" x14ac:dyDescent="0.25">
      <c r="A1845" t="s">
        <v>4</v>
      </c>
      <c r="B1845" t="s">
        <v>9</v>
      </c>
      <c r="E1845" t="s">
        <v>2936</v>
      </c>
      <c r="F1845" t="s">
        <v>5974</v>
      </c>
      <c r="G1845" t="s">
        <v>1100</v>
      </c>
    </row>
    <row r="1846" spans="1:7" hidden="1" x14ac:dyDescent="0.25">
      <c r="A1846" t="s">
        <v>4</v>
      </c>
      <c r="B1846" t="s">
        <v>9</v>
      </c>
      <c r="E1846" t="s">
        <v>2936</v>
      </c>
      <c r="F1846" t="s">
        <v>5977</v>
      </c>
      <c r="G1846" t="s">
        <v>1100</v>
      </c>
    </row>
    <row r="1847" spans="1:7" hidden="1" x14ac:dyDescent="0.25">
      <c r="A1847" t="s">
        <v>4</v>
      </c>
      <c r="B1847" t="s">
        <v>9</v>
      </c>
      <c r="E1847" t="s">
        <v>2936</v>
      </c>
      <c r="F1847" t="s">
        <v>5980</v>
      </c>
      <c r="G1847" t="s">
        <v>1100</v>
      </c>
    </row>
    <row r="1848" spans="1:7" hidden="1" x14ac:dyDescent="0.25">
      <c r="A1848" t="s">
        <v>4</v>
      </c>
      <c r="B1848" t="s">
        <v>9</v>
      </c>
      <c r="E1848" t="s">
        <v>2936</v>
      </c>
      <c r="F1848" t="s">
        <v>5983</v>
      </c>
      <c r="G1848" t="s">
        <v>1100</v>
      </c>
    </row>
    <row r="1849" spans="1:7" hidden="1" x14ac:dyDescent="0.25">
      <c r="A1849" t="s">
        <v>4</v>
      </c>
      <c r="B1849" t="s">
        <v>9</v>
      </c>
      <c r="E1849" t="s">
        <v>2936</v>
      </c>
      <c r="F1849" t="s">
        <v>5986</v>
      </c>
      <c r="G1849" t="s">
        <v>1100</v>
      </c>
    </row>
    <row r="1850" spans="1:7" hidden="1" x14ac:dyDescent="0.25">
      <c r="A1850" t="s">
        <v>4</v>
      </c>
      <c r="B1850" t="s">
        <v>9</v>
      </c>
      <c r="E1850" t="s">
        <v>2936</v>
      </c>
      <c r="F1850" t="s">
        <v>5989</v>
      </c>
      <c r="G1850" t="s">
        <v>1100</v>
      </c>
    </row>
    <row r="1851" spans="1:7" hidden="1" x14ac:dyDescent="0.25">
      <c r="A1851" t="s">
        <v>4</v>
      </c>
      <c r="B1851" t="s">
        <v>9</v>
      </c>
      <c r="E1851" t="s">
        <v>2936</v>
      </c>
      <c r="F1851" t="s">
        <v>6085</v>
      </c>
      <c r="G1851" t="s">
        <v>1100</v>
      </c>
    </row>
    <row r="1852" spans="1:7" hidden="1" x14ac:dyDescent="0.25">
      <c r="A1852" t="s">
        <v>4</v>
      </c>
      <c r="B1852" t="s">
        <v>9</v>
      </c>
      <c r="E1852" t="s">
        <v>2936</v>
      </c>
      <c r="F1852" t="s">
        <v>6088</v>
      </c>
      <c r="G1852" t="s">
        <v>1100</v>
      </c>
    </row>
    <row r="1853" spans="1:7" hidden="1" x14ac:dyDescent="0.25">
      <c r="A1853" t="s">
        <v>4</v>
      </c>
      <c r="B1853" t="s">
        <v>9</v>
      </c>
      <c r="E1853" t="s">
        <v>2936</v>
      </c>
      <c r="F1853" t="s">
        <v>6091</v>
      </c>
      <c r="G1853" t="s">
        <v>1100</v>
      </c>
    </row>
    <row r="1854" spans="1:7" hidden="1" x14ac:dyDescent="0.25">
      <c r="A1854" t="s">
        <v>4</v>
      </c>
      <c r="B1854" t="s">
        <v>9</v>
      </c>
      <c r="F1854" t="s">
        <v>6094</v>
      </c>
      <c r="G1854" t="s">
        <v>1100</v>
      </c>
    </row>
    <row r="1855" spans="1:7" hidden="1" x14ac:dyDescent="0.25">
      <c r="A1855" t="s">
        <v>4</v>
      </c>
      <c r="B1855" t="s">
        <v>8</v>
      </c>
      <c r="F1855" t="s">
        <v>5746</v>
      </c>
      <c r="G1855" s="1" t="s">
        <v>1603</v>
      </c>
    </row>
    <row r="1856" spans="1:7" hidden="1" x14ac:dyDescent="0.25">
      <c r="A1856" t="s">
        <v>4223</v>
      </c>
      <c r="B1856" t="s">
        <v>86</v>
      </c>
      <c r="C1856" t="s">
        <v>6184</v>
      </c>
      <c r="F1856" t="s">
        <v>5749</v>
      </c>
      <c r="G1856" s="1" t="s">
        <v>1603</v>
      </c>
    </row>
    <row r="1857" spans="1:7" hidden="1" x14ac:dyDescent="0.25">
      <c r="A1857" t="s">
        <v>533</v>
      </c>
      <c r="B1857" t="s">
        <v>531</v>
      </c>
      <c r="C1857" t="s">
        <v>58</v>
      </c>
      <c r="E1857" t="s">
        <v>4236</v>
      </c>
      <c r="F1857" t="s">
        <v>5752</v>
      </c>
      <c r="G1857" s="1" t="s">
        <v>1603</v>
      </c>
    </row>
    <row r="1858" spans="1:7" hidden="1" x14ac:dyDescent="0.25">
      <c r="A1858" t="s">
        <v>158</v>
      </c>
      <c r="B1858" t="s">
        <v>86</v>
      </c>
      <c r="C1858" t="s">
        <v>528</v>
      </c>
      <c r="D1858">
        <v>1</v>
      </c>
      <c r="E1858" t="s">
        <v>1605</v>
      </c>
      <c r="F1858" t="s">
        <v>5755</v>
      </c>
      <c r="G1858" s="1" t="s">
        <v>1603</v>
      </c>
    </row>
    <row r="1859" spans="1:7" hidden="1" x14ac:dyDescent="0.25">
      <c r="A1859" t="s">
        <v>158</v>
      </c>
      <c r="B1859" t="s">
        <v>86</v>
      </c>
      <c r="C1859" t="s">
        <v>528</v>
      </c>
      <c r="D1859">
        <v>1</v>
      </c>
      <c r="E1859" t="s">
        <v>1605</v>
      </c>
      <c r="F1859" t="s">
        <v>5758</v>
      </c>
      <c r="G1859" s="1" t="s">
        <v>1603</v>
      </c>
    </row>
    <row r="1860" spans="1:7" hidden="1" x14ac:dyDescent="0.25">
      <c r="A1860" t="s">
        <v>158</v>
      </c>
      <c r="B1860" t="s">
        <v>86</v>
      </c>
      <c r="C1860" t="s">
        <v>528</v>
      </c>
      <c r="D1860">
        <v>1</v>
      </c>
      <c r="E1860" t="s">
        <v>1605</v>
      </c>
      <c r="F1860" t="s">
        <v>5761</v>
      </c>
      <c r="G1860" s="1" t="s">
        <v>1603</v>
      </c>
    </row>
    <row r="1861" spans="1:7" hidden="1" x14ac:dyDescent="0.25">
      <c r="A1861" t="s">
        <v>533</v>
      </c>
      <c r="B1861" t="s">
        <v>531</v>
      </c>
      <c r="C1861" t="s">
        <v>2944</v>
      </c>
      <c r="E1861" t="s">
        <v>1620</v>
      </c>
      <c r="F1861" t="s">
        <v>5764</v>
      </c>
      <c r="G1861" s="1" t="s">
        <v>1603</v>
      </c>
    </row>
    <row r="1862" spans="1:7" hidden="1" x14ac:dyDescent="0.25">
      <c r="A1862" t="s">
        <v>4223</v>
      </c>
      <c r="B1862" t="s">
        <v>86</v>
      </c>
      <c r="C1862" t="s">
        <v>6185</v>
      </c>
      <c r="F1862" t="s">
        <v>5767</v>
      </c>
      <c r="G1862" s="1" t="s">
        <v>1603</v>
      </c>
    </row>
    <row r="1863" spans="1:7" hidden="1" x14ac:dyDescent="0.25">
      <c r="A1863" t="s">
        <v>4223</v>
      </c>
      <c r="B1863" t="s">
        <v>86</v>
      </c>
      <c r="C1863" t="s">
        <v>6185</v>
      </c>
      <c r="E1863" t="s">
        <v>2936</v>
      </c>
      <c r="F1863" t="s">
        <v>5770</v>
      </c>
      <c r="G1863" s="1" t="s">
        <v>1603</v>
      </c>
    </row>
    <row r="1864" spans="1:7" hidden="1" x14ac:dyDescent="0.25">
      <c r="A1864" t="s">
        <v>533</v>
      </c>
      <c r="B1864" t="s">
        <v>531</v>
      </c>
      <c r="C1864" t="s">
        <v>2944</v>
      </c>
      <c r="E1864" t="s">
        <v>1620</v>
      </c>
      <c r="F1864" t="s">
        <v>5773</v>
      </c>
      <c r="G1864" s="1" t="s">
        <v>1603</v>
      </c>
    </row>
    <row r="1865" spans="1:7" hidden="1" x14ac:dyDescent="0.25">
      <c r="A1865" t="s">
        <v>4223</v>
      </c>
      <c r="B1865" t="s">
        <v>86</v>
      </c>
      <c r="C1865" t="s">
        <v>6185</v>
      </c>
      <c r="F1865" t="s">
        <v>5776</v>
      </c>
      <c r="G1865" s="1" t="s">
        <v>1603</v>
      </c>
    </row>
    <row r="1866" spans="1:7" hidden="1" x14ac:dyDescent="0.25">
      <c r="A1866" t="s">
        <v>289</v>
      </c>
      <c r="B1866" t="s">
        <v>86</v>
      </c>
      <c r="C1866" t="s">
        <v>6184</v>
      </c>
      <c r="F1866" t="s">
        <v>5779</v>
      </c>
      <c r="G1866" s="1" t="s">
        <v>1603</v>
      </c>
    </row>
    <row r="1867" spans="1:7" hidden="1" x14ac:dyDescent="0.25">
      <c r="A1867" t="s">
        <v>650</v>
      </c>
      <c r="B1867" t="s">
        <v>86</v>
      </c>
      <c r="C1867" t="s">
        <v>6184</v>
      </c>
      <c r="F1867" t="s">
        <v>5782</v>
      </c>
      <c r="G1867" s="1" t="s">
        <v>1603</v>
      </c>
    </row>
    <row r="1868" spans="1:7" hidden="1" x14ac:dyDescent="0.25">
      <c r="A1868" t="s">
        <v>533</v>
      </c>
      <c r="B1868" t="s">
        <v>531</v>
      </c>
      <c r="C1868" t="s">
        <v>58</v>
      </c>
      <c r="E1868" t="s">
        <v>4236</v>
      </c>
      <c r="F1868" t="s">
        <v>5785</v>
      </c>
      <c r="G1868" s="1" t="s">
        <v>1603</v>
      </c>
    </row>
    <row r="1869" spans="1:7" hidden="1" x14ac:dyDescent="0.25">
      <c r="A1869" t="s">
        <v>158</v>
      </c>
      <c r="B1869" t="s">
        <v>86</v>
      </c>
      <c r="C1869" t="s">
        <v>528</v>
      </c>
      <c r="D1869">
        <v>1</v>
      </c>
      <c r="E1869" t="s">
        <v>1605</v>
      </c>
      <c r="F1869" t="s">
        <v>5788</v>
      </c>
      <c r="G1869" s="1" t="s">
        <v>1603</v>
      </c>
    </row>
    <row r="1870" spans="1:7" hidden="1" x14ac:dyDescent="0.25">
      <c r="A1870" t="s">
        <v>158</v>
      </c>
      <c r="B1870" t="s">
        <v>86</v>
      </c>
      <c r="C1870" t="s">
        <v>528</v>
      </c>
      <c r="D1870">
        <v>1</v>
      </c>
      <c r="E1870" t="s">
        <v>1605</v>
      </c>
      <c r="F1870" t="s">
        <v>5791</v>
      </c>
      <c r="G1870" s="1" t="s">
        <v>1603</v>
      </c>
    </row>
    <row r="1871" spans="1:7" hidden="1" x14ac:dyDescent="0.25">
      <c r="A1871" t="s">
        <v>4</v>
      </c>
      <c r="B1871" t="s">
        <v>8</v>
      </c>
      <c r="F1871" t="s">
        <v>5794</v>
      </c>
      <c r="G1871" s="1" t="s">
        <v>1603</v>
      </c>
    </row>
    <row r="1872" spans="1:7" hidden="1" x14ac:dyDescent="0.25">
      <c r="A1872" t="s">
        <v>4</v>
      </c>
      <c r="B1872" t="s">
        <v>8</v>
      </c>
      <c r="F1872" t="s">
        <v>5797</v>
      </c>
      <c r="G1872" s="1" t="s">
        <v>1603</v>
      </c>
    </row>
    <row r="1873" spans="1:7" hidden="1" x14ac:dyDescent="0.25">
      <c r="A1873" t="s">
        <v>4</v>
      </c>
      <c r="B1873" t="s">
        <v>8</v>
      </c>
      <c r="F1873" t="s">
        <v>5800</v>
      </c>
      <c r="G1873" s="1" t="s">
        <v>1603</v>
      </c>
    </row>
    <row r="1874" spans="1:7" hidden="1" x14ac:dyDescent="0.25">
      <c r="A1874" t="s">
        <v>4</v>
      </c>
      <c r="B1874" t="s">
        <v>8</v>
      </c>
      <c r="F1874" t="s">
        <v>5881</v>
      </c>
      <c r="G1874" s="1" t="s">
        <v>1603</v>
      </c>
    </row>
    <row r="1875" spans="1:7" hidden="1" x14ac:dyDescent="0.25">
      <c r="A1875" t="s">
        <v>4</v>
      </c>
      <c r="B1875" t="s">
        <v>86</v>
      </c>
      <c r="C1875" t="s">
        <v>4240</v>
      </c>
      <c r="E1875" t="s">
        <v>1620</v>
      </c>
      <c r="F1875" t="s">
        <v>5884</v>
      </c>
      <c r="G1875" s="1" t="s">
        <v>1603</v>
      </c>
    </row>
    <row r="1876" spans="1:7" hidden="1" x14ac:dyDescent="0.25">
      <c r="A1876" t="s">
        <v>4223</v>
      </c>
      <c r="B1876" t="s">
        <v>86</v>
      </c>
      <c r="C1876" t="s">
        <v>6174</v>
      </c>
      <c r="F1876" t="s">
        <v>5887</v>
      </c>
      <c r="G1876" s="1" t="s">
        <v>1603</v>
      </c>
    </row>
    <row r="1877" spans="1:7" hidden="1" x14ac:dyDescent="0.25">
      <c r="A1877" t="s">
        <v>4221</v>
      </c>
      <c r="B1877" t="s">
        <v>86</v>
      </c>
      <c r="C1877" t="s">
        <v>58</v>
      </c>
      <c r="E1877" t="s">
        <v>1620</v>
      </c>
      <c r="F1877" t="s">
        <v>5890</v>
      </c>
      <c r="G1877" s="1" t="s">
        <v>1603</v>
      </c>
    </row>
    <row r="1878" spans="1:7" hidden="1" x14ac:dyDescent="0.25">
      <c r="A1878" t="s">
        <v>4221</v>
      </c>
      <c r="B1878" t="s">
        <v>86</v>
      </c>
      <c r="C1878" t="s">
        <v>58</v>
      </c>
      <c r="E1878" t="s">
        <v>2936</v>
      </c>
      <c r="F1878" t="s">
        <v>5893</v>
      </c>
      <c r="G1878" s="1" t="s">
        <v>1603</v>
      </c>
    </row>
    <row r="1879" spans="1:7" hidden="1" x14ac:dyDescent="0.25">
      <c r="A1879" t="s">
        <v>533</v>
      </c>
      <c r="B1879" t="s">
        <v>531</v>
      </c>
      <c r="C1879" t="s">
        <v>1099</v>
      </c>
      <c r="E1879" t="s">
        <v>1620</v>
      </c>
      <c r="F1879" t="s">
        <v>5896</v>
      </c>
      <c r="G1879" s="1" t="s">
        <v>1603</v>
      </c>
    </row>
    <row r="1880" spans="1:7" hidden="1" x14ac:dyDescent="0.25">
      <c r="A1880" t="s">
        <v>533</v>
      </c>
      <c r="B1880" t="s">
        <v>531</v>
      </c>
      <c r="C1880" t="s">
        <v>1099</v>
      </c>
      <c r="E1880" t="s">
        <v>1620</v>
      </c>
      <c r="F1880" t="s">
        <v>5899</v>
      </c>
      <c r="G1880" s="1" t="s">
        <v>1603</v>
      </c>
    </row>
    <row r="1881" spans="1:7" hidden="1" x14ac:dyDescent="0.25">
      <c r="A1881" t="s">
        <v>4223</v>
      </c>
      <c r="B1881" t="s">
        <v>86</v>
      </c>
      <c r="C1881" t="s">
        <v>200</v>
      </c>
      <c r="F1881" t="s">
        <v>5902</v>
      </c>
      <c r="G1881" s="1" t="s">
        <v>1603</v>
      </c>
    </row>
    <row r="1882" spans="1:7" hidden="1" x14ac:dyDescent="0.25">
      <c r="A1882" t="s">
        <v>4223</v>
      </c>
      <c r="B1882" t="s">
        <v>86</v>
      </c>
      <c r="C1882" t="s">
        <v>200</v>
      </c>
      <c r="F1882" t="s">
        <v>5905</v>
      </c>
      <c r="G1882" s="1" t="s">
        <v>1603</v>
      </c>
    </row>
    <row r="1883" spans="1:7" hidden="1" x14ac:dyDescent="0.25">
      <c r="A1883" t="s">
        <v>4223</v>
      </c>
      <c r="B1883" t="s">
        <v>86</v>
      </c>
      <c r="C1883" t="s">
        <v>200</v>
      </c>
      <c r="F1883" t="s">
        <v>5908</v>
      </c>
      <c r="G1883" s="1" t="s">
        <v>1603</v>
      </c>
    </row>
    <row r="1884" spans="1:7" hidden="1" x14ac:dyDescent="0.25">
      <c r="A1884" t="s">
        <v>4223</v>
      </c>
      <c r="B1884" t="s">
        <v>86</v>
      </c>
      <c r="C1884" t="s">
        <v>200</v>
      </c>
      <c r="F1884" t="s">
        <v>5911</v>
      </c>
      <c r="G1884" s="1" t="s">
        <v>1603</v>
      </c>
    </row>
    <row r="1885" spans="1:7" hidden="1" x14ac:dyDescent="0.25">
      <c r="A1885" t="s">
        <v>4223</v>
      </c>
      <c r="B1885" t="s">
        <v>86</v>
      </c>
      <c r="C1885" t="s">
        <v>200</v>
      </c>
      <c r="F1885" t="s">
        <v>5914</v>
      </c>
      <c r="G1885" s="1" t="s">
        <v>1603</v>
      </c>
    </row>
    <row r="1886" spans="1:7" hidden="1" x14ac:dyDescent="0.25">
      <c r="A1886" t="s">
        <v>4223</v>
      </c>
      <c r="B1886" t="s">
        <v>86</v>
      </c>
      <c r="C1886" t="s">
        <v>200</v>
      </c>
      <c r="F1886" t="s">
        <v>5917</v>
      </c>
      <c r="G1886" s="1" t="s">
        <v>1603</v>
      </c>
    </row>
    <row r="1887" spans="1:7" hidden="1" x14ac:dyDescent="0.25">
      <c r="A1887" t="s">
        <v>4223</v>
      </c>
      <c r="B1887" t="s">
        <v>86</v>
      </c>
      <c r="C1887" t="s">
        <v>200</v>
      </c>
      <c r="F1887" t="s">
        <v>5920</v>
      </c>
      <c r="G1887" s="1" t="s">
        <v>1603</v>
      </c>
    </row>
    <row r="1888" spans="1:7" hidden="1" x14ac:dyDescent="0.25">
      <c r="A1888" t="s">
        <v>4</v>
      </c>
      <c r="B1888" t="s">
        <v>8</v>
      </c>
      <c r="F1888" t="s">
        <v>5923</v>
      </c>
      <c r="G1888" s="1" t="s">
        <v>1603</v>
      </c>
    </row>
    <row r="1889" spans="1:7" hidden="1" x14ac:dyDescent="0.25">
      <c r="A1889" t="s">
        <v>4</v>
      </c>
      <c r="B1889" t="s">
        <v>6169</v>
      </c>
      <c r="F1889" t="s">
        <v>6097</v>
      </c>
      <c r="G1889" s="1" t="s">
        <v>1603</v>
      </c>
    </row>
    <row r="1890" spans="1:7" hidden="1" x14ac:dyDescent="0.25">
      <c r="A1890" t="s">
        <v>4</v>
      </c>
      <c r="B1890" t="s">
        <v>8</v>
      </c>
      <c r="F1890" t="s">
        <v>6100</v>
      </c>
      <c r="G1890" s="1" t="s">
        <v>1603</v>
      </c>
    </row>
    <row r="1891" spans="1:7" hidden="1" x14ac:dyDescent="0.25">
      <c r="A1891" t="s">
        <v>4</v>
      </c>
      <c r="B1891" t="s">
        <v>6169</v>
      </c>
      <c r="F1891" t="s">
        <v>6103</v>
      </c>
      <c r="G1891" s="1" t="s">
        <v>1603</v>
      </c>
    </row>
    <row r="1892" spans="1:7" hidden="1" x14ac:dyDescent="0.25">
      <c r="A1892" t="s">
        <v>4</v>
      </c>
      <c r="B1892" t="s">
        <v>8</v>
      </c>
      <c r="F1892" t="s">
        <v>6106</v>
      </c>
      <c r="G1892" s="1" t="s">
        <v>1603</v>
      </c>
    </row>
    <row r="1893" spans="1:7" hidden="1" x14ac:dyDescent="0.25">
      <c r="A1893" t="s">
        <v>4</v>
      </c>
      <c r="B1893" t="s">
        <v>86</v>
      </c>
      <c r="C1893" t="s">
        <v>528</v>
      </c>
      <c r="E1893" t="s">
        <v>5104</v>
      </c>
      <c r="F1893" t="s">
        <v>5633</v>
      </c>
      <c r="G1893" t="s">
        <v>1817</v>
      </c>
    </row>
    <row r="1894" spans="1:7" hidden="1" x14ac:dyDescent="0.25">
      <c r="A1894" t="s">
        <v>4</v>
      </c>
      <c r="B1894" t="s">
        <v>86</v>
      </c>
      <c r="C1894" t="s">
        <v>528</v>
      </c>
      <c r="E1894" t="s">
        <v>5104</v>
      </c>
      <c r="F1894" t="s">
        <v>5637</v>
      </c>
      <c r="G1894" t="s">
        <v>1817</v>
      </c>
    </row>
    <row r="1895" spans="1:7" hidden="1" x14ac:dyDescent="0.25">
      <c r="A1895" t="s">
        <v>4</v>
      </c>
      <c r="B1895" t="s">
        <v>86</v>
      </c>
      <c r="C1895" t="s">
        <v>528</v>
      </c>
      <c r="E1895" t="s">
        <v>5104</v>
      </c>
      <c r="F1895" t="s">
        <v>5640</v>
      </c>
      <c r="G1895" t="s">
        <v>1817</v>
      </c>
    </row>
    <row r="1896" spans="1:7" hidden="1" x14ac:dyDescent="0.25">
      <c r="A1896" t="s">
        <v>4</v>
      </c>
      <c r="B1896" t="s">
        <v>86</v>
      </c>
      <c r="C1896" t="s">
        <v>528</v>
      </c>
      <c r="E1896" t="s">
        <v>5104</v>
      </c>
      <c r="F1896" t="s">
        <v>5643</v>
      </c>
      <c r="G1896" t="s">
        <v>1817</v>
      </c>
    </row>
    <row r="1897" spans="1:7" hidden="1" x14ac:dyDescent="0.25">
      <c r="A1897" t="s">
        <v>6186</v>
      </c>
      <c r="B1897" t="s">
        <v>58</v>
      </c>
      <c r="E1897" t="s">
        <v>6187</v>
      </c>
      <c r="F1897" t="s">
        <v>5646</v>
      </c>
      <c r="G1897" t="s">
        <v>1817</v>
      </c>
    </row>
    <row r="1898" spans="1:7" hidden="1" x14ac:dyDescent="0.25">
      <c r="A1898" t="s">
        <v>6186</v>
      </c>
      <c r="B1898" t="s">
        <v>58</v>
      </c>
      <c r="E1898" t="s">
        <v>2936</v>
      </c>
      <c r="F1898" t="s">
        <v>5649</v>
      </c>
      <c r="G1898" t="s">
        <v>1817</v>
      </c>
    </row>
    <row r="1899" spans="1:7" hidden="1" x14ac:dyDescent="0.25">
      <c r="A1899" t="s">
        <v>6186</v>
      </c>
      <c r="B1899" t="s">
        <v>58</v>
      </c>
      <c r="E1899" t="s">
        <v>2936</v>
      </c>
      <c r="F1899" t="s">
        <v>5652</v>
      </c>
      <c r="G1899" t="s">
        <v>1817</v>
      </c>
    </row>
    <row r="1900" spans="1:7" hidden="1" x14ac:dyDescent="0.25">
      <c r="A1900" t="s">
        <v>6186</v>
      </c>
      <c r="B1900" t="s">
        <v>58</v>
      </c>
      <c r="E1900" t="s">
        <v>2936</v>
      </c>
      <c r="F1900" t="s">
        <v>5655</v>
      </c>
      <c r="G1900" t="s">
        <v>1817</v>
      </c>
    </row>
    <row r="1901" spans="1:7" hidden="1" x14ac:dyDescent="0.25">
      <c r="A1901" t="s">
        <v>1094</v>
      </c>
      <c r="B1901" t="s">
        <v>86</v>
      </c>
      <c r="C1901" t="s">
        <v>58</v>
      </c>
      <c r="E1901" t="s">
        <v>1620</v>
      </c>
      <c r="F1901" t="s">
        <v>5926</v>
      </c>
      <c r="G1901" t="s">
        <v>1817</v>
      </c>
    </row>
    <row r="1902" spans="1:7" hidden="1" x14ac:dyDescent="0.25">
      <c r="A1902" t="s">
        <v>4</v>
      </c>
      <c r="B1902" t="s">
        <v>8</v>
      </c>
      <c r="F1902" t="s">
        <v>5929</v>
      </c>
      <c r="G1902" t="s">
        <v>1817</v>
      </c>
    </row>
    <row r="1903" spans="1:7" hidden="1" x14ac:dyDescent="0.25">
      <c r="A1903" t="s">
        <v>4</v>
      </c>
      <c r="B1903" t="s">
        <v>8</v>
      </c>
      <c r="F1903" t="s">
        <v>5932</v>
      </c>
      <c r="G1903" t="s">
        <v>1817</v>
      </c>
    </row>
    <row r="1904" spans="1:7" hidden="1" x14ac:dyDescent="0.25">
      <c r="A1904" t="s">
        <v>1606</v>
      </c>
      <c r="B1904" t="s">
        <v>6169</v>
      </c>
      <c r="C1904" t="s">
        <v>6188</v>
      </c>
      <c r="E1904" t="s">
        <v>6166</v>
      </c>
      <c r="F1904" t="s">
        <v>6109</v>
      </c>
      <c r="G1904" t="s">
        <v>1817</v>
      </c>
    </row>
    <row r="1905" spans="1:7" hidden="1" x14ac:dyDescent="0.25">
      <c r="A1905" t="s">
        <v>6189</v>
      </c>
      <c r="B1905" t="s">
        <v>6169</v>
      </c>
      <c r="F1905" t="s">
        <v>6112</v>
      </c>
      <c r="G1905" t="s">
        <v>1817</v>
      </c>
    </row>
    <row r="1906" spans="1:7" hidden="1" x14ac:dyDescent="0.25">
      <c r="A1906" t="s">
        <v>289</v>
      </c>
      <c r="B1906" t="s">
        <v>6169</v>
      </c>
      <c r="C1906" t="s">
        <v>6190</v>
      </c>
      <c r="E1906" t="s">
        <v>2936</v>
      </c>
      <c r="F1906" t="s">
        <v>6115</v>
      </c>
      <c r="G1906" t="s">
        <v>1817</v>
      </c>
    </row>
    <row r="1907" spans="1:7" hidden="1" x14ac:dyDescent="0.25">
      <c r="A1907" t="s">
        <v>289</v>
      </c>
      <c r="B1907" t="s">
        <v>6169</v>
      </c>
      <c r="C1907" t="s">
        <v>6190</v>
      </c>
      <c r="E1907" t="s">
        <v>2936</v>
      </c>
      <c r="F1907" t="s">
        <v>6118</v>
      </c>
      <c r="G1907" t="s">
        <v>1817</v>
      </c>
    </row>
    <row r="1908" spans="1:7" hidden="1" x14ac:dyDescent="0.25">
      <c r="A1908" t="s">
        <v>289</v>
      </c>
      <c r="B1908" t="s">
        <v>6169</v>
      </c>
      <c r="C1908" t="s">
        <v>6190</v>
      </c>
      <c r="E1908" t="s">
        <v>2936</v>
      </c>
      <c r="F1908" t="s">
        <v>6121</v>
      </c>
      <c r="G1908" t="s">
        <v>1817</v>
      </c>
    </row>
    <row r="1909" spans="1:7" hidden="1" x14ac:dyDescent="0.25">
      <c r="A1909" t="s">
        <v>289</v>
      </c>
      <c r="B1909" t="s">
        <v>6169</v>
      </c>
      <c r="C1909" t="s">
        <v>6190</v>
      </c>
      <c r="E1909" t="s">
        <v>2936</v>
      </c>
      <c r="F1909" t="s">
        <v>6124</v>
      </c>
      <c r="G1909" t="s">
        <v>1817</v>
      </c>
    </row>
    <row r="1910" spans="1:7" hidden="1" x14ac:dyDescent="0.25">
      <c r="A1910" t="s">
        <v>289</v>
      </c>
      <c r="B1910" t="s">
        <v>6169</v>
      </c>
      <c r="C1910" t="s">
        <v>6190</v>
      </c>
      <c r="E1910" t="s">
        <v>2936</v>
      </c>
      <c r="F1910" t="s">
        <v>6127</v>
      </c>
      <c r="G1910" t="s">
        <v>1817</v>
      </c>
    </row>
    <row r="1911" spans="1:7" hidden="1" x14ac:dyDescent="0.25">
      <c r="A1911" t="s">
        <v>289</v>
      </c>
      <c r="B1911" t="s">
        <v>6169</v>
      </c>
      <c r="C1911" t="s">
        <v>6190</v>
      </c>
      <c r="E1911" t="s">
        <v>2936</v>
      </c>
      <c r="F1911" t="s">
        <v>6130</v>
      </c>
      <c r="G1911" t="s">
        <v>1817</v>
      </c>
    </row>
    <row r="1912" spans="1:7" hidden="1" x14ac:dyDescent="0.25">
      <c r="A1912" t="s">
        <v>289</v>
      </c>
      <c r="B1912" t="s">
        <v>6169</v>
      </c>
      <c r="C1912" t="s">
        <v>6190</v>
      </c>
      <c r="E1912" t="s">
        <v>2936</v>
      </c>
      <c r="F1912" t="s">
        <v>6133</v>
      </c>
      <c r="G1912" t="s">
        <v>1817</v>
      </c>
    </row>
    <row r="1913" spans="1:7" hidden="1" x14ac:dyDescent="0.25">
      <c r="A1913" t="s">
        <v>289</v>
      </c>
      <c r="B1913" t="s">
        <v>6169</v>
      </c>
      <c r="C1913" t="s">
        <v>6190</v>
      </c>
      <c r="E1913" t="s">
        <v>2936</v>
      </c>
      <c r="F1913" t="s">
        <v>6136</v>
      </c>
      <c r="G1913" t="s">
        <v>1817</v>
      </c>
    </row>
    <row r="1914" spans="1:7" hidden="1" x14ac:dyDescent="0.25">
      <c r="A1914" t="s">
        <v>650</v>
      </c>
      <c r="B1914" t="s">
        <v>6169</v>
      </c>
      <c r="C1914" t="s">
        <v>6190</v>
      </c>
      <c r="F1914" t="s">
        <v>6139</v>
      </c>
      <c r="G1914" t="s">
        <v>1817</v>
      </c>
    </row>
    <row r="1915" spans="1:7" hidden="1" x14ac:dyDescent="0.25">
      <c r="A1915" t="s">
        <v>1606</v>
      </c>
      <c r="B1915" t="s">
        <v>6169</v>
      </c>
      <c r="C1915" t="s">
        <v>1609</v>
      </c>
      <c r="F1915" t="s">
        <v>6142</v>
      </c>
      <c r="G1915" t="s">
        <v>1817</v>
      </c>
    </row>
    <row r="1916" spans="1:7" hidden="1" x14ac:dyDescent="0.25">
      <c r="A1916" t="s">
        <v>290</v>
      </c>
      <c r="B1916" t="s">
        <v>6169</v>
      </c>
      <c r="C1916" t="s">
        <v>58</v>
      </c>
      <c r="F1916" t="s">
        <v>6145</v>
      </c>
      <c r="G1916" t="s">
        <v>1817</v>
      </c>
    </row>
    <row r="1917" spans="1:7" hidden="1" x14ac:dyDescent="0.25">
      <c r="A1917" t="s">
        <v>290</v>
      </c>
      <c r="B1917" t="s">
        <v>6169</v>
      </c>
      <c r="C1917" t="s">
        <v>58</v>
      </c>
      <c r="E1917" t="s">
        <v>2936</v>
      </c>
      <c r="F1917" t="s">
        <v>6148</v>
      </c>
      <c r="G1917" t="s">
        <v>1817</v>
      </c>
    </row>
    <row r="1918" spans="1:7" hidden="1" x14ac:dyDescent="0.25">
      <c r="A1918" t="s">
        <v>290</v>
      </c>
      <c r="B1918" t="s">
        <v>6169</v>
      </c>
      <c r="C1918" t="s">
        <v>58</v>
      </c>
      <c r="E1918" t="s">
        <v>2936</v>
      </c>
      <c r="F1918" t="s">
        <v>6151</v>
      </c>
      <c r="G1918" t="s">
        <v>1817</v>
      </c>
    </row>
    <row r="1919" spans="1:7" hidden="1" x14ac:dyDescent="0.25">
      <c r="A1919" t="s">
        <v>290</v>
      </c>
      <c r="B1919" t="s">
        <v>6169</v>
      </c>
      <c r="C1919" t="s">
        <v>58</v>
      </c>
      <c r="E1919" t="s">
        <v>2936</v>
      </c>
      <c r="F1919" t="s">
        <v>6154</v>
      </c>
      <c r="G1919" t="s">
        <v>1817</v>
      </c>
    </row>
    <row r="1920" spans="1:7" hidden="1" x14ac:dyDescent="0.25">
      <c r="A1920" t="s">
        <v>650</v>
      </c>
      <c r="B1920" t="s">
        <v>6169</v>
      </c>
      <c r="C1920" t="s">
        <v>6191</v>
      </c>
      <c r="F1920" t="s">
        <v>6157</v>
      </c>
      <c r="G1920" t="s">
        <v>1817</v>
      </c>
    </row>
    <row r="1921" spans="1:7" hidden="1" x14ac:dyDescent="0.25">
      <c r="A1921" t="s">
        <v>4</v>
      </c>
      <c r="B1921" t="s">
        <v>8</v>
      </c>
      <c r="F1921" t="s">
        <v>6160</v>
      </c>
      <c r="G1921" t="s">
        <v>1817</v>
      </c>
    </row>
    <row r="1922" spans="1:7" hidden="1" x14ac:dyDescent="0.25">
      <c r="A1922" t="s">
        <v>2004</v>
      </c>
      <c r="B1922" t="s">
        <v>8</v>
      </c>
      <c r="F1922" t="s">
        <v>5658</v>
      </c>
      <c r="G1922" t="s">
        <v>1934</v>
      </c>
    </row>
    <row r="1923" spans="1:7" hidden="1" x14ac:dyDescent="0.25">
      <c r="A1923" t="s">
        <v>2004</v>
      </c>
      <c r="B1923" t="s">
        <v>8</v>
      </c>
      <c r="F1923" t="s">
        <v>5661</v>
      </c>
      <c r="G1923" t="s">
        <v>1934</v>
      </c>
    </row>
    <row r="1924" spans="1:7" hidden="1" x14ac:dyDescent="0.25">
      <c r="A1924" t="s">
        <v>2004</v>
      </c>
      <c r="B1924" t="s">
        <v>8</v>
      </c>
      <c r="F1924" t="s">
        <v>5664</v>
      </c>
      <c r="G1924" t="s">
        <v>1934</v>
      </c>
    </row>
    <row r="1925" spans="1:7" hidden="1" x14ac:dyDescent="0.25">
      <c r="A1925" t="s">
        <v>4</v>
      </c>
      <c r="B1925" t="s">
        <v>8</v>
      </c>
      <c r="F1925" t="s">
        <v>6007</v>
      </c>
      <c r="G1925" t="s">
        <v>1934</v>
      </c>
    </row>
    <row r="1926" spans="1:7" hidden="1" x14ac:dyDescent="0.25">
      <c r="A1926" t="s">
        <v>650</v>
      </c>
      <c r="B1926" t="s">
        <v>6192</v>
      </c>
      <c r="F1926" t="s">
        <v>6010</v>
      </c>
      <c r="G1926" t="s">
        <v>1934</v>
      </c>
    </row>
    <row r="1927" spans="1:7" hidden="1" x14ac:dyDescent="0.25">
      <c r="A1927" t="s">
        <v>650</v>
      </c>
      <c r="B1927" t="s">
        <v>6192</v>
      </c>
      <c r="E1927" t="s">
        <v>2936</v>
      </c>
      <c r="F1927" t="s">
        <v>6013</v>
      </c>
      <c r="G1927" t="s">
        <v>1934</v>
      </c>
    </row>
    <row r="1928" spans="1:7" hidden="1" x14ac:dyDescent="0.25">
      <c r="A1928" t="s">
        <v>4</v>
      </c>
      <c r="B1928" t="s">
        <v>8</v>
      </c>
      <c r="F1928" t="s">
        <v>6016</v>
      </c>
      <c r="G1928" t="s">
        <v>1934</v>
      </c>
    </row>
    <row r="1929" spans="1:7" hidden="1" x14ac:dyDescent="0.25">
      <c r="A1929" t="s">
        <v>2004</v>
      </c>
      <c r="B1929" t="s">
        <v>8</v>
      </c>
      <c r="F1929" t="s">
        <v>6019</v>
      </c>
      <c r="G1929" t="s">
        <v>1934</v>
      </c>
    </row>
    <row r="1930" spans="1:7" x14ac:dyDescent="0.25">
      <c r="A1930" t="s">
        <v>6193</v>
      </c>
      <c r="B1930" t="s">
        <v>5480</v>
      </c>
      <c r="C1930" t="s">
        <v>6184</v>
      </c>
      <c r="F1930" t="s">
        <v>5667</v>
      </c>
      <c r="G1930" t="s">
        <v>1997</v>
      </c>
    </row>
    <row r="1931" spans="1:7" x14ac:dyDescent="0.25">
      <c r="A1931" t="s">
        <v>6193</v>
      </c>
      <c r="B1931" t="s">
        <v>5480</v>
      </c>
      <c r="C1931" t="s">
        <v>6184</v>
      </c>
      <c r="E1931" t="s">
        <v>2936</v>
      </c>
      <c r="F1931" t="s">
        <v>5670</v>
      </c>
      <c r="G1931" t="s">
        <v>1997</v>
      </c>
    </row>
    <row r="1932" spans="1:7" x14ac:dyDescent="0.25">
      <c r="A1932" t="s">
        <v>4</v>
      </c>
      <c r="B1932" t="s">
        <v>8</v>
      </c>
      <c r="F1932" t="s">
        <v>5673</v>
      </c>
      <c r="G1932" t="s">
        <v>1997</v>
      </c>
    </row>
    <row r="1933" spans="1:7" x14ac:dyDescent="0.25">
      <c r="A1933" t="s">
        <v>4</v>
      </c>
      <c r="B1933" t="s">
        <v>8</v>
      </c>
      <c r="F1933" t="s">
        <v>5676</v>
      </c>
      <c r="G1933" t="s">
        <v>1997</v>
      </c>
    </row>
    <row r="1934" spans="1:7" x14ac:dyDescent="0.25">
      <c r="A1934" t="s">
        <v>4</v>
      </c>
      <c r="B1934" t="s">
        <v>8</v>
      </c>
      <c r="F1934" t="s">
        <v>5679</v>
      </c>
      <c r="G1934" t="s">
        <v>1997</v>
      </c>
    </row>
    <row r="1935" spans="1:7" x14ac:dyDescent="0.25">
      <c r="A1935" t="s">
        <v>2014</v>
      </c>
      <c r="F1935" t="s">
        <v>5682</v>
      </c>
      <c r="G1935" t="s">
        <v>1997</v>
      </c>
    </row>
    <row r="1936" spans="1:7" x14ac:dyDescent="0.25">
      <c r="A1936" t="s">
        <v>6193</v>
      </c>
      <c r="B1936" t="s">
        <v>5480</v>
      </c>
      <c r="C1936" t="s">
        <v>6174</v>
      </c>
      <c r="F1936" t="s">
        <v>5992</v>
      </c>
      <c r="G1936" t="s">
        <v>1997</v>
      </c>
    </row>
    <row r="1937" spans="1:7" x14ac:dyDescent="0.25">
      <c r="A1937" t="s">
        <v>4</v>
      </c>
      <c r="B1937" t="s">
        <v>8</v>
      </c>
      <c r="F1937" t="s">
        <v>5995</v>
      </c>
      <c r="G1937" t="s">
        <v>1997</v>
      </c>
    </row>
    <row r="1938" spans="1:7" x14ac:dyDescent="0.25">
      <c r="A1938" t="s">
        <v>4</v>
      </c>
      <c r="B1938" t="s">
        <v>8</v>
      </c>
      <c r="F1938" t="s">
        <v>5998</v>
      </c>
      <c r="G1938" t="s">
        <v>1997</v>
      </c>
    </row>
    <row r="1939" spans="1:7" x14ac:dyDescent="0.25">
      <c r="A1939" t="s">
        <v>4</v>
      </c>
      <c r="B1939" t="s">
        <v>6169</v>
      </c>
      <c r="F1939" t="s">
        <v>6001</v>
      </c>
      <c r="G1939" t="s">
        <v>1997</v>
      </c>
    </row>
    <row r="1940" spans="1:7" x14ac:dyDescent="0.25">
      <c r="A1940" t="s">
        <v>4</v>
      </c>
      <c r="B1940" t="s">
        <v>8</v>
      </c>
      <c r="F1940" t="s">
        <v>6004</v>
      </c>
      <c r="G1940" t="s">
        <v>1997</v>
      </c>
    </row>
  </sheetData>
  <phoneticPr fontId="2" type="noConversion"/>
  <conditionalFormatting sqref="C2:C11 C14 C16:C18 C23:C24">
    <cfRule type="notContainsText" dxfId="249" priority="263" operator="notContains" text="порожний">
      <formula>ISERROR(SEARCH("порожний",C2))</formula>
    </cfRule>
  </conditionalFormatting>
  <conditionalFormatting sqref="B11 A695 A697:A701 A825 B932">
    <cfRule type="containsText" dxfId="248" priority="262" operator="containsText" text="Выезд с территории">
      <formula>NOT(ISERROR(SEARCH("Выезд с территории",A11)))</formula>
    </cfRule>
  </conditionalFormatting>
  <conditionalFormatting sqref="C12:C13">
    <cfRule type="notContainsText" dxfId="247" priority="261" operator="notContains" text="порожний">
      <formula>ISERROR(SEARCH("порожний",C12))</formula>
    </cfRule>
  </conditionalFormatting>
  <conditionalFormatting sqref="B12:B14">
    <cfRule type="containsText" dxfId="246" priority="260" operator="containsText" text="Выезд с территории">
      <formula>NOT(ISERROR(SEARCH("Выезд с территории",B12)))</formula>
    </cfRule>
  </conditionalFormatting>
  <conditionalFormatting sqref="C15">
    <cfRule type="notContainsText" dxfId="245" priority="259" operator="notContains" text="порожний">
      <formula>ISERROR(SEARCH("порожний",C15))</formula>
    </cfRule>
  </conditionalFormatting>
  <conditionalFormatting sqref="C19:C22">
    <cfRule type="notContainsText" dxfId="244" priority="258" operator="notContains" text="порожний">
      <formula>ISERROR(SEARCH("порожний",C19))</formula>
    </cfRule>
  </conditionalFormatting>
  <conditionalFormatting sqref="C25">
    <cfRule type="notContainsText" dxfId="243" priority="257" operator="notContains" text="порожний">
      <formula>ISERROR(SEARCH("порожний",C25))</formula>
    </cfRule>
  </conditionalFormatting>
  <conditionalFormatting sqref="C26:C27">
    <cfRule type="notContainsText" dxfId="242" priority="256" operator="notContains" text="порожний">
      <formula>ISERROR(SEARCH("порожний",C26))</formula>
    </cfRule>
  </conditionalFormatting>
  <conditionalFormatting sqref="C29">
    <cfRule type="notContainsText" dxfId="241" priority="255" operator="notContains" text="порожний">
      <formula>ISERROR(SEARCH("порожний",C29))</formula>
    </cfRule>
  </conditionalFormatting>
  <conditionalFormatting sqref="C39">
    <cfRule type="notContainsText" dxfId="240" priority="250" operator="notContains" text="порожний">
      <formula>ISERROR(SEARCH("порожний",C39))</formula>
    </cfRule>
  </conditionalFormatting>
  <conditionalFormatting sqref="C32">
    <cfRule type="notContainsText" dxfId="239" priority="254" operator="notContains" text="порожний">
      <formula>ISERROR(SEARCH("порожний",C32))</formula>
    </cfRule>
  </conditionalFormatting>
  <conditionalFormatting sqref="C34">
    <cfRule type="notContainsText" dxfId="238" priority="253" operator="notContains" text="порожний">
      <formula>ISERROR(SEARCH("порожний",C34))</formula>
    </cfRule>
  </conditionalFormatting>
  <conditionalFormatting sqref="C36">
    <cfRule type="notContainsText" dxfId="237" priority="252" operator="notContains" text="порожний">
      <formula>ISERROR(SEARCH("порожний",C36))</formula>
    </cfRule>
  </conditionalFormatting>
  <conditionalFormatting sqref="C38">
    <cfRule type="notContainsText" dxfId="236" priority="251" operator="notContains" text="порожний">
      <formula>ISERROR(SEARCH("порожний",C38))</formula>
    </cfRule>
  </conditionalFormatting>
  <conditionalFormatting sqref="E147">
    <cfRule type="containsText" dxfId="235" priority="249" operator="containsText" text="Выезд с территории">
      <formula>NOT(ISERROR(SEARCH("Выезд с территории",E147)))</formula>
    </cfRule>
  </conditionalFormatting>
  <conditionalFormatting sqref="C581:C582">
    <cfRule type="notContainsText" dxfId="234" priority="248" operator="notContains" text="порожний">
      <formula>ISERROR(SEARCH("порожний",C581))</formula>
    </cfRule>
  </conditionalFormatting>
  <conditionalFormatting sqref="C586">
    <cfRule type="notContainsText" dxfId="233" priority="247" operator="notContains" text="порожний">
      <formula>ISERROR(SEARCH("порожний",C586))</formula>
    </cfRule>
  </conditionalFormatting>
  <conditionalFormatting sqref="B609">
    <cfRule type="containsText" dxfId="232" priority="246" operator="containsText" text="Выезд с территории">
      <formula>NOT(ISERROR(SEARCH("Выезд с территории",B609)))</formula>
    </cfRule>
  </conditionalFormatting>
  <conditionalFormatting sqref="B609 B932">
    <cfRule type="containsText" dxfId="231" priority="244" operator="containsText" text="Газель базы">
      <formula>NOT(ISERROR(SEARCH("Газель базы",B609)))</formula>
    </cfRule>
    <cfRule type="containsText" dxfId="230" priority="245" operator="containsText" text="Погрузчик базы">
      <formula>NOT(ISERROR(SEARCH("Погрузчик базы",B609)))</formula>
    </cfRule>
  </conditionalFormatting>
  <conditionalFormatting sqref="B609 B932">
    <cfRule type="containsText" dxfId="229" priority="243" operator="containsText" text="Трактор базы">
      <formula>NOT(ISERROR(SEARCH("Трактор базы",B609)))</formula>
    </cfRule>
  </conditionalFormatting>
  <conditionalFormatting sqref="B614">
    <cfRule type="containsText" dxfId="228" priority="239" operator="containsText" text="Трактор базы">
      <formula>NOT(ISERROR(SEARCH("Трактор базы",B614)))</formula>
    </cfRule>
  </conditionalFormatting>
  <conditionalFormatting sqref="B614">
    <cfRule type="containsText" dxfId="227" priority="242" operator="containsText" text="Выезд с территории">
      <formula>NOT(ISERROR(SEARCH("Выезд с территории",B614)))</formula>
    </cfRule>
  </conditionalFormatting>
  <conditionalFormatting sqref="B614">
    <cfRule type="containsText" dxfId="226" priority="240" operator="containsText" text="Газель базы">
      <formula>NOT(ISERROR(SEARCH("Газель базы",B614)))</formula>
    </cfRule>
    <cfRule type="containsText" dxfId="225" priority="241" operator="containsText" text="Погрузчик базы">
      <formula>NOT(ISERROR(SEARCH("Погрузчик базы",B614)))</formula>
    </cfRule>
  </conditionalFormatting>
  <conditionalFormatting sqref="C649">
    <cfRule type="notContainsText" dxfId="224" priority="238" operator="notContains" text="порожний">
      <formula>ISERROR(SEARCH("порожний",C649))</formula>
    </cfRule>
  </conditionalFormatting>
  <conditionalFormatting sqref="C655">
    <cfRule type="notContainsText" dxfId="223" priority="235" operator="notContains" text="порожний">
      <formula>ISERROR(SEARCH("порожний",C655))</formula>
    </cfRule>
  </conditionalFormatting>
  <conditionalFormatting sqref="C650">
    <cfRule type="notContainsText" dxfId="222" priority="237" operator="notContains" text="порожний">
      <formula>ISERROR(SEARCH("порожний",C650))</formula>
    </cfRule>
  </conditionalFormatting>
  <conditionalFormatting sqref="C654">
    <cfRule type="notContainsText" dxfId="221" priority="236" operator="notContains" text="порожний">
      <formula>ISERROR(SEARCH("порожний",C654))</formula>
    </cfRule>
  </conditionalFormatting>
  <conditionalFormatting sqref="A663:A666 A668:A670 A695 A697:A701 A825">
    <cfRule type="containsText" dxfId="220" priority="232" operator="containsText" text="Выезд со второстепенной дороги">
      <formula>NOT(ISERROR(SEARCH("Выезд со второстепенной дороги",A663)))</formula>
    </cfRule>
  </conditionalFormatting>
  <conditionalFormatting sqref="A663:A666 A668:A670">
    <cfRule type="containsText" dxfId="219" priority="234" operator="containsText" text="Выезд с территории">
      <formula>NOT(ISERROR(SEARCH("Выезд с территории",A663)))</formula>
    </cfRule>
  </conditionalFormatting>
  <conditionalFormatting sqref="A663:A666 A668:A670 A695 A697:A701 A825">
    <cfRule type="containsText" dxfId="218" priority="233" operator="containsText" text="Въезд на второстепенную дорогу">
      <formula>NOT(ISERROR(SEARCH("Въезд на второстепенную дорогу",A663)))</formula>
    </cfRule>
  </conditionalFormatting>
  <conditionalFormatting sqref="A671 A679:A680">
    <cfRule type="containsText" dxfId="217" priority="229" operator="containsText" text="Выезд со второстепенной дороги">
      <formula>NOT(ISERROR(SEARCH("Выезд со второстепенной дороги",A671)))</formula>
    </cfRule>
  </conditionalFormatting>
  <conditionalFormatting sqref="A671 A679:A680">
    <cfRule type="containsText" dxfId="216" priority="231" operator="containsText" text="Выезд с территории">
      <formula>NOT(ISERROR(SEARCH("Выезд с территории",A671)))</formula>
    </cfRule>
  </conditionalFormatting>
  <conditionalFormatting sqref="A671 A679:A680">
    <cfRule type="containsText" dxfId="215" priority="230" operator="containsText" text="Въезд на второстепенную дорогу">
      <formula>NOT(ISERROR(SEARCH("Въезд на второстепенную дорогу",A671)))</formula>
    </cfRule>
  </conditionalFormatting>
  <conditionalFormatting sqref="A684:A687">
    <cfRule type="containsText" dxfId="214" priority="219" operator="containsText" text="Выезд со второстепенной дороги">
      <formula>NOT(ISERROR(SEARCH("Выезд со второстепенной дороги",A684)))</formula>
    </cfRule>
  </conditionalFormatting>
  <conditionalFormatting sqref="A681">
    <cfRule type="containsText" dxfId="213" priority="228" operator="containsText" text="Выезд с территории">
      <formula>NOT(ISERROR(SEARCH("Выезд с территории",A681)))</formula>
    </cfRule>
  </conditionalFormatting>
  <conditionalFormatting sqref="A681">
    <cfRule type="containsText" dxfId="212" priority="227" operator="containsText" text="Въезд на второстепенную дорогу">
      <formula>NOT(ISERROR(SEARCH("Въезд на второстепенную дорогу",A681)))</formula>
    </cfRule>
  </conditionalFormatting>
  <conditionalFormatting sqref="A681">
    <cfRule type="containsText" dxfId="211" priority="226" operator="containsText" text="Выезд со второстепенной дороги">
      <formula>NOT(ISERROR(SEARCH("Выезд со второстепенной дороги",A681)))</formula>
    </cfRule>
  </conditionalFormatting>
  <conditionalFormatting sqref="B682">
    <cfRule type="containsText" dxfId="210" priority="222" operator="containsText" text="Трактор базы">
      <formula>NOT(ISERROR(SEARCH("Трактор базы",B682)))</formula>
    </cfRule>
  </conditionalFormatting>
  <conditionalFormatting sqref="B682">
    <cfRule type="containsText" dxfId="209" priority="225" operator="containsText" text="Выезд с территории">
      <formula>NOT(ISERROR(SEARCH("Выезд с территории",B682)))</formula>
    </cfRule>
  </conditionalFormatting>
  <conditionalFormatting sqref="B682">
    <cfRule type="containsText" dxfId="208" priority="223" operator="containsText" text="Газель базы">
      <formula>NOT(ISERROR(SEARCH("Газель базы",B682)))</formula>
    </cfRule>
    <cfRule type="containsText" dxfId="207" priority="224" operator="containsText" text="Погрузчик базы">
      <formula>NOT(ISERROR(SEARCH("Погрузчик базы",B682)))</formula>
    </cfRule>
  </conditionalFormatting>
  <conditionalFormatting sqref="A684:A687">
    <cfRule type="containsText" dxfId="206" priority="221" operator="containsText" text="Выезд с территории">
      <formula>NOT(ISERROR(SEARCH("Выезд с территории",A684)))</formula>
    </cfRule>
  </conditionalFormatting>
  <conditionalFormatting sqref="A684:A687">
    <cfRule type="containsText" dxfId="205" priority="220" operator="containsText" text="Въезд на второстепенную дорогу">
      <formula>NOT(ISERROR(SEARCH("Въезд на второстепенную дорогу",A684)))</formula>
    </cfRule>
  </conditionalFormatting>
  <conditionalFormatting sqref="A726:A727">
    <cfRule type="containsText" dxfId="204" priority="210" operator="containsText" text="Выезд со второстепенной дороги">
      <formula>NOT(ISERROR(SEARCH("Выезд со второстепенной дороги",A726)))</formula>
    </cfRule>
  </conditionalFormatting>
  <conditionalFormatting sqref="A726:A727">
    <cfRule type="containsText" dxfId="203" priority="212" operator="containsText" text="Выезд с территории">
      <formula>NOT(ISERROR(SEARCH("Выезд с территории",A726)))</formula>
    </cfRule>
  </conditionalFormatting>
  <conditionalFormatting sqref="A726:A727">
    <cfRule type="containsText" dxfId="202" priority="211" operator="containsText" text="Въезд на второстепенную дорогу">
      <formula>NOT(ISERROR(SEARCH("Въезд на второстепенную дорогу",A726)))</formula>
    </cfRule>
  </conditionalFormatting>
  <conditionalFormatting sqref="A824">
    <cfRule type="containsText" dxfId="201" priority="207" operator="containsText" text="Выезд со второстепенной дороги">
      <formula>NOT(ISERROR(SEARCH("Выезд со второстепенной дороги",A824)))</formula>
    </cfRule>
  </conditionalFormatting>
  <conditionalFormatting sqref="A824">
    <cfRule type="containsText" dxfId="200" priority="209" operator="containsText" text="Выезд с территории">
      <formula>NOT(ISERROR(SEARCH("Выезд с территории",A824)))</formula>
    </cfRule>
  </conditionalFormatting>
  <conditionalFormatting sqref="A824">
    <cfRule type="containsText" dxfId="199" priority="208" operator="containsText" text="Въезд на второстепенную дорогу">
      <formula>NOT(ISERROR(SEARCH("Въезд на второстепенную дорогу",A824)))</formula>
    </cfRule>
  </conditionalFormatting>
  <conditionalFormatting sqref="B846:B850">
    <cfRule type="containsText" dxfId="198" priority="203" operator="containsText" text="Выезд с территории">
      <formula>NOT(ISERROR(SEARCH("Выезд с территории",B846)))</formula>
    </cfRule>
  </conditionalFormatting>
  <conditionalFormatting sqref="B846:B850">
    <cfRule type="containsText" dxfId="197" priority="201" operator="containsText" text="Газель базы">
      <formula>NOT(ISERROR(SEARCH("Газель базы",B846)))</formula>
    </cfRule>
    <cfRule type="containsText" dxfId="196" priority="202" operator="containsText" text="Погрузчик базы">
      <formula>NOT(ISERROR(SEARCH("Погрузчик базы",B846)))</formula>
    </cfRule>
  </conditionalFormatting>
  <conditionalFormatting sqref="B846:B850">
    <cfRule type="containsText" dxfId="195" priority="200" operator="containsText" text="Трактор базы">
      <formula>NOT(ISERROR(SEARCH("Трактор базы",B846)))</formula>
    </cfRule>
  </conditionalFormatting>
  <conditionalFormatting sqref="A916:A917">
    <cfRule type="containsText" dxfId="194" priority="194" operator="containsText" text="Выезд со второстепенной дороги">
      <formula>NOT(ISERROR(SEARCH("Выезд со второстепенной дороги",A916)))</formula>
    </cfRule>
  </conditionalFormatting>
  <conditionalFormatting sqref="A916:B917">
    <cfRule type="containsText" dxfId="193" priority="199" operator="containsText" text="Выезд с территории">
      <formula>NOT(ISERROR(SEARCH("Выезд с территории",A916)))</formula>
    </cfRule>
  </conditionalFormatting>
  <conditionalFormatting sqref="B916:B917">
    <cfRule type="containsText" dxfId="192" priority="197" operator="containsText" text="Газель базы">
      <formula>NOT(ISERROR(SEARCH("Газель базы",B916)))</formula>
    </cfRule>
    <cfRule type="containsText" dxfId="191" priority="198" operator="containsText" text="Погрузчик базы">
      <formula>NOT(ISERROR(SEARCH("Погрузчик базы",B916)))</formula>
    </cfRule>
  </conditionalFormatting>
  <conditionalFormatting sqref="B916:B917">
    <cfRule type="containsText" dxfId="190" priority="196" operator="containsText" text="Трактор базы">
      <formula>NOT(ISERROR(SEARCH("Трактор базы",B916)))</formula>
    </cfRule>
  </conditionalFormatting>
  <conditionalFormatting sqref="A916:A917">
    <cfRule type="containsText" dxfId="189" priority="195" operator="containsText" text="Въезд на второстепенную дорогу">
      <formula>NOT(ISERROR(SEARCH("Въезд на второстепенную дорогу",A916)))</formula>
    </cfRule>
  </conditionalFormatting>
  <conditionalFormatting sqref="E916">
    <cfRule type="containsText" dxfId="188" priority="193" operator="containsText" text="Выезд с территории">
      <formula>NOT(ISERROR(SEARCH("Выезд с территории",E916)))</formula>
    </cfRule>
  </conditionalFormatting>
  <conditionalFormatting sqref="A932">
    <cfRule type="containsText" dxfId="187" priority="170" operator="containsText" text="Выезд со второстепенной дороги">
      <formula>NOT(ISERROR(SEARCH("Выезд со второстепенной дороги",A932)))</formula>
    </cfRule>
  </conditionalFormatting>
  <conditionalFormatting sqref="A918:B918 B919:B924">
    <cfRule type="containsText" dxfId="186" priority="192" operator="containsText" text="Выезд с территории">
      <formula>NOT(ISERROR(SEARCH("Выезд с территории",A918)))</formula>
    </cfRule>
  </conditionalFormatting>
  <conditionalFormatting sqref="B918:B924">
    <cfRule type="containsText" dxfId="185" priority="190" operator="containsText" text="Газель базы">
      <formula>NOT(ISERROR(SEARCH("Газель базы",B918)))</formula>
    </cfRule>
    <cfRule type="containsText" dxfId="184" priority="191" operator="containsText" text="Погрузчик базы">
      <formula>NOT(ISERROR(SEARCH("Погрузчик базы",B918)))</formula>
    </cfRule>
  </conditionalFormatting>
  <conditionalFormatting sqref="B918:B924">
    <cfRule type="containsText" dxfId="183" priority="189" operator="containsText" text="Трактор базы">
      <formula>NOT(ISERROR(SEARCH("Трактор базы",B918)))</formula>
    </cfRule>
  </conditionalFormatting>
  <conditionalFormatting sqref="A918">
    <cfRule type="containsText" dxfId="182" priority="188" operator="containsText" text="Въезд на второстепенную дорогу">
      <formula>NOT(ISERROR(SEARCH("Въезд на второстепенную дорогу",A918)))</formula>
    </cfRule>
  </conditionalFormatting>
  <conditionalFormatting sqref="A918">
    <cfRule type="containsText" dxfId="181" priority="187" operator="containsText" text="Выезд со второстепенной дороги">
      <formula>NOT(ISERROR(SEARCH("Выезд со второстепенной дороги",A918)))</formula>
    </cfRule>
  </conditionalFormatting>
  <conditionalFormatting sqref="A926:A928">
    <cfRule type="containsText" dxfId="180" priority="181" operator="containsText" text="Выезд со второстепенной дороги">
      <formula>NOT(ISERROR(SEARCH("Выезд со второстепенной дороги",A926)))</formula>
    </cfRule>
  </conditionalFormatting>
  <conditionalFormatting sqref="A926:B928">
    <cfRule type="containsText" dxfId="179" priority="186" operator="containsText" text="Выезд с территории">
      <formula>NOT(ISERROR(SEARCH("Выезд с территории",A926)))</formula>
    </cfRule>
  </conditionalFormatting>
  <conditionalFormatting sqref="B926:B928">
    <cfRule type="containsText" dxfId="178" priority="184" operator="containsText" text="Газель базы">
      <formula>NOT(ISERROR(SEARCH("Газель базы",B926)))</formula>
    </cfRule>
    <cfRule type="containsText" dxfId="177" priority="185" operator="containsText" text="Погрузчик базы">
      <formula>NOT(ISERROR(SEARCH("Погрузчик базы",B926)))</formula>
    </cfRule>
  </conditionalFormatting>
  <conditionalFormatting sqref="B926:B928">
    <cfRule type="containsText" dxfId="176" priority="183" operator="containsText" text="Трактор базы">
      <formula>NOT(ISERROR(SEARCH("Трактор базы",B926)))</formula>
    </cfRule>
  </conditionalFormatting>
  <conditionalFormatting sqref="A926:A928">
    <cfRule type="containsText" dxfId="175" priority="182" operator="containsText" text="Въезд на второстепенную дорогу">
      <formula>NOT(ISERROR(SEARCH("Въезд на второстепенную дорогу",A926)))</formula>
    </cfRule>
  </conditionalFormatting>
  <conditionalFormatting sqref="E926:E928">
    <cfRule type="containsText" dxfId="174" priority="180" operator="containsText" text="Выезд с территории">
      <formula>NOT(ISERROR(SEARCH("Выезд с территории",E926)))</formula>
    </cfRule>
  </conditionalFormatting>
  <conditionalFormatting sqref="A930">
    <cfRule type="containsText" dxfId="173" priority="174" operator="containsText" text="Выезд со второстепенной дороги">
      <formula>NOT(ISERROR(SEARCH("Выезд со второстепенной дороги",A930)))</formula>
    </cfRule>
  </conditionalFormatting>
  <conditionalFormatting sqref="A930:B930">
    <cfRule type="containsText" dxfId="172" priority="179" operator="containsText" text="Выезд с территории">
      <formula>NOT(ISERROR(SEARCH("Выезд с территории",A930)))</formula>
    </cfRule>
  </conditionalFormatting>
  <conditionalFormatting sqref="B930">
    <cfRule type="containsText" dxfId="171" priority="177" operator="containsText" text="Газель базы">
      <formula>NOT(ISERROR(SEARCH("Газель базы",B930)))</formula>
    </cfRule>
    <cfRule type="containsText" dxfId="170" priority="178" operator="containsText" text="Погрузчик базы">
      <formula>NOT(ISERROR(SEARCH("Погрузчик базы",B930)))</formula>
    </cfRule>
  </conditionalFormatting>
  <conditionalFormatting sqref="B930">
    <cfRule type="containsText" dxfId="169" priority="176" operator="containsText" text="Трактор базы">
      <formula>NOT(ISERROR(SEARCH("Трактор базы",B930)))</formula>
    </cfRule>
  </conditionalFormatting>
  <conditionalFormatting sqref="A930">
    <cfRule type="containsText" dxfId="168" priority="175" operator="containsText" text="Въезд на второстепенную дорогу">
      <formula>NOT(ISERROR(SEARCH("Въезд на второстепенную дорогу",A930)))</formula>
    </cfRule>
  </conditionalFormatting>
  <conditionalFormatting sqref="E930">
    <cfRule type="containsText" dxfId="167" priority="173" operator="containsText" text="Выезд с территории">
      <formula>NOT(ISERROR(SEARCH("Выезд с территории",E930)))</formula>
    </cfRule>
  </conditionalFormatting>
  <conditionalFormatting sqref="A932">
    <cfRule type="containsText" dxfId="166" priority="172" operator="containsText" text="Выезд с территории">
      <formula>NOT(ISERROR(SEARCH("Выезд с территории",A932)))</formula>
    </cfRule>
  </conditionalFormatting>
  <conditionalFormatting sqref="A932">
    <cfRule type="containsText" dxfId="165" priority="171" operator="containsText" text="Въезд на второстепенную дорогу">
      <formula>NOT(ISERROR(SEARCH("Въезд на второстепенную дорогу",A932)))</formula>
    </cfRule>
  </conditionalFormatting>
  <conditionalFormatting sqref="A937:A938">
    <cfRule type="containsText" dxfId="164" priority="167" operator="containsText" text="Выезд со второстепенной дороги">
      <formula>NOT(ISERROR(SEARCH("Выезд со второстепенной дороги",A937)))</formula>
    </cfRule>
  </conditionalFormatting>
  <conditionalFormatting sqref="A937:A938">
    <cfRule type="containsText" dxfId="163" priority="169" operator="containsText" text="Выезд с территории">
      <formula>NOT(ISERROR(SEARCH("Выезд с территории",A937)))</formula>
    </cfRule>
  </conditionalFormatting>
  <conditionalFormatting sqref="A937:A938">
    <cfRule type="containsText" dxfId="162" priority="168" operator="containsText" text="Въезд на второстепенную дорогу">
      <formula>NOT(ISERROR(SEARCH("Въезд на второстепенную дорогу",A937)))</formula>
    </cfRule>
  </conditionalFormatting>
  <conditionalFormatting sqref="A954:B956">
    <cfRule type="containsText" dxfId="161" priority="166" operator="containsText" text="Выезд с территории">
      <formula>NOT(ISERROR(SEARCH("Выезд с территории",A954)))</formula>
    </cfRule>
  </conditionalFormatting>
  <conditionalFormatting sqref="C954:C956">
    <cfRule type="notContainsText" dxfId="160" priority="165" operator="notContains" text="порожний">
      <formula>ISERROR(SEARCH("порожний",C954))</formula>
    </cfRule>
  </conditionalFormatting>
  <conditionalFormatting sqref="B954:B956">
    <cfRule type="containsText" dxfId="159" priority="163" operator="containsText" text="Газель базы">
      <formula>NOT(ISERROR(SEARCH("Газель базы",B954)))</formula>
    </cfRule>
    <cfRule type="containsText" dxfId="158" priority="164" operator="containsText" text="Погрузчик базы">
      <formula>NOT(ISERROR(SEARCH("Погрузчик базы",B954)))</formula>
    </cfRule>
  </conditionalFormatting>
  <conditionalFormatting sqref="B954:B956">
    <cfRule type="containsText" dxfId="157" priority="162" operator="containsText" text="Трактор базы">
      <formula>NOT(ISERROR(SEARCH("Трактор базы",B954)))</formula>
    </cfRule>
  </conditionalFormatting>
  <conditionalFormatting sqref="A954:A956">
    <cfRule type="containsText" dxfId="156" priority="161" operator="containsText" text="Въезд на второстепенную дорогу">
      <formula>NOT(ISERROR(SEARCH("Въезд на второстепенную дорогу",A954)))</formula>
    </cfRule>
  </conditionalFormatting>
  <conditionalFormatting sqref="A954:A956">
    <cfRule type="containsText" dxfId="155" priority="160" operator="containsText" text="Выезд со второстепенной дороги">
      <formula>NOT(ISERROR(SEARCH("Выезд со второстепенной дороги",A954)))</formula>
    </cfRule>
  </conditionalFormatting>
  <conditionalFormatting sqref="C995:C996">
    <cfRule type="notContainsText" dxfId="154" priority="158" operator="notContains" text="порожний">
      <formula>ISERROR(SEARCH("порожний",C995))</formula>
    </cfRule>
  </conditionalFormatting>
  <conditionalFormatting sqref="C987">
    <cfRule type="notContainsText" dxfId="153" priority="159" operator="notContains" text="порожний">
      <formula>ISERROR(SEARCH("порожний",C987))</formula>
    </cfRule>
  </conditionalFormatting>
  <conditionalFormatting sqref="B999">
    <cfRule type="containsText" dxfId="152" priority="157" operator="containsText" text="Выезд с территории">
      <formula>NOT(ISERROR(SEARCH("Выезд с территории",B999)))</formula>
    </cfRule>
  </conditionalFormatting>
  <conditionalFormatting sqref="B999">
    <cfRule type="containsText" dxfId="151" priority="155" operator="containsText" text="Газель базы">
      <formula>NOT(ISERROR(SEARCH("Газель базы",B999)))</formula>
    </cfRule>
    <cfRule type="containsText" dxfId="150" priority="156" operator="containsText" text="Погрузчик базы">
      <formula>NOT(ISERROR(SEARCH("Погрузчик базы",B999)))</formula>
    </cfRule>
  </conditionalFormatting>
  <conditionalFormatting sqref="B999">
    <cfRule type="containsText" dxfId="149" priority="154" operator="containsText" text="Трактор базы">
      <formula>NOT(ISERROR(SEARCH("Трактор базы",B999)))</formula>
    </cfRule>
  </conditionalFormatting>
  <conditionalFormatting sqref="B1019:B1022">
    <cfRule type="containsText" dxfId="148" priority="150" operator="containsText" text="Трактор базы">
      <formula>NOT(ISERROR(SEARCH("Трактор базы",B1019)))</formula>
    </cfRule>
  </conditionalFormatting>
  <conditionalFormatting sqref="B1019:B1022">
    <cfRule type="containsText" dxfId="147" priority="153" operator="containsText" text="Выезд с территории">
      <formula>NOT(ISERROR(SEARCH("Выезд с территории",B1019)))</formula>
    </cfRule>
  </conditionalFormatting>
  <conditionalFormatting sqref="B1019:B1022">
    <cfRule type="containsText" dxfId="146" priority="151" operator="containsText" text="Газель базы">
      <formula>NOT(ISERROR(SEARCH("Газель базы",B1019)))</formula>
    </cfRule>
    <cfRule type="containsText" dxfId="145" priority="152" operator="containsText" text="Погрузчик базы">
      <formula>NOT(ISERROR(SEARCH("Погрузчик базы",B1019)))</formula>
    </cfRule>
  </conditionalFormatting>
  <conditionalFormatting sqref="C966">
    <cfRule type="notContainsText" dxfId="144" priority="149" operator="notContains" text="порожний">
      <formula>ISERROR(SEARCH("порожний",C966))</formula>
    </cfRule>
  </conditionalFormatting>
  <conditionalFormatting sqref="A1029">
    <cfRule type="containsText" dxfId="143" priority="146" operator="containsText" text="Выезд со второстепенной дороги">
      <formula>NOT(ISERROR(SEARCH("Выезд со второстепенной дороги",A1029)))</formula>
    </cfRule>
  </conditionalFormatting>
  <conditionalFormatting sqref="A1029">
    <cfRule type="containsText" dxfId="142" priority="148" operator="containsText" text="Выезд с территории">
      <formula>NOT(ISERROR(SEARCH("Выезд с территории",A1029)))</formula>
    </cfRule>
  </conditionalFormatting>
  <conditionalFormatting sqref="A1029">
    <cfRule type="containsText" dxfId="141" priority="147" operator="containsText" text="Въезд на второстепенную дорогу">
      <formula>NOT(ISERROR(SEARCH("Въезд на второстепенную дорогу",A1029)))</formula>
    </cfRule>
  </conditionalFormatting>
  <conditionalFormatting sqref="B1030">
    <cfRule type="containsText" dxfId="140" priority="145" operator="containsText" text="Выезд с территории">
      <formula>NOT(ISERROR(SEARCH("Выезд с территории",B1030)))</formula>
    </cfRule>
  </conditionalFormatting>
  <conditionalFormatting sqref="B1030">
    <cfRule type="containsText" dxfId="139" priority="143" operator="containsText" text="Газель базы">
      <formula>NOT(ISERROR(SEARCH("Газель базы",B1030)))</formula>
    </cfRule>
    <cfRule type="containsText" dxfId="138" priority="144" operator="containsText" text="Погрузчик базы">
      <formula>NOT(ISERROR(SEARCH("Погрузчик базы",B1030)))</formula>
    </cfRule>
  </conditionalFormatting>
  <conditionalFormatting sqref="B1030">
    <cfRule type="containsText" dxfId="137" priority="142" operator="containsText" text="Трактор базы">
      <formula>NOT(ISERROR(SEARCH("Трактор базы",B1030)))</formula>
    </cfRule>
  </conditionalFormatting>
  <conditionalFormatting sqref="A1035">
    <cfRule type="containsText" dxfId="136" priority="136" operator="containsText" text="Выезд со второстепенной дороги">
      <formula>NOT(ISERROR(SEARCH("Выезд со второстепенной дороги",A1035)))</formula>
    </cfRule>
  </conditionalFormatting>
  <conditionalFormatting sqref="A1033">
    <cfRule type="containsText" dxfId="135" priority="139" operator="containsText" text="Выезд со второстепенной дороги">
      <formula>NOT(ISERROR(SEARCH("Выезд со второстепенной дороги",A1033)))</formula>
    </cfRule>
  </conditionalFormatting>
  <conditionalFormatting sqref="A1033">
    <cfRule type="containsText" dxfId="134" priority="141" operator="containsText" text="Выезд с территории">
      <formula>NOT(ISERROR(SEARCH("Выезд с территории",A1033)))</formula>
    </cfRule>
  </conditionalFormatting>
  <conditionalFormatting sqref="A1033">
    <cfRule type="containsText" dxfId="133" priority="140" operator="containsText" text="Въезд на второстепенную дорогу">
      <formula>NOT(ISERROR(SEARCH("Въезд на второстепенную дорогу",A1033)))</formula>
    </cfRule>
  </conditionalFormatting>
  <conditionalFormatting sqref="A1035">
    <cfRule type="containsText" dxfId="132" priority="138" operator="containsText" text="Выезд с территории">
      <formula>NOT(ISERROR(SEARCH("Выезд с территории",A1035)))</formula>
    </cfRule>
  </conditionalFormatting>
  <conditionalFormatting sqref="A1035">
    <cfRule type="containsText" dxfId="131" priority="137" operator="containsText" text="Въезд на второстепенную дорогу">
      <formula>NOT(ISERROR(SEARCH("Въезд на второстепенную дорогу",A1035)))</formula>
    </cfRule>
  </conditionalFormatting>
  <conditionalFormatting sqref="B1138:B1161">
    <cfRule type="containsText" dxfId="130" priority="135" operator="containsText" text="Выезд с территории">
      <formula>NOT(ISERROR(SEARCH("Выезд с территории",B1138)))</formula>
    </cfRule>
  </conditionalFormatting>
  <conditionalFormatting sqref="B1138:B1161">
    <cfRule type="containsText" dxfId="129" priority="133" operator="containsText" text="Газель базы">
      <formula>NOT(ISERROR(SEARCH("Газель базы",B1138)))</formula>
    </cfRule>
    <cfRule type="containsText" dxfId="128" priority="134" operator="containsText" text="Погрузчик базы">
      <formula>NOT(ISERROR(SEARCH("Погрузчик базы",B1138)))</formula>
    </cfRule>
  </conditionalFormatting>
  <conditionalFormatting sqref="B1138:B1161">
    <cfRule type="containsText" dxfId="127" priority="132" operator="containsText" text="Трактор базы">
      <formula>NOT(ISERROR(SEARCH("Трактор базы",B1138)))</formula>
    </cfRule>
  </conditionalFormatting>
  <conditionalFormatting sqref="B1258:B1262">
    <cfRule type="containsText" dxfId="126" priority="116" operator="containsText" text="Трактор базы">
      <formula>NOT(ISERROR(SEARCH("Трактор базы",B1258)))</formula>
    </cfRule>
  </conditionalFormatting>
  <conditionalFormatting sqref="B1244:B1252">
    <cfRule type="containsText" dxfId="125" priority="131" operator="containsText" text="Выезд с территории">
      <formula>NOT(ISERROR(SEARCH("Выезд с территории",B1244)))</formula>
    </cfRule>
  </conditionalFormatting>
  <conditionalFormatting sqref="B1244:B1252">
    <cfRule type="containsText" dxfId="124" priority="129" operator="containsText" text="Газель базы">
      <formula>NOT(ISERROR(SEARCH("Газель базы",B1244)))</formula>
    </cfRule>
    <cfRule type="containsText" dxfId="123" priority="130" operator="containsText" text="Погрузчик базы">
      <formula>NOT(ISERROR(SEARCH("Погрузчик базы",B1244)))</formula>
    </cfRule>
  </conditionalFormatting>
  <conditionalFormatting sqref="B1244:B1252">
    <cfRule type="containsText" dxfId="122" priority="128" operator="containsText" text="Трактор базы">
      <formula>NOT(ISERROR(SEARCH("Трактор базы",B1244)))</formula>
    </cfRule>
  </conditionalFormatting>
  <conditionalFormatting sqref="B1253:B1256">
    <cfRule type="containsText" dxfId="121" priority="127" operator="containsText" text="Выезд с территории">
      <formula>NOT(ISERROR(SEARCH("Выезд с территории",B1253)))</formula>
    </cfRule>
  </conditionalFormatting>
  <conditionalFormatting sqref="B1253:B1256">
    <cfRule type="containsText" dxfId="120" priority="125" operator="containsText" text="Газель базы">
      <formula>NOT(ISERROR(SEARCH("Газель базы",B1253)))</formula>
    </cfRule>
    <cfRule type="containsText" dxfId="119" priority="126" operator="containsText" text="Погрузчик базы">
      <formula>NOT(ISERROR(SEARCH("Погрузчик базы",B1253)))</formula>
    </cfRule>
  </conditionalFormatting>
  <conditionalFormatting sqref="B1253:B1256">
    <cfRule type="containsText" dxfId="118" priority="124" operator="containsText" text="Трактор базы">
      <formula>NOT(ISERROR(SEARCH("Трактор базы",B1253)))</formula>
    </cfRule>
  </conditionalFormatting>
  <conditionalFormatting sqref="B1257">
    <cfRule type="containsText" dxfId="117" priority="123" operator="containsText" text="Выезд с территории">
      <formula>NOT(ISERROR(SEARCH("Выезд с территории",B1257)))</formula>
    </cfRule>
  </conditionalFormatting>
  <conditionalFormatting sqref="B1257">
    <cfRule type="containsText" dxfId="116" priority="121" operator="containsText" text="Газель базы">
      <formula>NOT(ISERROR(SEARCH("Газель базы",B1257)))</formula>
    </cfRule>
    <cfRule type="containsText" dxfId="115" priority="122" operator="containsText" text="Погрузчик базы">
      <formula>NOT(ISERROR(SEARCH("Погрузчик базы",B1257)))</formula>
    </cfRule>
  </conditionalFormatting>
  <conditionalFormatting sqref="B1257">
    <cfRule type="containsText" dxfId="114" priority="120" operator="containsText" text="Трактор базы">
      <formula>NOT(ISERROR(SEARCH("Трактор базы",B1257)))</formula>
    </cfRule>
  </conditionalFormatting>
  <conditionalFormatting sqref="B1258:B1262">
    <cfRule type="containsText" dxfId="113" priority="119" operator="containsText" text="Выезд с территории">
      <formula>NOT(ISERROR(SEARCH("Выезд с территории",B1258)))</formula>
    </cfRule>
  </conditionalFormatting>
  <conditionalFormatting sqref="B1258:B1262">
    <cfRule type="containsText" dxfId="112" priority="117" operator="containsText" text="Газель базы">
      <formula>NOT(ISERROR(SEARCH("Газель базы",B1258)))</formula>
    </cfRule>
    <cfRule type="containsText" dxfId="111" priority="118" operator="containsText" text="Погрузчик базы">
      <formula>NOT(ISERROR(SEARCH("Погрузчик базы",B1258)))</formula>
    </cfRule>
  </conditionalFormatting>
  <conditionalFormatting sqref="B1281:B1287">
    <cfRule type="containsText" dxfId="110" priority="115" operator="containsText" text="Выезд с территории">
      <formula>NOT(ISERROR(SEARCH("Выезд с территории",B1281)))</formula>
    </cfRule>
  </conditionalFormatting>
  <conditionalFormatting sqref="B1281:B1287">
    <cfRule type="containsText" dxfId="109" priority="113" operator="containsText" text="Газель базы">
      <formula>NOT(ISERROR(SEARCH("Газель базы",B1281)))</formula>
    </cfRule>
    <cfRule type="containsText" dxfId="108" priority="114" operator="containsText" text="Погрузчик базы">
      <formula>NOT(ISERROR(SEARCH("Погрузчик базы",B1281)))</formula>
    </cfRule>
  </conditionalFormatting>
  <conditionalFormatting sqref="B1281:B1287">
    <cfRule type="containsText" dxfId="107" priority="112" operator="containsText" text="Трактор базы">
      <formula>NOT(ISERROR(SEARCH("Трактор базы",B1281)))</formula>
    </cfRule>
  </conditionalFormatting>
  <conditionalFormatting sqref="B1296">
    <cfRule type="containsText" dxfId="106" priority="108" operator="containsText" text="Трактор базы">
      <formula>NOT(ISERROR(SEARCH("Трактор базы",B1296)))</formula>
    </cfRule>
  </conditionalFormatting>
  <conditionalFormatting sqref="B1296">
    <cfRule type="containsText" dxfId="105" priority="111" operator="containsText" text="Выезд с территории">
      <formula>NOT(ISERROR(SEARCH("Выезд с территории",B1296)))</formula>
    </cfRule>
  </conditionalFormatting>
  <conditionalFormatting sqref="B1296">
    <cfRule type="containsText" dxfId="104" priority="109" operator="containsText" text="Газель базы">
      <formula>NOT(ISERROR(SEARCH("Газель базы",B1296)))</formula>
    </cfRule>
    <cfRule type="containsText" dxfId="103" priority="110" operator="containsText" text="Погрузчик базы">
      <formula>NOT(ISERROR(SEARCH("Погрузчик базы",B1296)))</formula>
    </cfRule>
  </conditionalFormatting>
  <conditionalFormatting sqref="C1320:C1321">
    <cfRule type="notContainsText" dxfId="102" priority="106" operator="notContains" text="порожний">
      <formula>ISERROR(SEARCH("порожний",C1320))</formula>
    </cfRule>
  </conditionalFormatting>
  <conditionalFormatting sqref="A1323">
    <cfRule type="containsText" dxfId="101" priority="100" operator="containsText" text="Выезд со второстепенной дороги">
      <formula>NOT(ISERROR(SEARCH("Выезд со второстепенной дороги",A1323)))</formula>
    </cfRule>
  </conditionalFormatting>
  <conditionalFormatting sqref="A1322">
    <cfRule type="containsText" dxfId="100" priority="103" operator="containsText" text="Выезд со второстепенной дороги">
      <formula>NOT(ISERROR(SEARCH("Выезд со второстепенной дороги",A1322)))</formula>
    </cfRule>
  </conditionalFormatting>
  <conditionalFormatting sqref="A1322">
    <cfRule type="containsText" dxfId="99" priority="105" operator="containsText" text="Выезд с территории">
      <formula>NOT(ISERROR(SEARCH("Выезд с территории",A1322)))</formula>
    </cfRule>
  </conditionalFormatting>
  <conditionalFormatting sqref="A1322">
    <cfRule type="containsText" dxfId="98" priority="104" operator="containsText" text="Въезд на второстепенную дорогу">
      <formula>NOT(ISERROR(SEARCH("Въезд на второстепенную дорогу",A1322)))</formula>
    </cfRule>
  </conditionalFormatting>
  <conditionalFormatting sqref="A1323">
    <cfRule type="containsText" dxfId="97" priority="102" operator="containsText" text="Выезд с территории">
      <formula>NOT(ISERROR(SEARCH("Выезд с территории",A1323)))</formula>
    </cfRule>
  </conditionalFormatting>
  <conditionalFormatting sqref="A1323">
    <cfRule type="containsText" dxfId="96" priority="101" operator="containsText" text="Въезд на второстепенную дорогу">
      <formula>NOT(ISERROR(SEARCH("Въезд на второстепенную дорогу",A1323)))</formula>
    </cfRule>
  </conditionalFormatting>
  <conditionalFormatting sqref="C1336">
    <cfRule type="notContainsText" dxfId="95" priority="99" operator="notContains" text="порожний">
      <formula>ISERROR(SEARCH("порожний",C1336))</formula>
    </cfRule>
  </conditionalFormatting>
  <conditionalFormatting sqref="C1346">
    <cfRule type="notContainsText" dxfId="94" priority="98" operator="notContains" text="порожний">
      <formula>ISERROR(SEARCH("порожний",C1346))</formula>
    </cfRule>
  </conditionalFormatting>
  <conditionalFormatting sqref="A1391">
    <cfRule type="containsText" dxfId="93" priority="92" operator="containsText" text="Выезд со второстепенной дороги">
      <formula>NOT(ISERROR(SEARCH("Выезд со второстепенной дороги",A1391)))</formula>
    </cfRule>
  </conditionalFormatting>
  <conditionalFormatting sqref="A1391">
    <cfRule type="containsText" dxfId="92" priority="94" operator="containsText" text="Выезд с территории">
      <formula>NOT(ISERROR(SEARCH("Выезд с территории",A1391)))</formula>
    </cfRule>
  </conditionalFormatting>
  <conditionalFormatting sqref="A1391">
    <cfRule type="containsText" dxfId="91" priority="93" operator="containsText" text="Въезд на второстепенную дорогу">
      <formula>NOT(ISERROR(SEARCH("Въезд на второстепенную дорогу",A1391)))</formula>
    </cfRule>
  </conditionalFormatting>
  <conditionalFormatting sqref="A1398">
    <cfRule type="containsText" dxfId="90" priority="89" operator="containsText" text="Выезд со второстепенной дороги">
      <formula>NOT(ISERROR(SEARCH("Выезд со второстепенной дороги",A1398)))</formula>
    </cfRule>
  </conditionalFormatting>
  <conditionalFormatting sqref="A1398">
    <cfRule type="containsText" dxfId="89" priority="91" operator="containsText" text="Выезд с территории">
      <formula>NOT(ISERROR(SEARCH("Выезд с территории",A1398)))</formula>
    </cfRule>
  </conditionalFormatting>
  <conditionalFormatting sqref="A1398">
    <cfRule type="containsText" dxfId="88" priority="90" operator="containsText" text="Въезд на второстепенную дорогу">
      <formula>NOT(ISERROR(SEARCH("Въезд на второстепенную дорогу",A1398)))</formula>
    </cfRule>
  </conditionalFormatting>
  <conditionalFormatting sqref="C1606">
    <cfRule type="notContainsText" dxfId="87" priority="88" operator="notContains" text="порожний">
      <formula>ISERROR(SEARCH("порожний",C1606))</formula>
    </cfRule>
  </conditionalFormatting>
  <conditionalFormatting sqref="B1633:B1636">
    <cfRule type="containsText" dxfId="86" priority="87" operator="containsText" text="Выезд с территории">
      <formula>NOT(ISERROR(SEARCH("Выезд с территории",B1633)))</formula>
    </cfRule>
  </conditionalFormatting>
  <conditionalFormatting sqref="B1633:B1636">
    <cfRule type="containsText" dxfId="85" priority="85" operator="containsText" text="Газель базы">
      <formula>NOT(ISERROR(SEARCH("Газель базы",B1633)))</formula>
    </cfRule>
    <cfRule type="containsText" dxfId="84" priority="86" operator="containsText" text="Погрузчик базы">
      <formula>NOT(ISERROR(SEARCH("Погрузчик базы",B1633)))</formula>
    </cfRule>
  </conditionalFormatting>
  <conditionalFormatting sqref="B1633:B1636">
    <cfRule type="containsText" dxfId="83" priority="84" operator="containsText" text="Трактор базы">
      <formula>NOT(ISERROR(SEARCH("Трактор базы",B1633)))</formula>
    </cfRule>
  </conditionalFormatting>
  <conditionalFormatting sqref="B1637:B1642">
    <cfRule type="containsText" dxfId="82" priority="83" operator="containsText" text="Выезд с территории">
      <formula>NOT(ISERROR(SEARCH("Выезд с территории",B1637)))</formula>
    </cfRule>
  </conditionalFormatting>
  <conditionalFormatting sqref="B1637:B1642">
    <cfRule type="containsText" dxfId="81" priority="81" operator="containsText" text="Газель базы">
      <formula>NOT(ISERROR(SEARCH("Газель базы",B1637)))</formula>
    </cfRule>
    <cfRule type="containsText" dxfId="80" priority="82" operator="containsText" text="Погрузчик базы">
      <formula>NOT(ISERROR(SEARCH("Погрузчик базы",B1637)))</formula>
    </cfRule>
  </conditionalFormatting>
  <conditionalFormatting sqref="B1637:B1642">
    <cfRule type="containsText" dxfId="79" priority="80" operator="containsText" text="Трактор базы">
      <formula>NOT(ISERROR(SEARCH("Трактор базы",B1637)))</formula>
    </cfRule>
  </conditionalFormatting>
  <conditionalFormatting sqref="B1671:B1672">
    <cfRule type="containsText" dxfId="78" priority="76" operator="containsText" text="Трактор базы">
      <formula>NOT(ISERROR(SEARCH("Трактор базы",B1671)))</formula>
    </cfRule>
  </conditionalFormatting>
  <conditionalFormatting sqref="B1671:B1672">
    <cfRule type="containsText" dxfId="77" priority="79" operator="containsText" text="Выезд с территории">
      <formula>NOT(ISERROR(SEARCH("Выезд с территории",B1671)))</formula>
    </cfRule>
  </conditionalFormatting>
  <conditionalFormatting sqref="B1671:B1672">
    <cfRule type="containsText" dxfId="76" priority="77" operator="containsText" text="Газель базы">
      <formula>NOT(ISERROR(SEARCH("Газель базы",B1671)))</formula>
    </cfRule>
    <cfRule type="containsText" dxfId="75" priority="78" operator="containsText" text="Погрузчик базы">
      <formula>NOT(ISERROR(SEARCH("Погрузчик базы",B1671)))</formula>
    </cfRule>
  </conditionalFormatting>
  <conditionalFormatting sqref="B1675">
    <cfRule type="containsText" dxfId="74" priority="72" operator="containsText" text="Трактор базы">
      <formula>NOT(ISERROR(SEARCH("Трактор базы",B1675)))</formula>
    </cfRule>
  </conditionalFormatting>
  <conditionalFormatting sqref="B1675">
    <cfRule type="containsText" dxfId="73" priority="75" operator="containsText" text="Выезд с территории">
      <formula>NOT(ISERROR(SEARCH("Выезд с территории",B1675)))</formula>
    </cfRule>
  </conditionalFormatting>
  <conditionalFormatting sqref="B1675">
    <cfRule type="containsText" dxfId="72" priority="73" operator="containsText" text="Газель базы">
      <formula>NOT(ISERROR(SEARCH("Газель базы",B1675)))</formula>
    </cfRule>
    <cfRule type="containsText" dxfId="71" priority="74" operator="containsText" text="Погрузчик базы">
      <formula>NOT(ISERROR(SEARCH("Погрузчик базы",B1675)))</formula>
    </cfRule>
  </conditionalFormatting>
  <conditionalFormatting sqref="A1678">
    <cfRule type="containsText" dxfId="70" priority="69" operator="containsText" text="Выезд со второстепенной дороги">
      <formula>NOT(ISERROR(SEARCH("Выезд со второстепенной дороги",A1678)))</formula>
    </cfRule>
  </conditionalFormatting>
  <conditionalFormatting sqref="A1678">
    <cfRule type="containsText" dxfId="69" priority="71" operator="containsText" text="Выезд с территории">
      <formula>NOT(ISERROR(SEARCH("Выезд с территории",A1678)))</formula>
    </cfRule>
  </conditionalFormatting>
  <conditionalFormatting sqref="A1678">
    <cfRule type="containsText" dxfId="68" priority="70" operator="containsText" text="Въезд на второстепенную дорогу">
      <formula>NOT(ISERROR(SEARCH("Въезд на второстепенную дорогу",A1678)))</formula>
    </cfRule>
  </conditionalFormatting>
  <conditionalFormatting sqref="C1723">
    <cfRule type="notContainsText" dxfId="67" priority="68" operator="notContains" text="порожний">
      <formula>ISERROR(SEARCH("порожний",C1723))</formula>
    </cfRule>
  </conditionalFormatting>
  <conditionalFormatting sqref="C1725:C1726">
    <cfRule type="notContainsText" dxfId="66" priority="67" operator="notContains" text="порожний">
      <formula>ISERROR(SEARCH("порожний",C1725))</formula>
    </cfRule>
  </conditionalFormatting>
  <conditionalFormatting sqref="C1727">
    <cfRule type="notContainsText" dxfId="65" priority="66" operator="notContains" text="порожний">
      <formula>ISERROR(SEARCH("порожний",C1727))</formula>
    </cfRule>
  </conditionalFormatting>
  <conditionalFormatting sqref="C1728">
    <cfRule type="notContainsText" dxfId="64" priority="65" operator="notContains" text="порожний">
      <formula>ISERROR(SEARCH("порожний",C1728))</formula>
    </cfRule>
  </conditionalFormatting>
  <conditionalFormatting sqref="B1732:B1733">
    <cfRule type="containsText" dxfId="63" priority="64" operator="containsText" text="Выезд с территории">
      <formula>NOT(ISERROR(SEARCH("Выезд с территории",B1732)))</formula>
    </cfRule>
  </conditionalFormatting>
  <conditionalFormatting sqref="B1732:B1733">
    <cfRule type="containsText" dxfId="62" priority="62" operator="containsText" text="Газель базы">
      <formula>NOT(ISERROR(SEARCH("Газель базы",B1732)))</formula>
    </cfRule>
    <cfRule type="containsText" dxfId="61" priority="63" operator="containsText" text="Погрузчик базы">
      <formula>NOT(ISERROR(SEARCH("Погрузчик базы",B1732)))</formula>
    </cfRule>
  </conditionalFormatting>
  <conditionalFormatting sqref="B1732:B1733">
    <cfRule type="containsText" dxfId="60" priority="61" operator="containsText" text="Трактор базы">
      <formula>NOT(ISERROR(SEARCH("Трактор базы",B1732)))</formula>
    </cfRule>
  </conditionalFormatting>
  <conditionalFormatting sqref="B1734:B1735">
    <cfRule type="containsText" dxfId="59" priority="60" operator="containsText" text="Выезд с территории">
      <formula>NOT(ISERROR(SEARCH("Выезд с территории",B1734)))</formula>
    </cfRule>
  </conditionalFormatting>
  <conditionalFormatting sqref="B1734:B1735">
    <cfRule type="containsText" dxfId="58" priority="58" operator="containsText" text="Газель базы">
      <formula>NOT(ISERROR(SEARCH("Газель базы",B1734)))</formula>
    </cfRule>
    <cfRule type="containsText" dxfId="57" priority="59" operator="containsText" text="Погрузчик базы">
      <formula>NOT(ISERROR(SEARCH("Погрузчик базы",B1734)))</formula>
    </cfRule>
  </conditionalFormatting>
  <conditionalFormatting sqref="B1734:B1735">
    <cfRule type="containsText" dxfId="56" priority="57" operator="containsText" text="Трактор базы">
      <formula>NOT(ISERROR(SEARCH("Трактор базы",B1734)))</formula>
    </cfRule>
  </conditionalFormatting>
  <conditionalFormatting sqref="B1762:B1764">
    <cfRule type="containsText" dxfId="55" priority="43" operator="containsText" text="Трактор базы">
      <formula>NOT(ISERROR(SEARCH("Трактор базы",B1762)))</formula>
    </cfRule>
  </conditionalFormatting>
  <conditionalFormatting sqref="B1740:B1741">
    <cfRule type="containsText" dxfId="54" priority="56" operator="containsText" text="Выезд с территории">
      <formula>NOT(ISERROR(SEARCH("Выезд с территории",B1740)))</formula>
    </cfRule>
  </conditionalFormatting>
  <conditionalFormatting sqref="B1740:B1741">
    <cfRule type="containsText" dxfId="53" priority="54" operator="containsText" text="Газель базы">
      <formula>NOT(ISERROR(SEARCH("Газель базы",B1740)))</formula>
    </cfRule>
    <cfRule type="containsText" dxfId="52" priority="55" operator="containsText" text="Погрузчик базы">
      <formula>NOT(ISERROR(SEARCH("Погрузчик базы",B1740)))</formula>
    </cfRule>
  </conditionalFormatting>
  <conditionalFormatting sqref="B1740:B1741">
    <cfRule type="containsText" dxfId="51" priority="53" operator="containsText" text="Трактор базы">
      <formula>NOT(ISERROR(SEARCH("Трактор базы",B1740)))</formula>
    </cfRule>
  </conditionalFormatting>
  <conditionalFormatting sqref="A1755">
    <cfRule type="containsText" dxfId="50" priority="50" operator="containsText" text="Выезд со второстепенной дороги">
      <formula>NOT(ISERROR(SEARCH("Выезд со второстепенной дороги",A1755)))</formula>
    </cfRule>
  </conditionalFormatting>
  <conditionalFormatting sqref="A1755">
    <cfRule type="containsText" dxfId="49" priority="52" operator="containsText" text="Выезд с территории">
      <formula>NOT(ISERROR(SEARCH("Выезд с территории",A1755)))</formula>
    </cfRule>
  </conditionalFormatting>
  <conditionalFormatting sqref="A1755">
    <cfRule type="containsText" dxfId="48" priority="51" operator="containsText" text="Въезд на второстепенную дорогу">
      <formula>NOT(ISERROR(SEARCH("Въезд на второстепенную дорогу",A1755)))</formula>
    </cfRule>
  </conditionalFormatting>
  <conditionalFormatting sqref="A1757:A1758">
    <cfRule type="containsText" dxfId="47" priority="47" operator="containsText" text="Выезд со второстепенной дороги">
      <formula>NOT(ISERROR(SEARCH("Выезд со второстепенной дороги",A1757)))</formula>
    </cfRule>
  </conditionalFormatting>
  <conditionalFormatting sqref="A1757:A1758">
    <cfRule type="containsText" dxfId="46" priority="49" operator="containsText" text="Выезд с территории">
      <formula>NOT(ISERROR(SEARCH("Выезд с территории",A1757)))</formula>
    </cfRule>
  </conditionalFormatting>
  <conditionalFormatting sqref="A1757:A1758">
    <cfRule type="containsText" dxfId="45" priority="48" operator="containsText" text="Въезд на второстепенную дорогу">
      <formula>NOT(ISERROR(SEARCH("Въезд на второстепенную дорогу",A1757)))</formula>
    </cfRule>
  </conditionalFormatting>
  <conditionalFormatting sqref="B1773">
    <cfRule type="containsText" dxfId="44" priority="34" operator="containsText" text="Трактор базы">
      <formula>NOT(ISERROR(SEARCH("Трактор базы",B1773)))</formula>
    </cfRule>
  </conditionalFormatting>
  <conditionalFormatting sqref="B1762:B1764">
    <cfRule type="containsText" dxfId="43" priority="46" operator="containsText" text="Выезд с территории">
      <formula>NOT(ISERROR(SEARCH("Выезд с территории",B1762)))</formula>
    </cfRule>
  </conditionalFormatting>
  <conditionalFormatting sqref="B1762:B1764">
    <cfRule type="containsText" dxfId="42" priority="44" operator="containsText" text="Газель базы">
      <formula>NOT(ISERROR(SEARCH("Газель базы",B1762)))</formula>
    </cfRule>
    <cfRule type="containsText" dxfId="41" priority="45" operator="containsText" text="Погрузчик базы">
      <formula>NOT(ISERROR(SEARCH("Погрузчик базы",B1762)))</formula>
    </cfRule>
  </conditionalFormatting>
  <conditionalFormatting sqref="B1776:B1777">
    <cfRule type="containsText" dxfId="40" priority="25" operator="containsText" text="Трактор базы">
      <formula>NOT(ISERROR(SEARCH("Трактор базы",B1776)))</formula>
    </cfRule>
  </conditionalFormatting>
  <conditionalFormatting sqref="B1770:B1771">
    <cfRule type="containsText" dxfId="39" priority="42" operator="containsText" text="Выезд с территории">
      <formula>NOT(ISERROR(SEARCH("Выезд с территории",B1770)))</formula>
    </cfRule>
  </conditionalFormatting>
  <conditionalFormatting sqref="B1770:B1771">
    <cfRule type="containsText" dxfId="38" priority="40" operator="containsText" text="Газель базы">
      <formula>NOT(ISERROR(SEARCH("Газель базы",B1770)))</formula>
    </cfRule>
    <cfRule type="containsText" dxfId="37" priority="41" operator="containsText" text="Погрузчик базы">
      <formula>NOT(ISERROR(SEARCH("Погрузчик базы",B1770)))</formula>
    </cfRule>
  </conditionalFormatting>
  <conditionalFormatting sqref="B1770:B1771">
    <cfRule type="containsText" dxfId="36" priority="39" operator="containsText" text="Трактор базы">
      <formula>NOT(ISERROR(SEARCH("Трактор базы",B1770)))</formula>
    </cfRule>
  </conditionalFormatting>
  <conditionalFormatting sqref="B1773">
    <cfRule type="containsText" dxfId="35" priority="38" operator="containsText" text="Выезд с территории">
      <formula>NOT(ISERROR(SEARCH("Выезд с территории",B1773)))</formula>
    </cfRule>
  </conditionalFormatting>
  <conditionalFormatting sqref="C1773">
    <cfRule type="notContainsText" dxfId="34" priority="37" operator="notContains" text="порожний">
      <formula>ISERROR(SEARCH("порожний",C1773))</formula>
    </cfRule>
  </conditionalFormatting>
  <conditionalFormatting sqref="B1773">
    <cfRule type="containsText" dxfId="33" priority="35" operator="containsText" text="Газель базы">
      <formula>NOT(ISERROR(SEARCH("Газель базы",B1773)))</formula>
    </cfRule>
    <cfRule type="containsText" dxfId="32" priority="36" operator="containsText" text="Погрузчик базы">
      <formula>NOT(ISERROR(SEARCH("Погрузчик базы",B1773)))</formula>
    </cfRule>
  </conditionalFormatting>
  <conditionalFormatting sqref="B1775">
    <cfRule type="containsText" dxfId="31" priority="29" operator="containsText" text="Трактор базы">
      <formula>NOT(ISERROR(SEARCH("Трактор базы",B1775)))</formula>
    </cfRule>
  </conditionalFormatting>
  <conditionalFormatting sqref="B1775">
    <cfRule type="containsText" dxfId="30" priority="33" operator="containsText" text="Выезд с территории">
      <formula>NOT(ISERROR(SEARCH("Выезд с территории",B1775)))</formula>
    </cfRule>
  </conditionalFormatting>
  <conditionalFormatting sqref="C1775">
    <cfRule type="notContainsText" dxfId="29" priority="32" operator="notContains" text="порожний">
      <formula>ISERROR(SEARCH("порожний",C1775))</formula>
    </cfRule>
  </conditionalFormatting>
  <conditionalFormatting sqref="B1775">
    <cfRule type="containsText" dxfId="28" priority="30" operator="containsText" text="Газель базы">
      <formula>NOT(ISERROR(SEARCH("Газель базы",B1775)))</formula>
    </cfRule>
    <cfRule type="containsText" dxfId="27" priority="31" operator="containsText" text="Погрузчик базы">
      <formula>NOT(ISERROR(SEARCH("Погрузчик базы",B1775)))</formula>
    </cfRule>
  </conditionalFormatting>
  <conditionalFormatting sqref="B1776:B1777">
    <cfRule type="containsText" dxfId="26" priority="28" operator="containsText" text="Выезд с территории">
      <formula>NOT(ISERROR(SEARCH("Выезд с территории",B1776)))</formula>
    </cfRule>
  </conditionalFormatting>
  <conditionalFormatting sqref="B1776:B1777">
    <cfRule type="containsText" dxfId="25" priority="26" operator="containsText" text="Газель базы">
      <formula>NOT(ISERROR(SEARCH("Газель базы",B1776)))</formula>
    </cfRule>
    <cfRule type="containsText" dxfId="24" priority="27" operator="containsText" text="Погрузчик базы">
      <formula>NOT(ISERROR(SEARCH("Погрузчик базы",B1776)))</formula>
    </cfRule>
  </conditionalFormatting>
  <conditionalFormatting sqref="B1891">
    <cfRule type="containsText" dxfId="23" priority="17" operator="containsText" text="Трактор базы">
      <formula>NOT(ISERROR(SEARCH("Трактор базы",B1891)))</formula>
    </cfRule>
  </conditionalFormatting>
  <conditionalFormatting sqref="B1889">
    <cfRule type="containsText" dxfId="22" priority="24" operator="containsText" text="Выезд с территории">
      <formula>NOT(ISERROR(SEARCH("Выезд с территории",B1889)))</formula>
    </cfRule>
  </conditionalFormatting>
  <conditionalFormatting sqref="B1889">
    <cfRule type="containsText" dxfId="21" priority="22" operator="containsText" text="Газель базы">
      <formula>NOT(ISERROR(SEARCH("Газель базы",B1889)))</formula>
    </cfRule>
    <cfRule type="containsText" dxfId="20" priority="23" operator="containsText" text="Погрузчик базы">
      <formula>NOT(ISERROR(SEARCH("Погрузчик базы",B1889)))</formula>
    </cfRule>
  </conditionalFormatting>
  <conditionalFormatting sqref="B1889">
    <cfRule type="containsText" dxfId="19" priority="21" operator="containsText" text="Трактор базы">
      <formula>NOT(ISERROR(SEARCH("Трактор базы",B1889)))</formula>
    </cfRule>
  </conditionalFormatting>
  <conditionalFormatting sqref="B1891">
    <cfRule type="containsText" dxfId="18" priority="20" operator="containsText" text="Выезд с территории">
      <formula>NOT(ISERROR(SEARCH("Выезд с территории",B1891)))</formula>
    </cfRule>
  </conditionalFormatting>
  <conditionalFormatting sqref="B1891">
    <cfRule type="containsText" dxfId="17" priority="18" operator="containsText" text="Газель базы">
      <formula>NOT(ISERROR(SEARCH("Газель базы",B1891)))</formula>
    </cfRule>
    <cfRule type="containsText" dxfId="16" priority="19" operator="containsText" text="Погрузчик базы">
      <formula>NOT(ISERROR(SEARCH("Погрузчик базы",B1891)))</formula>
    </cfRule>
  </conditionalFormatting>
  <conditionalFormatting sqref="B1920">
    <cfRule type="containsText" dxfId="15" priority="5" operator="containsText" text="Трактор базы">
      <formula>NOT(ISERROR(SEARCH("Трактор базы",B1920)))</formula>
    </cfRule>
  </conditionalFormatting>
  <conditionalFormatting sqref="B1904:B1914">
    <cfRule type="containsText" dxfId="14" priority="16" operator="containsText" text="Выезд с территории">
      <formula>NOT(ISERROR(SEARCH("Выезд с территории",B1904)))</formula>
    </cfRule>
  </conditionalFormatting>
  <conditionalFormatting sqref="B1904:B1914">
    <cfRule type="containsText" dxfId="13" priority="14" operator="containsText" text="Газель базы">
      <formula>NOT(ISERROR(SEARCH("Газель базы",B1904)))</formula>
    </cfRule>
    <cfRule type="containsText" dxfId="12" priority="15" operator="containsText" text="Погрузчик базы">
      <formula>NOT(ISERROR(SEARCH("Погрузчик базы",B1904)))</formula>
    </cfRule>
  </conditionalFormatting>
  <conditionalFormatting sqref="B1904:B1914">
    <cfRule type="containsText" dxfId="11" priority="13" operator="containsText" text="Трактор базы">
      <formula>NOT(ISERROR(SEARCH("Трактор базы",B1904)))</formula>
    </cfRule>
  </conditionalFormatting>
  <conditionalFormatting sqref="B1915:B1919">
    <cfRule type="containsText" dxfId="10" priority="12" operator="containsText" text="Выезд с территории">
      <formula>NOT(ISERROR(SEARCH("Выезд с территории",B1915)))</formula>
    </cfRule>
  </conditionalFormatting>
  <conditionalFormatting sqref="B1915:B1919">
    <cfRule type="containsText" dxfId="9" priority="10" operator="containsText" text="Газель базы">
      <formula>NOT(ISERROR(SEARCH("Газель базы",B1915)))</formula>
    </cfRule>
    <cfRule type="containsText" dxfId="8" priority="11" operator="containsText" text="Погрузчик базы">
      <formula>NOT(ISERROR(SEARCH("Погрузчик базы",B1915)))</formula>
    </cfRule>
  </conditionalFormatting>
  <conditionalFormatting sqref="B1915:B1919">
    <cfRule type="containsText" dxfId="7" priority="9" operator="containsText" text="Трактор базы">
      <formula>NOT(ISERROR(SEARCH("Трактор базы",B1915)))</formula>
    </cfRule>
  </conditionalFormatting>
  <conditionalFormatting sqref="B1920">
    <cfRule type="containsText" dxfId="6" priority="8" operator="containsText" text="Выезд с территории">
      <formula>NOT(ISERROR(SEARCH("Выезд с территории",B1920)))</formula>
    </cfRule>
  </conditionalFormatting>
  <conditionalFormatting sqref="B1920">
    <cfRule type="containsText" dxfId="5" priority="6" operator="containsText" text="Газель базы">
      <formula>NOT(ISERROR(SEARCH("Газель базы",B1920)))</formula>
    </cfRule>
    <cfRule type="containsText" dxfId="4" priority="7" operator="containsText" text="Погрузчик базы">
      <formula>NOT(ISERROR(SEARCH("Погрузчик базы",B1920)))</formula>
    </cfRule>
  </conditionalFormatting>
  <conditionalFormatting sqref="B1939">
    <cfRule type="containsText" dxfId="3" priority="1" operator="containsText" text="Трактор базы">
      <formula>NOT(ISERROR(SEARCH("Трактор базы",B1939)))</formula>
    </cfRule>
  </conditionalFormatting>
  <conditionalFormatting sqref="B1939">
    <cfRule type="containsText" dxfId="2" priority="4" operator="containsText" text="Выезд с территории">
      <formula>NOT(ISERROR(SEARCH("Выезд с территории",B1939)))</formula>
    </cfRule>
  </conditionalFormatting>
  <conditionalFormatting sqref="B1939">
    <cfRule type="containsText" dxfId="1" priority="2" operator="containsText" text="Газель базы">
      <formula>NOT(ISERROR(SEARCH("Газель базы",B1939)))</formula>
    </cfRule>
    <cfRule type="containsText" dxfId="0" priority="3" operator="containsText" text="Погрузчик базы">
      <formula>NOT(ISERROR(SEARCH("Погрузчик базы",B1939)))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99C6B4-71DF-4ACC-912C-E2CF27B451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1 Ангар Склад 2 въезд</vt:lpstr>
      <vt:lpstr>2 Пилорама поката</vt:lpstr>
      <vt:lpstr>3 Въезд на базу</vt:lpstr>
      <vt:lpstr>4 Крыльцо офиса</vt:lpstr>
      <vt:lpstr>5 Крыльцо общага</vt:lpstr>
      <vt:lpstr>6 Площадка 1 общага</vt:lpstr>
      <vt:lpstr>7 Площадка 2 бетонщики</vt:lpstr>
      <vt:lpstr>8 Рейсмус</vt:lpstr>
      <vt:lpstr>9 Ангар пилорама</vt:lpstr>
      <vt:lpstr>10 Сушилка навес</vt:lpstr>
      <vt:lpstr>11 С ангара на базу</vt:lpstr>
      <vt:lpstr>12 Площадка 3 кран</vt:lpstr>
      <vt:lpstr>13 Склад хол</vt:lpstr>
      <vt:lpstr>Загрузка</vt:lpstr>
      <vt:lpstr>Стороний транспорт</vt:lpstr>
      <vt:lpstr>СпрСобытий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лол лл</dc:creator>
  <cp:lastModifiedBy>лол лл</cp:lastModifiedBy>
  <dcterms:created xsi:type="dcterms:W3CDTF">2015-06-05T18:19:34Z</dcterms:created>
  <dcterms:modified xsi:type="dcterms:W3CDTF">2025-12-14T06:14:30Z</dcterms:modified>
</cp:coreProperties>
</file>